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_rels/workbook.xml.rels" ContentType="application/vnd.openxmlformats-package.relationships+xml"/>
  <Override PartName="/customXml/itemProps6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. BRAVARIJA" sheetId="1" state="visible" r:id="rId2"/>
  </sheets>
  <definedNames>
    <definedName function="false" hidden="false" localSheetId="0" name="_xlnm.Print_Area" vbProcedure="false">'12. BRAVARIJA'!$A$4:$G$180</definedName>
    <definedName function="false" hidden="false" localSheetId="0" name="_xlnm.Print_Titles" vbProcedure="false">'12. BRAVARIJA'!19:19</definedName>
    <definedName function="false" hidden="false" localSheetId="0" name="_xlnm._FilterDatabase" vbProcedure="false">'12. BRAVARIJA'!$D$1:$D$180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<sst xmlns="http://schemas.openxmlformats.org/spreadsheetml/2006/main" count="230" uniqueCount="185">
  <si>
    <t xml:space="preserve">12.</t>
  </si>
  <si>
    <t xml:space="preserve">BRAVARIJA</t>
  </si>
  <si>
    <t xml:space="preserve">OPĆI UVJETI</t>
  </si>
  <si>
    <t xml:space="preserve">NAPOMENA: Radovi se izvode prema opisu u troškovniku, prema podacima iz projektne dokumentacije, uz rješavanje svih eventualnih pitanja u suradnji s projektantom i u skladu s važećim standardima. Sav upotrebljeni materijal mora odgovarati postojećim propisima i standardima. Sve su dimenzije konstruktivnih elemenata date okvirno. Prije izvedbe obavezno uzeti točne mjere na građevini.
Sve mjere i vrste otvaranja (stijene, vrata, prozori i/ili sl.) kontrolirati u naravi na građevini, prije početka radova. Dužnost je izvođača predložiti potrebne dimenzije (debljine i/ili sl.) u kontekstu dimenzija datih građevinskih otvora. Sve su visine date od nivoa gotovog poda. Radioničke nacrte će u okviru jedinične cijene izraditi dobavljač aluminijske bravarije, a potpisom ovjeriti projektant i nadzorni inženjer. Radioničke nacrte aluminijske bravarije izraditi prema shemama i detaljima</t>
  </si>
  <si>
    <t xml:space="preserve">ugradnje iz projekta, te riješiti sve detalje ugradnje.
Ukupni koeficijent prolaska topline Uw svake pojedinačne fasadne stijene u cjelini iznosi maksimalno 1,55 W/m2K, odnosno u svemu prema projektu građevinske fizike.
Ostakljenje svih vanjskih vrata i prozori izvesti dvostrukim termoizolirajućim staklom. Koeficijent prolaska topline svakog stakla Ug iznosi maksimalno 1,1 W/m2K.
Materijal: najmanje 5-komorni aluminijski profili s prekinutim toplinskim mostom, debljine minimalno 70 mm, plastificirani prahom u boji prema ton karti RAL ili jednakovrijedno, a po izboru projektanta. Uz donji doprozornik ugraditi dodatni profil za okapnicu i ugradbu prozorskih klupčica. Krila prozora i vrata izrađena od tanjih aluminijskih profila, također plastificiranih u boji prema ton karti RAL ili jednakovrijedno, a po izboru projektanta. Na</t>
  </si>
  <si>
    <t xml:space="preserve">spoju doprozornika / dovratnika i krila ugraditi minimalno dvije brtve.
Vrata izvesti s minimalno tri 3D podesive petlje ("panta") po krilu. Broj ključeva prema dogovoru s investitorom i projektantom, za svaka vrata posebno. Sva su zaokretna vratna krila predviđena s po jednim tipskim podnim zaustavljivačem za vrata (od nehrđajućeg čelika, aluminija, kroma i/ili sl.), s odbojnikom od gume. Vrata moraju biti opremljena odgovarajućom brtvom (koja smanjuje zrakopropusnost vratiju, te osigurava mekano nalijeganje krila na dovratnik), te bravom, kvakom ili rukohvatom od nehrđajućeg čelika, štitnikom i/ili sl.
Završna je obrada materijalima, tonovima i nijansama po izboru projektanta.
Fasadna bravarija se izrađuje od aluminijskih profila kao Metra ili Schuco ili jednakovrijedno, prema izboru investitora.</t>
  </si>
  <si>
    <t xml:space="preserve">Strukturalna aluminijska fasada:
Osnovna konstrukcija fasade izrađuje se od sistema samonosivih aluminijskih horizontalnih i vertikalnih pravokutnih profila koji osiguravaju prekid toplinskog mosta. Širina vertikalnih i horizontalnih nosivih profila s unutarnje strane iznosi 50 mm, dok s vanjske strane nema pokrovnog profila. Stakla su zalijepljena za profile, s fugom ispunjenom vidljivom elastičnom silikonskom brtvom (EPDM), širine 20 mm.
Debljina slojeva ostakljenja, kao i dubina vertikalnih profila kontinuirane fasade, određuje se statičkim proračunom koji treba izraditi proizvođač odabranog sustava. Horizontalni su profili, na mjestima spajanja s konstrukcijom, iste dubine kao vertikalni. Sistem profila fasade za odvodnju kondenzata je konstruiran u dvije ravnine odvodnje. Odvodnja se vrši na način da se kondenzat prikupljen u horizontali odvodi u vertikale, te se pomoću sistemskih plastičnih</t>
  </si>
  <si>
    <t xml:space="preserve">odvodnika kondezata, izvede van konstrukcije. Sve brtve na fasadi od EPDM-a prema normi DIN 7863 ili jednakovrijedno.
Žljebovi u horizontalnom i vertikalnom aluminijskom profilu međusobno su povezani i omogućavaju provjetravanje svakog ostakljenog polja preko sva četiri kuta. Ponuđač će pri predaji svoje ponude ponuđenu konstrukciju opisati i potkrijepiti crtežima.
Upotrijebiti međusobno usklađene proizvode kao sistemska rješenja jednog proizvođača. Uključivo svi tipski, kutni, spojni, razdjelni, završni i/ili sl. elementi, sav potreban okov (zaokretni, otklopni, podizni, okretni, klizni, fiksni, odnosno njihove kombinacije i/ili sl.), kvake, rukohvati, brave, ključevi, pragovi, sva potrebna brtvila, opšavi, okapi, kitanja i/ili sl., te antikorozivna zaštita svih elemenata.
Ugradba u zidove od armiranog betona, obostrano ožbukane opeke, gipskartona i/ili sl., obložene</t>
  </si>
  <si>
    <t xml:space="preserve">sustavima izolacija i/ili sl., odnosno prema projektu (predvidjeti sve eventualno potrebne profile za ugradbu i/ili sl., sve uključivo bez posebne napomene).
Spoj unutrašnjeg aluminijskog profila sa zidom izvesti brtvom ili silikonom u boji zida, odnosno prema izboru projektanta. Alternativno, obzirom na suhu montažu, uz stijenu predvidjeti opšavne letvice kvalitete i boje kao osnovni profili, te odgovarajuću potkonstrukciju.
Za sve stavke bravarskih radova izvođač je dužan izvesti odgovarajuće slijepe okvire uz koordinaciju s izvođačima zidarskih, fasaderskih i gipskartonskih radova.
Sve radove po proizvođaču odabranih materijala, treba obvezno izvesti po detaljima i tehnološkim rješenjima istog. To se odnosi kako na korištenje materijala tako i na uporabu odgovarajućeg alata. Glede specifičnosti gore navedenih radova, izvoditelj je dužan prije davanja ponude obvezno</t>
  </si>
  <si>
    <t xml:space="preserve">se upoznati s načinom i detaljima izvođenja izolacija koji su opisani ovim troškovnikom, te s tehnologijom i specifičnostima izvođenja radova odabranog proizvođača. Sve eventualne nejasnoće i nedoumice izvoditelj je dužan dogovoriti i uskladiti s projektantom prije davanja ponude. Nikakvi naknadni zahtjevi neće se moći uvažiti.
Svi materijali koji se ugrađuju moraju obvezno biti ispitani i certifikati priloženi. Ukoliko ne postoje domaće norme, treba priložiti rezultate ispitivanja koji zadovoljavaju odredbe ISO, EN ili jednakovrijednih normi.
Jediničnom cijenom obuhvatiti:
- sav potreban materijal, rad i transport do mjesta ugradbe;
- sva potrebna uskladištenja i zaštite, sve potrebne zaštitne konstrukcije, skele i dizalice;
- RAL ugradnju;
- plastificirane aluminijske opšavne limove na spojevima sa susjednim stavkama;</t>
  </si>
  <si>
    <t xml:space="preserve">- sva brtvljenja i kitanja reški i dilatacija između pojedinih elemenata same stavke i između stavke i susjednih ploha.
Ugradnju vanjske aluminijske bravarije izvesti prema smjernicama RAL,
te smjernicama dobavljača sistema. Tzv. RAL ugradnja podrazumijeva:
- ugradnju prozora na pravilnu liniju izoterme (vanjska strana špalete);
- ugradnju prozora na sistemski PVC bazni profil - nema toplinskog mosta;
- ugradnju hidroizolacijskih paropropusnih folija s vanjske strane;
- ugradnju paronepropusnih folija s unutarnje strane priključka;
- širinu bočne fuge između štoka i zida širine prema RAL tabeli;
- ugradnju stakla s okvirom u skladu sa zahtjevima zaštite od buke.
Preklapanje svih izolacionih folija (najmanje 100</t>
  </si>
  <si>
    <t xml:space="preserve">mm) izvesti na objektu uz mehaničko učvršćenje i potrebnu toplinsku izolaciju. Izvoditelj radova obavezan je ispravno izabrati sve izolacijske materijale na unutarnjoj i vanjskoj strani fasade i to biti u stanju dokazati.
Uključivo svi potrebni tipski profili, elementi, fazonski komadi i/ili sl. Obaveza je izvođača proučiti sve projekte predmetne građevine, te u jedinične cijene stavki uračunati sve radove, potrebne materijale, njihove količine i/ili sl. (eventualno ne specificirane posebno u samom troškovniku), a koji su potrebni za potpuno dovršenje građevine, odnosno dovođenje u stanje "potpuno spremno za uporabu", do pune gotovosti i funkcionalnosti. Svi takvi radovi i materijali trebaju biti uračunati u jedinične cijene.
Obračun radova vrši se prema važećim propisima, po stvarno izvedenim količinama. Jediničnom cijenom obuhvaćen je sav rad, potreban materijal s transportom na gradilište, skele potrebne za</t>
  </si>
  <si>
    <t xml:space="preserve">izvođenje pojedinih radova, primjena mjera zaštite na radu i drugih važećih propisa.</t>
  </si>
  <si>
    <t xml:space="preserve">RB</t>
  </si>
  <si>
    <t xml:space="preserve">STAVKA</t>
  </si>
  <si>
    <t xml:space="preserve">JEDINICA MJERE</t>
  </si>
  <si>
    <t xml:space="preserve">KOLIČINA</t>
  </si>
  <si>
    <t xml:space="preserve">JEDINIČNA CIJENA</t>
  </si>
  <si>
    <t xml:space="preserve">UKUPNA CIJENA</t>
  </si>
  <si>
    <t xml:space="preserve">12.1.</t>
  </si>
  <si>
    <t xml:space="preserve">STANDARDNA VANJSKA BRAVARIJA</t>
  </si>
  <si>
    <t xml:space="preserve">Izvedba u svemu prema standardnoj tehničkoj specifikaciji prodajnog mjesta Eurospin - točka 12.1.</t>
  </si>
  <si>
    <t xml:space="preserve">12.1.1.</t>
  </si>
  <si>
    <t xml:space="preserve">Opis sustava</t>
  </si>
  <si>
    <t xml:space="preserve">12.1.2.</t>
  </si>
  <si>
    <t xml:space="preserve">Završna obrada otvora i dodataka</t>
  </si>
  <si>
    <t xml:space="preserve">12.1.3.</t>
  </si>
  <si>
    <t xml:space="preserve">Otvori</t>
  </si>
  <si>
    <t xml:space="preserve">12.1.4.</t>
  </si>
  <si>
    <t xml:space="preserve">Toplinska i zvučna izolacija</t>
  </si>
  <si>
    <t xml:space="preserve">12.1.5.</t>
  </si>
  <si>
    <t xml:space="preserve">Ostakljenja</t>
  </si>
  <si>
    <t xml:space="preserve">12.1.6.</t>
  </si>
  <si>
    <t xml:space="preserve">Dimenzioniranje i pričvršćenja na zidove</t>
  </si>
  <si>
    <t xml:space="preserve">12.1.7.</t>
  </si>
  <si>
    <t xml:space="preserve">Kontrole</t>
  </si>
  <si>
    <t xml:space="preserve">12.1.7.1.</t>
  </si>
  <si>
    <t xml:space="preserve">Strukturalna fasada 
- unutar fasadnih panela debljine 18 cm</t>
  </si>
  <si>
    <t xml:space="preserve">Dobava materijala, izrada, suha montaža, opremanje i završna obrada ostakljenih fasadnih stijena u sistemu strukturalne fasade.
Okviri stijena izrađuju se od aluminijskih fasadnih profila s prekinutim toplinskim mostom, kao Metra Poliedra SKY 50 CV ili jednakovrijedno.
Koeficijent prolaska topline za sklop ostakljenih stijena Uw=1,55 W/m2K.
_Ostakljenje IZO staklom, tip A: 66.2 low iron (laminirano staklo 6+6 mm, s PVB folijom debljine 0,76 mm) + 27 mm šupljina ispunjena argonom 90% + 66.2 low iron (laminirano staklo 6+6 mm, s akustičnom PVB folijom debljine 0,76 mm); lowE premaz na površini 3. Koeficijent prolaska topline Ug=1,1 W/m2K. Ff=0,70, gokom.=0,60, Fc,H=1,00, Fc,C=0,50.
_Ostakljenje IZO staklom, tip B: 66.2 low iron (laminirano staklo 6+6 mm, s PVB folijom debljine 0,76 mm) + 27 mm šupljina ispunjena argonom 90% +</t>
  </si>
  <si>
    <t xml:space="preserve">66.2 low iron (laminirano staklo 6+6 mm, s akustičnom PVB folijom debljine 0,76 mm); lowE premaz na površini 3. Koeficijent prolaska topline Ug=1,1 W/m2K. Ff=0,70, gokom.=0,50, Fc,H=1,00, Fc,C=1,00.
Stavka uključuje sve potrebne elemente pričvršćenja - slijepe dovratnike, spojne ploče i vijčani pribor u skladu s Eurospin standardom. Svi sidreni i spojni elementi kontinuirane fasade vruće cinčani u "suhoj" zoni, inox A2 kvalitete u "mokroj" zoni.
U jediničnoj cijeni stavke uključene su sve obrade priključaka ostakljenih stijena na konstrukciju građevine i na druge sustave fasadne obloge - opšavi od aluminijskog lima završne obrade kao profili.
Završna obrada profila plastificiranjem u boji RAL 7043, gloss 20 prema tehničkim standardima QUALITAL i QUALICOAT.</t>
  </si>
  <si>
    <t xml:space="preserve">Završna obrada pribora (okov, ručke, kvake itd.) satin krom aluminijska.
Stijene opremiti:
1.Zaštitom od sunca: rolo zavjesama, postavljenim između unutarnjih stupova. Isporuka i montaža ručne unutarnje filtrirne platnene rolete, sa specifičnim mehanizmom za rolo zavjese sa ručnim upravljanjem pomicanjem čeličnog lančića za aktiviranje role. Mehanizam opremljen kompenzacijskom oprugom integriranom u valjak, kako bi se omogućilo smanjenje napora potrebnog za podizanje rolete. Sustav u kompletu sa šipkom koja podupire valjak i osigurava brzo spajanje – odvajanje. Valjak izrađen od aluminijske legure A6063 S T5, promjera oko 36 mm, zajedno s utorom za umetanje tkanine za rolete. Profili i kape od plastike farbane istom bojom staklene stijene ili crnom bojom. Aluminizirana filterska tkanina u svijetlosivoj boji u dogovoru sa Eurospin Italia,</t>
  </si>
  <si>
    <t xml:space="preserve">sa sljedećim karakteristikama:
Vanjska sunčeva refleksija =74%,
Prosječni omjer otvaranja =2%
Emisivnost metalne strane =0,19
Adhezija metalnog premaza = klasa 0 prema ISO2409
Tkanina izrađena od 100% poliestera, bez PVC-a i staklenih vlakana. Reakcija na požar: IT – Klasa 1 prema UNI 9177, EU Klasa B-s2, d0 UNI EN 13501-1:2009. U kompletu s tračnicama i sajlama od nehrđajućeg čelika pričvršćenim na gornje i donje prečke, s obje strane sjenila. Proizvodi moraju imati CE certifikat.
2. Vratima za evakuaciju: Evakuacijska izlazna jednokrilna zaokretna ostakljena vrata, otvaranje prema van, u kompletu s panik letvom, s CE certifikatom i odobrenjem. Vratna krila izrađuju se od aluminijskih fasadnih profila s prekinutim toplinskim mostom, kao Metra NC 65 HDS ili jednakovrijedno. Ostakljenje tip B. Vrata</t>
  </si>
  <si>
    <t xml:space="preserve">opremljena s 3 bočne točke zaključavanja i čeličnim zasunima.
Vrata opremljena evakuacijskim potisnim letvama iznutra i fiksnom kuglom s rozetom izvana, u inox izvedbi, sukladno EN1125 ili jednakovrijedno. Panik letva, dodaci i ručke obojeni u svijetlo sivu boju. Brava s panik funkcijom B (ručica izvana omogućena samo okretanjem ključa), s kvakom i euro cilindričnom bravom s klinovima (5) po potrebi u detaljima prozora. Uključujući intrados, “L” profile, opšave od zvučno izoliranog aluminijskog lima 15/10, protuprovalne perle za staklo, podesivi panti (3/4 kom) s prirubnicama (3 kom), minimalno opterećenje 150 kg, podni ili zidni graničnik otvaranja. Završni i kompenzacijski elementi lakirani u boju kao staklena stijena. Uključujući sve ostalo potrebno za dovršetak radova u skladu s najboljom praksom. Vrata spojena na sustav vatrodojave koja se u slučaju požara automatski otvaraju i ostaju u</t>
  </si>
  <si>
    <t xml:space="preserve">otvorenom položaju. Evakuacijska izlazna vrata unutar prodajnog prostora opremljena aluminijskim pragovima. Ugradnja unutar staklene stijene SS4.
Ugradnju izvesti prema smjernicama i pravilima RAL ugradnje i smjernicama dobavljača sistema. Stavka uključuje sve potrebne brtveće folije, bubreće trake i montažne pjene.
U stavci uključeno:
_ sav potreban spojni i montažni pribor;
_ zaštita PE folijom nakon ugradnje;
_ završno brtvljenje i popravci eventualnih oštećenja do pune estetske gotovosti.
Izvedba u svemu prema standardnoj tehničkoj specifikaciji prodajnog mjesta Eurospin - točka 12.1.1.-12.1.8.
Sve prema shemi bravarije SS2, SS3, SS4.
Obračun po m2.</t>
  </si>
  <si>
    <t xml:space="preserve">12.1.7.1.a.</t>
  </si>
  <si>
    <t xml:space="preserve">Shema bravarije SS2, sjeverna orijentacija, ostakljenje tip A</t>
  </si>
  <si>
    <t xml:space="preserve">m²</t>
  </si>
  <si>
    <t xml:space="preserve">12.1.7.1.b.</t>
  </si>
  <si>
    <t xml:space="preserve">Shema bravarije SS3, istočna orijentacija, ostakljenje tip B</t>
  </si>
  <si>
    <t xml:space="preserve">12.1.7.1.c.</t>
  </si>
  <si>
    <t xml:space="preserve">Shema bravarije SS4, istočna orijentacija, ostakljenje tip B</t>
  </si>
  <si>
    <t xml:space="preserve">12.1.7.1.d.</t>
  </si>
  <si>
    <t xml:space="preserve">Vrata za evakuaciju unutar stavke SS4, svj. mjere 120x225 cm, panik letva</t>
  </si>
  <si>
    <t xml:space="preserve">komad</t>
  </si>
  <si>
    <t xml:space="preserve">UKUPNO:</t>
  </si>
  <si>
    <t xml:space="preserve">Strukturalna fasada UKUPNO:</t>
  </si>
  <si>
    <t xml:space="preserve">12.1.8.</t>
  </si>
  <si>
    <t xml:space="preserve">Ostakljeni sigurnosni izlaz prodajnog prostora</t>
  </si>
  <si>
    <t xml:space="preserve">Dobava materijala, izrada, suha montaža, opremanje i završna obrada evakuacijskih dvokrilnih zaokretnih ostakljenih vrata s nadsvjetlom u prodajnom prostoru.
Okviri i krila izrađuju se od aluminijskih fasadnih profila s prekinutim toplinskim mostom, kao Metra NC 65 HDS ili jednakovrijedno.
Koeficijent prolaska topline za sklop vrata Uw=1,55 W/m2K.
Ostakljenje IZO staklom: 44.2 low iron (laminirano staklo 4+4 mm, s PVB folijom debljine 0,76 mm) + 16 mm šupljina ispunjena argonom + 44.2 mid iron (laminirano staklo 4+4 mm, s akustičnom PVB folijom debljine 0,76 mm); lowE, Ug=1,1 W/m2K.
Vrata spojena na sustav vatrodojave koja se u slučaju požara automatski otvaraju i ostaju u otvorenom položaju.
Stavka uključuje sve potrebne elemente pričvršćenja - slijepe dovratnike, spojne ploče i</t>
  </si>
  <si>
    <t xml:space="preserve">vijčani pribor u skladu s Eurospin standardom.
U jediničnoj cijeni stavke uključene su sve obrade priključaka vrata na konstrukciju građevine i na druge sustave fasadne obloge - opšavi od aluminijskog lima završne obrade kao profili.
Završna obrada profila plastificiranjem u boji RAL 7043, gloss 20.
Vrata opremiti:
1. okovom za zaokretna krila - podesivim pantima, minimalno 3 kom/krilu;
2. cilindar bravom s 3 točke zaključavanja za jednokrilna vrata, odnosno 5 točaka zaključavanja za dvokrilna vrata + ključ u sustavu masterkeya;
3. evakuacijskim potisnim letvama iznutra i fiksnom kuglom s rozetom izvana, u inox izvedbi, sukladno EN1125 ili jednakovrijedno;
4. prema potrebi pragom u inox izvedbi;
5. sustavom zaštite od sunca s ALU žaluzinama na ručni pogon, kao Pellini Screen Line B ili</t>
  </si>
  <si>
    <t xml:space="preserve">jednakovr., sa žaluzinama širine 16 mm, bijele boje - S102.;
6. podnim ili zidnim graničnikom otvaranja.
Ugradnju izvesti prema smjernicama i pravilima RAL ugradnje i smjernicama dobavljača sistema. Stavka uključuje sve potrebne brtveće folije, bubreće trake i montažne pjene.
U stavci uključeno:
_ sav potreban spojni i montažni pribor;
_ zaštita PE folijom nakon ugradnje;
_ završno brtvljenje i popravci eventualnih oštećenja do pune estetske gotovosti.
Izvedba u svemu prema standardnoj tehničkoj specifikaciji prodajnog mjesta Eurospin - točka 12.1.8.
Detalji izvedbe u svemu prema standardnoj tehničkoj specifikaciji prodajnog mjesta Eurospin - poglavlje 12. - prikazi 51 i 52.
Sve prema shemi bravarije V2.
Obračun po kompletu.</t>
  </si>
  <si>
    <t xml:space="preserve">12.1.8.a.</t>
  </si>
  <si>
    <t xml:space="preserve">Vrata dimenzija 242/225+110 cm, u fasadnom panelu debljine 18 cm.</t>
  </si>
  <si>
    <t xml:space="preserve">komplet</t>
  </si>
  <si>
    <t xml:space="preserve">12.1.9.</t>
  </si>
  <si>
    <t xml:space="preserve">Sigurnosni izlaz s punim krilima</t>
  </si>
  <si>
    <t xml:space="preserve">Dobava materijala, izrada, suha montaža, opremanje i završna obrada evakuacijskih jednokrilnih zaokretnih punih vrata s nadsvjetlom.
Okviri se izrađuju od aluminijskih fasadnih profila, krila od unutarnjeg i vanjskog aluminijskog lima debljine 1,5 mm, te unutarnje ispune krila od kamene vune debljine minimalno 4 cm.
Koeficijent prolaska topline za sklop vrata Uw=2,00 W/m2K.
Stavka uključuje sve potrebne elemente pričvršćenja - slijepe dovratnike, spojne ploče i vijčani pribor u skladu s Eurospin standardom.
Ostakljenje nadsvjetla IZO staklom: 44.2 low iron (laminirano staklo 4+4 mm, s PVB folijom debljine 0,76 mm) + 16 mm šupljina ispunjena argonom + 44.2 mid iron (laminirano staklo 4+4 mm, s akustičnom PVB folijom debljine 0,76 mm); lowE, Ug=1,1 W/m2K.</t>
  </si>
  <si>
    <t xml:space="preserve">Nadsvjetlo fiksno ostakljeno i/ili sa zaokretnim krilom spojenim na sustav vatrodojave koje se u slučaju požara automatski otvara i ostaju u otvorenom položaju.
U jediničnoj cijeni stavke uključene su sve obrade priključaka vrata na konstrukciju građevine i na druge sustave fasadne obloge - opšavi od aluminijskog lima završne obrade kao profili.
Završna obrada profila plastificiranjem u boji RAL 7043, gloss 20.
Vrata opremiti:
1. okovom za zaokretna krila - podesivim pantima, minimalno 3 kom/krilu;
2. cilindar bravom s 3 točke zaključavanja za jednokrilna vrata, odnosno 5 točaka zaključavanja za dvokrilna vrata + ključ u sustavu masterkeya;
3. evakuacijskim potisnom letvom iznutra i fiksnom kuglom s rozetom izvana, u inox izvedbi, sukladno EN1125 ili jednakovrijedno;</t>
  </si>
  <si>
    <t xml:space="preserve">4. hidrauličnom povratnom pumpom s vodilicom na vratnom krilu;
5. prema potrebi pragom u inox izvedbi;
6. podnim ili zidnim graničnikom otvaranja.
Ugradnju izvesti prema smjernicama i pravilima RAL ugradnje i smjernicama dobavljača sistema. Stavka uključuje sve potrebne brtveće folije, bubreće trake i montažne pjene.
U stavci uključeno:
_ sav potreban spojni i montažni pribor;
_ zaštita PE folijom nakon ugradnje;
_ završno brtvljenje i popravci eventualnih oštećenja do pune estetske gotovosti.
Izvedba u svemu prema standardnoj tehničkoj specifikaciji prodajnog mjesta Eurospin - točka 13.1.9.
Sve prema shemama bravarije V1 i V1a.
Obračun po kompletu.</t>
  </si>
  <si>
    <t xml:space="preserve">12.1.9.a.</t>
  </si>
  <si>
    <t xml:space="preserve">Vrata dimenzija 120/225+100 cm, u fasadnom panelu debljine 18 cm.
Mjesto ugradbe: skladište. Shema bravarije V1</t>
  </si>
  <si>
    <t xml:space="preserve">12.1.9.b.</t>
  </si>
  <si>
    <t xml:space="preserve">Vrata dimenzija 120/215+110 cm, u armiranobetonskom zidu debljine 29 cm, obloženom toplinskim fasadnim sustavom debljine 16 cm. 
Mjesto ugradbe: stubište. Shema bravarije V1a</t>
  </si>
  <si>
    <t xml:space="preserve">12.1.10.</t>
  </si>
  <si>
    <t xml:space="preserve">Trakasti prozori s otklopnim krilima i zaokretnim krilima spojenim na sustav vatrodojave i jednodijelni prozor spojen na sustav vatrodojave </t>
  </si>
  <si>
    <t xml:space="preserve">Dobava materijala, izrada, suha montaža, opremanje i završna obrada jednokrilnog prozora i prozorske trake s otklopnim krilima i zaokretnim krilima spojenim na sustav vatrodojave koja se u slučaju požara automatski otvaraju i ostaju u otvorenom položaju.
Okviri i krila izrađuju se od aluminijskih fasadnih profila s prekinutim toplinskim mostom, kao Metra NC 65 HES ili jednakovrijedno.
Koeficijent prolaska topline za sklop prozora Uw=1,55 W/m2K.
Ostakljenje IZO staklom: 44.2 low iron (laminirano staklo 4+4 mm, s PVB folijom debljine 0,76 mm + 16 mm šupljina ispunjena argonom + 44.2 mid iron (laminirano staklo 4+4 mm, s akustičnom PVB folijom debljine 0,76 mm); lowE. Koeficijent prolaska topline Ug=1,1 W/m2K. Ff=0,70, gokom.=0,50, Fc,H=1,00, Fc,C=1,00.
Stavka uključuje sve potrebne elemente pričvršćenja - slijepe dovratnike, spojne ploče i</t>
  </si>
  <si>
    <t xml:space="preserve">vijčani pribor u skladu s Eurospin standardom.
U jediničnoj cijeni stavke uključene su sve obrade priključaka prozora na konstrukciju građevine i druge sustave fasadne obloge - opšavi od aluminijskog lima završne obrade kao profili.
Završna obrada profila plastificiranjem u boji RAL 7043, gloss 20.
Prozor opremiti:
1. okovom za otklopno otvaranje krila;
2. ventus sustavom otvaranja krila pomoću ručnog upravljanja, ''kurbla'' kao Geze;
3. vanjskom klupčicom.
Ugradnju izvesti prema smjernicama i pravilima RAL ugradnje i smjernicama dobavljača sistema. Stavka uključuje sve potrebne brtveće folije, bubreće trake i montažne pjene.
U stavci uključeno:
_ sav potreban spojni i montažni pribor;
_ zaštita PE folijom nakon ugradnje;
_ završno brtvljenje i popravci eventualnih</t>
  </si>
  <si>
    <t xml:space="preserve">oštećenja do pune estetske gotovosti.
Izvedba u svemu prema standardnoj tehničkoj specifikaciji prodajnog mjesta Eurospin - točka 12.1.10., 12.1.12.
Obračun po kompletu.</t>
  </si>
  <si>
    <t xml:space="preserve">12.1.10.a.</t>
  </si>
  <si>
    <t xml:space="preserve">4-djelni prozor dimenzija 500/100 cm, u fasadnom panelu debljine 18 cm, s dva otklopna i dva krila spojena na sustav vatrodojave.
Sve prema shemi bravarije P3.
Mjesto ugradbe: skladište.</t>
  </si>
  <si>
    <t xml:space="preserve">12.1.10.b.</t>
  </si>
  <si>
    <t xml:space="preserve">4-djelni prozor dimenzija 500/100 cm, u fasadnom panelu debljine 18 cm, s jednim otklopnim i tri krila spojena na sustav vatrodojave.
Sve prema shemi bravarije P4.
Mjesto ugradbe: skladište.</t>
  </si>
  <si>
    <t xml:space="preserve">12.1.10.c.</t>
  </si>
  <si>
    <t xml:space="preserve">Jednokrilni prozor dimenzija 120/120 cm, u ab zidu debljine cca 27 cm s oblogom od ETICS fasade debljine 13 cm, spojen na sustav vatrodojave.
Sve prema shemi bravarije P7.
Mjesto ugradbe: stubište, podrum.</t>
  </si>
  <si>
    <t xml:space="preserve">12.1.11.</t>
  </si>
  <si>
    <t xml:space="preserve">Trakasti i jednostruki prozori sa zaštitom od sunca
</t>
  </si>
  <si>
    <t xml:space="preserve">Dobava materijala, izrada, suha montaža, opremanje i završna obrada prozorske trake i jednostrukih prozora s otklopnim i/ili fiksnim krilima.
Okviri i krila izrađuju se od aluminijskih fasadnih profila s prekinutim toplinskim mostom, kao Metra NC 65 HES ili jednakovrijedno.
Koeficijent prolaska topline za sklop prozora Uw=1,55 W/m2K.
Ostakljenje IZO staklom: 44.2 low iron (laminirano staklo 4+4 mm, s PVB folijom debljine 0,76 mm + 16 mm šupljina ispunjena argonom + 44.2 mid iron (laminirano staklo 4+4 mm, s akustičnom PVB folijom debljine 0,76 mm); lowE. Koeficijent prolaska topline Ug=1,1 W/m2K. Ff=0,70, gokom.=0,60, Fc,H=1,00, Fc,C=0,50.
Ispuna eventualno punih polja prozorskih traka, npr. na pozicijama ispred stupova i/ili sl., izvodi se od kompaktnog aluminijskog panela punjenog ekstrudiranim polistirenom, debljine 5,0</t>
  </si>
  <si>
    <t xml:space="preserve">cm, Uw=1,55 W/m2K.
Stavka uključuje sve potrebne elemente pričvršćenja - slijepe dovratnike, spojne ploče i vijčani pribor u skladu s Eurospin standardom.
U jediničnoj cijeni stavke uključene su sve obrade priključaka prozora na konstrukciju građevine i druge sustave fasadne obloge - opšavi od aluminijskog lima završne obrade kao profili.
Završna obrada profila plastificiranjem u boji RAL 7043, gloss 20.
Prozor opremiti:
1. okovom za otklopno otvaranje krila;
2. ventus sustavom otvaranja krila pomoću ručnog upravljanja, ''kurbla'' kao Geze;
3. vanjskom klupčicom.
4. sustavom zaštite od sunca s rolo zavjesama, postavljenim s unutarnje strane. Isporuka i montaža ručne unutarnje filtrirne platnene rolete, sa specifičnim mehanizmom za rolo zavjese sa ručnim upravljanjem pomicanjem čeličnog</t>
  </si>
  <si>
    <t xml:space="preserve">lančića za aktiviranje role. Mehanizam opremljen kompenzacijskom oprugom integriranom u valjak, kako bi se omogućilo smanjenje napora potrebnog za podizanje rolete. Sustav u kompletu sa šipkom koja podupire valjak i osigurava brzo spajanje – odvajanje. Valjak izrađen od aluminijske legure A6063 S T5, promjera oko 36 mm, zajedno s utorom za umetanje tkanine za rolete. Profili i kape od plastike farbane istom bojom staklene stijene ili crnom bojom. Aluminizirana filterska tkanina u svijetlosivoj boji u dogovoru sa Eurospin Italia, sa sljedećim karakteristikama:
Vanjska sunčeva refleksija =74%,
Prosječni omjer otvaranja =2%
Emisivnost metalne strane =0,19
Adhezija metalnog premaza = klasa 0 prema ISO2409
Tkanina izrađena od 100% poliestera, bez PVC-a i staklenih vlakana. Reakcija na požar: IT – Klasa 1 prema UNI 9177, EU Klasa B-s2, d0 UNI EN 13501-1:2009. U kompletu s tračnicama i sajlama</t>
  </si>
  <si>
    <t xml:space="preserve">od nehrđajućeg čelika pričvršćenim na gornje i donje prečke, s obje strane sjenila. Proizvodi moraju imati CE certifikat.
Alternativno: Zaštita od sunca ALU žaluzinama na ručni pogon, kao Pellini Screen Line B ili jednakovr., sa žaluzinama širine 16 mm, bijele boje - S102.
Ugradnju izvesti prema smjernicama i pravilima RAL ugradnje i smjernicama dobavljača sistema. Stavka uključuje sve potrebne brtveće folije, bubreće trake i montažne pjene.
U stavci uključeno:
_ sav potreban spojni i montažni pribor;
_ zaštita PE folijom nakon ugradnje;
_ završno brtvljenje i popravci eventualnih oštećenja do pune estetske gotovosti.
Izvedba u svemu prema standardnoj tehničkoj specifikaciji prodajnog mjesta Eurospin - točka 12.1.11.
Obračun po kompletu.</t>
  </si>
  <si>
    <t xml:space="preserve">12.1.11.a.</t>
  </si>
  <si>
    <t xml:space="preserve">Jednodjelni prozor dimenzija 140/100 cm, u fasadnom panelu debljine 18 cm, s otklopnim krilom.
Sve prema shemi bravarije P1.
Mjesto ugradbe: prostor za obradu - mesnica.</t>
  </si>
  <si>
    <t xml:space="preserve">12.1.11.b.</t>
  </si>
  <si>
    <t xml:space="preserve">Trodjelni prozor dimenzija 420/100 cm, u fasadnom panelu debljine 18 cm, s otklopnim krilima.
Sve prema shemi bravarije P2.
Mjesto ugradbe: prostor za obradu - pekarnica.</t>
  </si>
  <si>
    <t xml:space="preserve">12.1.11.c.</t>
  </si>
  <si>
    <t xml:space="preserve">Dvodjelni prozor dimenzija 273/100 cm, u zidu sastavljenom od postojećeg zida debljine cca 30 cm, potkonstrukcije i završne obloge zida od fasadnog izolacijskog panela debljine 18 cm, sveukupno cca 54 cm, s fiksnim poljima.
Sve prema shemi bravarije P5.
Mjesto ugradbe: prodajni prostor - odjel voća i povrća.</t>
  </si>
  <si>
    <t xml:space="preserve">12.1.11.d.</t>
  </si>
  <si>
    <t xml:space="preserve">Trodjelni prozor dimenzija 410/100 cm, u zidu sastavljenom od postojećeg zida debljine cca 30 cm, potkonstrukcije i završne obloge zida od fasadnog izolacijskog panela debljine 18 cm, sveukupno cca 54 cm, s fiksnim poljima.
Sve prema shemi bravarije P6.
Mjesto ugradbe: prodajni prostor.</t>
  </si>
  <si>
    <t xml:space="preserve">12.1.12.</t>
  </si>
  <si>
    <t xml:space="preserve">Odbojnici za zaštitu ostakljenih stijena</t>
  </si>
  <si>
    <t xml:space="preserve">Isključivo montaža odbojnika za zaštitu od udaraca ostakljenih stijena (strukturalna fasada i vjetrobran).
Odbojnici se sastoje od:
_ nosača izrađenog od AISI 304 nehrđajućeg lima debljine 4 mm, s pričvrsnom pločom od AISI 304 lima debljine 8 mm, koji se pričvršćuje u nosive profile strukturalne fasade pomoću skrivenog vijčanog pribora;
_ linijskog odbojnika izrađenog od AISI304 nehrđajuće cijevi promjera 48 mm, debljine stjenke 2 mm, koji se pričvršćuje na nosače TIG zavarivanjem sa skrivenim varom. Na kraju cijevi ravne kapice od istovjetnog materijala lijepljene su epoksi ljepilom.
U stavci uključen sav potreban spojni i montažni pribor.
Izvedba u svemu prema standardnoj tehničkoj specifikaciji prodajnog mjesta Eurospin - točka 12.1.13.</t>
  </si>
  <si>
    <t xml:space="preserve">Detalji izvedbe u svemu prema standardnoj tehničkoj specifikaciji prodajnog mjesta Eurospin - poglavlje 12. - prikaz 34.
Sve prema shemi bravarije CB-6.
Odbojnike dobavlja Eurospin.
Obračun po m1.</t>
  </si>
  <si>
    <t xml:space="preserve">12.1.12.a.</t>
  </si>
  <si>
    <t xml:space="preserve">Vanjski odbojnici na strukturalnoj fasadi i vjetrobranu</t>
  </si>
  <si>
    <t xml:space="preserve">m</t>
  </si>
  <si>
    <t xml:space="preserve">12.1.12.b.</t>
  </si>
  <si>
    <t xml:space="preserve">Unutarnji odbojnici u vjetrobranu.</t>
  </si>
  <si>
    <t xml:space="preserve">12.1.12.c.</t>
  </si>
  <si>
    <t xml:space="preserve">Unutarnji odbojnici na strukturalnoj fasadi.</t>
  </si>
  <si>
    <t xml:space="preserve">12.1.13.</t>
  </si>
  <si>
    <t xml:space="preserve">Stijene vjetrobrana u sistemu strukturalne fasade</t>
  </si>
  <si>
    <t xml:space="preserve">Dobava materijala, izrada, suha montaža, opremanje i završna obrada ostakljenih fasadnih stijena vjetrobrana u sistemu strukturalne fasade s jednokrilnim i dvokrilnim automatskim kliznim vratima.
Okviri stijena izrađuju se od aluminijskih fasadnih profila s prekinutim toplinskim mostom, kao Metra Poliedra SKY 50 CV, Schüco ili jednakovrijedno.
Koeficijent prolaska topline za sklop ostakljenih stijena Uw=1,55 W/m2K.
Ostakljenje IZO staklom: 66.2 low iron (laminirano staklo 6+6 mm, s PVB folijom debljine 0,76 mm) + 27 mm šupljina ispunjena argonom 90% + 66.2 low iron (laminirano staklo 6+6 mm, s akustičnom PVB folijom debljine 0,76 mm); lowE premaz na površini 3. Koeficijent prolaska topline Ug=1,1 W/m2K.
Stavka uključuje sve potrebne elemente pričvršćenja - slijepe dovratnike, spojne ploče i</t>
  </si>
  <si>
    <t xml:space="preserve">vijčani pribor u skladu s Eurospin standardom. Svi sidreni i spojni elementi strukturalne fasade vruće cinčani u "suhoj" zoni, inox A2 kvalitete u "mokroj" zoni.
U jediničnoj cijeni stavke uključene su sve obrade priključaka vrata na konstrukciju građevine i na druge sustave fasadne obloge - opšavi od aluminijskog lima završne obrade kao profili.
U sklopu fasadnih stijena ugrađuju se jednokrilna i dvokrilna automatska klizna vrata izrađena od aluminijskih profila kao ASSA ABLOY Entrance system Slim Eco Telescopic ili jednakovrijedno, širine 30 mm.
Ostakljenje kliznih vrata IZO staklom: 33.1 (laminirano staklo 2x3 mm, s PVB folijom debljine 0,76 mm) + 10 mm šupljina ispunjena argonom + 33.1 (laminirano staklo 2x3 mm, s akustičnom PVB folijom debljine 0,76 mm); lowE, Ug=1,1 W/m2K.
Završna obrada profila plastificiranjem u boji</t>
  </si>
  <si>
    <t xml:space="preserve">RAL 7043, gloss 20.
Klizna vrata opremiti:
1. okvirom krila s kliznim okovom, sustavom vodilica i pogonom vrata, kao ASSA ABLOY Slim Eco Telescopic s automatikom ASSA ABLOY UNISLIDE T, te
pogonom ASSA ABLOY SL500 ili GEZE ISO s automatizacijom Ec drive T2 ili jednakovrijedno;
2. sustavom unutarnjeg i vanjskog radara, kao ASSA ABLOY ili GEZE ili jednakovrijedno;
3. mehaničkim sustavom otvaranja odnosno deblokade;
4. elektromotornom bravom s pripremom elektroinstalacije i izradom spoja na vatrodojavnu centralu;
5. sustavima za automatsko zatvaranje u slučaju kada dobiju signal od sustava vatrodojave (baterija ili protuuteg);
6. tipkalom za deblokadu vrata s pripremom elektroinstalacije i izradom spoja na</t>
  </si>
  <si>
    <t xml:space="preserve">vatrodojavnu centralu;
7. sustavom prisilnog otvaranja s pripremom elektroinstalacije i izradom spoja na vatrodojavnu centralu.
Ugradnju izvesti prema smjernicama i pravilima RAL ugradnje i smjernicama dobavljača sistema. Stavka uključuje sve potrebne brtveće folije, bubreće trake i montažne pjene.
U stavci uključeno:
_ sav potreban spojni i montažni pribor;
_ zaštita PE folijom nakon ugradnje;
_ završno brtvljenje i popravci eventualnih oštećenja do pune estetske gotovosti.
Izvedba u svemu prema standardnoj tehničkoj specifikaciji prodajnog mjesta Eurospin - točka 12.1.1. - 12.1.7. i 12.1.14.
Detalji izvedbe u svemu prema standardnoj tehničkoj specifikaciji prodajnog mjesta Eurospin - poglavlje 12. - prikazi 35 i 36.
Sve prema shemi bravarije SS1.</t>
  </si>
  <si>
    <t xml:space="preserve">Obračun po m2 i kompletu.</t>
  </si>
  <si>
    <t xml:space="preserve">12.1.13.a.</t>
  </si>
  <si>
    <t xml:space="preserve">Strukturalna fasada vjetrobrana (vanjska i unutarnja).</t>
  </si>
  <si>
    <t xml:space="preserve">12.1.13.b.</t>
  </si>
  <si>
    <t xml:space="preserve">Vanjska jednokrilna automatska klizna vrata dimenzija svijetlog otvora 110/240 cm.</t>
  </si>
  <si>
    <t xml:space="preserve">12.1.13.c.</t>
  </si>
  <si>
    <t xml:space="preserve">Unutarnja dvokrilna automatska klizna vrata dimenzija svijetlog otvora 145/240 cm.</t>
  </si>
  <si>
    <t xml:space="preserve">STANDARDNA VANJSKA BRAVARIJA UKUPNO:</t>
  </si>
  <si>
    <t xml:space="preserve">12.2.</t>
  </si>
  <si>
    <t xml:space="preserve">NESTANDARDNA VANJSKA BRAVARIJA</t>
  </si>
  <si>
    <t xml:space="preserve">Izvedba u svemu prema standardnoj tehničkoj specifikaciji prodajnog mjesta Eurospin - točka 12.2.</t>
  </si>
  <si>
    <t xml:space="preserve">12.2.1.</t>
  </si>
  <si>
    <t xml:space="preserve">Komarnik </t>
  </si>
  <si>
    <t xml:space="preserve">Izrada, isporuka i ugradnja vanjskog komarnika u fiksnom aluminijskom okviru, sive mat boje RAL 7043 GLOSS 20, kao prozori. Ugradnja direktno na vanjsku stranu prozora koji se otvaraju.
U stavci uključen sav potreban spojni i montažni pribor.
Izvedba u svemu prema standardnoj tehničkoj specifikaciji prodajnog mjesta Eurospin - točka 12.2.3.
Obračun po kompletu.</t>
  </si>
  <si>
    <t xml:space="preserve">12.2.1.a.</t>
  </si>
  <si>
    <t xml:space="preserve">komarnik uz prozor P1, dimenzija 140/100 cm.</t>
  </si>
  <si>
    <t xml:space="preserve">12.2.1.b.</t>
  </si>
  <si>
    <t xml:space="preserve">komarnik uz prozor P2, dimenzija 420/100 cm.</t>
  </si>
  <si>
    <t xml:space="preserve">12.2.1.c.</t>
  </si>
  <si>
    <t xml:space="preserve">komarnik uz prozore P3 i P4, dimenzija 500/100 cm.</t>
  </si>
  <si>
    <t xml:space="preserve">12.2.2.</t>
  </si>
  <si>
    <t xml:space="preserve">Ulazna stijena poslovnog prostora na prvom katu</t>
  </si>
  <si>
    <t xml:space="preserve">Izrada, doprema na gradilište, ugradnja i pripasivanje ulazne trodijelne stijene od PVC profila - jednokrilna, zaokretna vrata, fiksno polje i zaokretno-otklopni prozor, ukupnih dimenzija 290x127-222 cm. Vrata svijetle mjere 91/215 cm.
Svi PVC profili 6 komorni s ugrađenim čeličnim profilom - ojačanjem, s 2 (dvije) brtve.
Okov je sistemski, klase antikorozivnosti 5 prema HRN EN 1670. Koeficijent prolaska topline Uw=1,55 W/m2K.
Ostakljenje IZO staklom: 44.2 low iron (laminirano staklo 4+4 mm, s PVB folijom debljine 0,76 mm) + 16 mm šupljina ispunjena argonom + 44.2 mid iron (laminirano staklo 4+4 mm, s akustičnom PVB folijom debljine 0,76 mm); lowE, Ug=1,1 W/m2K.
Ugradnja u postojeći ab zid, zid od opeke i sl. s toplinskom fasadom.
Stavka uključuje sve potrebne elemente</t>
  </si>
  <si>
    <t xml:space="preserve">pričvršćenja - slijepe dovratnike, spojne ploče i vijčani pribor u skladu s Eurospin standardom.
U jediničnoj cijeni stavke uključene su sve obrade priključaka vrata na konstrukciju građevine i na druge sustave fasadne obloge - opšavi od aluminijskog lima završne obrade kao profili.
Boja po izboru predstavnika investitora, bijela.
Vrata opremiti:
1. okovom za zaokretna krila - podesivim pantima, minimalno 3 kom/krilu, otvaranje prema unutra;
2. cilindar bravom s 3 točke zaključavanja za jednokrilna vrata + ključ u sustavu masterkeya;
3. evakuacijskom kvakom iznutra i fiksnom kuglom s rozetom izvana, u inox izvedbi, sukladno HRN EN 179 ili jednakovrijedno;
4. donji profil, prag je aluminijski, s prekidom toplinskog mosta, ukupne visine 20 mm, na spoju s podom treba biti pripremljen za prihvat hidroizolacije te se dodatnim profilom vezati na</t>
  </si>
  <si>
    <t xml:space="preserve">vanjsko opločenje stepenica cca 2 cm niže od nivoa poda unutar građevine, s vanjske strane EPDM brtva;
5. podnim ili zidnim graničnikom otvaranja.
Ugradnju izvesti prema smjernicama i pravilima RAL ugradnje i smjernicama dobavljača sistema. Stavka uključuje sve potrebne brtveće folije, bubreće trake i montažne pjene.
U stavci uključeno:
_ sav potreban spojni i montažni pribor;
_ zaštita PE folijom nakon ugradnje;
_ završno brtvljenje i popravci eventualnih oštećenja do pune estetske gotovosti.
Mjesto ugradbe: prvi kat, novi vanjski ulaz. Obračun po komadu / kompletu kompletne izvedbe, do potpune gotovosti i pune funkcionalnosti.</t>
  </si>
  <si>
    <t xml:space="preserve">Napomena: prema uputi investitora stavka uklonjena iz ponude - ne izvodi se</t>
  </si>
  <si>
    <t xml:space="preserve">12.2.2.a.</t>
  </si>
  <si>
    <t xml:space="preserve">NESTANDARDNA VANJSKA BRAVARIJA UKUPNO:</t>
  </si>
  <si>
    <t xml:space="preserve">12.3.</t>
  </si>
  <si>
    <t xml:space="preserve">STANDARDNA UNUTARNJA BRAVARIJA</t>
  </si>
  <si>
    <t xml:space="preserve">Izvedba u svemu prema standardnoj tehničkoj specifikaciji prodajnog mjesta Eurospin - točka 12.3.</t>
  </si>
  <si>
    <t xml:space="preserve">12.3.1.</t>
  </si>
  <si>
    <t xml:space="preserve">Unutarnja vrata pomoćnih prostora</t>
  </si>
  <si>
    <t xml:space="preserve">12.3.1.1.</t>
  </si>
  <si>
    <t xml:space="preserve">Unutarnja vrata predprostora za kupce</t>
  </si>
  <si>
    <t xml:space="preserve">Dobava materijala, izrada, suha montaža, opremanje i završna obrada unutarnjih jednokrilnih zaokretnih punih vrata predprostora za kupce iz PVC ploča i profila, presvučena glatkim plastičnim laminatom otpornim na ogrebotine. Dovratnik, krilo, pokrovne letvice završna obrada i rub panela u PVC-u u boji RAL 9010.
Vrata opremiti:
1. okovom za zaokretna krila - podesivim pantima, minimalno 3 kom/krilu;
2. europrofilnom cilindar bravom i 3 ključa u inox izvedbi;
3. ručkama protiv zapinjanja kružnog presjeka s obje strane (duge ručke na ulaznim vratima iz prodajnog prostora u skladu s propisom o pristupačnosti za osobe s invaliditetom) i rozetama u inox izvedbi;
4. podnim ili zidnim graničnikom otvaranja.
Završna obrada pribora u satenskom kromu.</t>
  </si>
  <si>
    <t xml:space="preserve">U stavci uključeno:
_ sav potreban spojni i montažni pribor;
_ zaštita PE folijom nakon ugradnje;
_ završno brtvljenje i popravci eventualnih oštećenja do pune estetske gotovosti.
Izvedba u svemu prema standardnoj tehničkoj specifikaciji prodajnog mjesta Eurospin - točka 12.3.1.a)
Detalji izvedbe u svemu prema standardnoj tehničkoj specifikaciji prodajnog mjesta Eurospin - poglavlje 12. - grafički prikaz 37.
Sve prema shemi bravarije U1.
Obračun po kompletu.</t>
  </si>
  <si>
    <t xml:space="preserve">12.3.1.1.a.</t>
  </si>
  <si>
    <t xml:space="preserve">Vrata dimenzija 98/229 cm.</t>
  </si>
  <si>
    <t xml:space="preserve">12.3.1.2.</t>
  </si>
  <si>
    <t xml:space="preserve">Unutarnja vrata WC-a za kupce</t>
  </si>
  <si>
    <t xml:space="preserve">Dobava materijala, izrada, suha montaža, opremanje i završna obrada unutarnjih jednokrilnih zaokretnih punih vrata WC-a za kupce, iz PVC ploča i profila, presvučena glatkim plastičnim laminatom otpornim na ogrebotine. Dovratnik, krilo, pokrovne letvice završna obrada i rub panela u PVC-u u boji RAL 9010.
Vrata opremiti:
1. okovom za zaokretna krila - podesivim pantima, minimalno 3 kom/krilu;
2. cilindar bravom i 3 ključa u inox izvedbi;
3. kvakama i rozetama u inox izvedbi.
Kvaka s magnetom za zatvaranje s unutarnje strane i pokazivačem slobodno / zauzeto s vanjske strane;
4. hidrauličnom povratnom pumpom s vodilicom na vratnom krilu (osim u WC-u osoba s invaliditetom i smanjene pokretljivosti);
5. podnim ili zidnim graničnikom otvaranja.
6. prestrujnom rešetkom u donjoj zoni vratnog</t>
  </si>
  <si>
    <t xml:space="preserve">krila, dimenzija 325/125 mm, prema strojarskom projektu (dobava obračunata zasebno).
U stavci uključeno:
_ sav potreban spojni i montažni pribor;
_ zaštita PE folijom nakon ugradnje;
_ završno brtvljenje i popravci eventualnih oštećenja do pune estetske gotovosti.
Izvedba u svemu prema standardnoj tehničkoj specifikaciji prodajnog mjesta Eurospin - točka 12.3.1.b)
Detalji izvedbe u svemu prema standardnoj tehničkoj specifikaciji prodajnog mjesta Eurospin - poglavlje 12. - grafički prikaz 37.
Obračun po kompletu.</t>
  </si>
  <si>
    <t xml:space="preserve">12.3.1.2.a.</t>
  </si>
  <si>
    <t xml:space="preserve">Vrata dimenzija 88/214 cm - vrata predprostora wc-a za kupce i vrata wc kabina za kupce.
Sve prema shemi bravarije U3.</t>
  </si>
  <si>
    <t xml:space="preserve">12.3.1.2.b.</t>
  </si>
  <si>
    <t xml:space="preserve">Vrata dimenzija 98/214 cm - vrata WC-a osoba s invaliditetom i smanjene pokretljivosti.
 Sve prema shemi bravarije U2.</t>
  </si>
  <si>
    <t xml:space="preserve">12.3.1.3.</t>
  </si>
  <si>
    <t xml:space="preserve">Unutarnja vrata prostora za radnike</t>
  </si>
  <si>
    <t xml:space="preserve">Dobava materijala, izrada, suha montaža, opremanje i završna obrada unutarnjih jednokrilnih zaokretnih punih vrata prostorija za radnike, iz PVC ploča i profila, presvučena glatkim plastičnim laminatom otpornim na ogrebotine. Dovratnik, krilo, pokrovne letvice završna obrada i rub panela u PVC-u u boji RAL 9010.
Vrata opremiti:
1. okovom za zaokretna krila - podesivim pantima, minimalno 3 kom/krilu;
2. cilindar bravom i 3 ključa u inox izvedbi;
3. kvakama i rozetama u inox izvedbi; Kvaka s magnetom za zatvaranje s unutarnje strane i pokazivačem slobodno / zauzeto s vanjske strane;
4. hidrauličnom povratnom pumpom s vodilicom na vratnom krilu;
5. podnim ili zidnim graničnikom otvaranja.
6. prestrujnom rešetkom u donjoj zoni vratnog krila, dimenzija 325/125 mm, prema strojarskom</t>
  </si>
  <si>
    <t xml:space="preserve">projektu (dobava obračunata zasebno).
U stavci uključeno:
_ sav potreban spojni i montažni pribor;
_ zaštita PE folijom nakon ugradnje;
_ završno brtvljenje i popravci eventualnih oštećenja do pune estetske gotovosti.
Izvedba u svemu prema standardnoj tehničkoj specifikaciji prodajnog mjesta Eurospin - točka 12.3.1.c)
Detalji izvedbe u svemu prema standardnoj tehničkoj specifikaciji prodajnog mjesta Eurospin - poglavlje 12. - prikaz 37.
Obračun po kompletu.</t>
  </si>
  <si>
    <t xml:space="preserve">12.3.1.3.a.</t>
  </si>
  <si>
    <t xml:space="preserve">Vrata dimenzija 88/214 cm.
Sve prema shemi bravarije U3.
Mjesto ugradbe: garderobe radnika, WC radnika, prostor za odmor.</t>
  </si>
  <si>
    <t xml:space="preserve">12.3.1.3.b.</t>
  </si>
  <si>
    <t xml:space="preserve">Vrata dimenzija 74/185 cm.
Mjesto ugrabde: tuš kabina.</t>
  </si>
  <si>
    <t xml:space="preserve">Unutarnja vrata pomoćnih prostora UKUPNO:</t>
  </si>
  <si>
    <t xml:space="preserve">12.3.3.</t>
  </si>
  <si>
    <t xml:space="preserve">Unutarnja vrata kontrolne sobe</t>
  </si>
  <si>
    <t xml:space="preserve">Dobava materijala, izrada, suha montaža, opremanje i završna obrada unutarnjih zaokretnih protuprovalnih punih vrata kontrolnog ureda/trezora.
Vrata klase 3 otpornosti na provalu prema UNI –ENV 1627-30, svj. mjere 90/240 cm, sa samonosivim čeličnim okvirom.
U kompletu s električnom motoriziranom bravom koja se otvara bedžom, obračunata zasebno, (vrijeme otvaranja izvana s bedžom ili iznutra s ručkom manje od 2 sekunde), uključujući isporuku 3 bedža i ključa za hitan pristup u slučaju kvara na mreži izvana. Vrata se uvijek otvaraju iznutra pomoću ručke čak i u slučaju kvara na mreži.
Dovratnik i okvir vratnih krila izrađeni od aluminijskih profila. Krila obložena aluminijskim limom i ispunjena negorivom kamenom vunom.
Špalete oko ugradbenog otvora opšivaju se u punoj širini limom i rubnim kutnim lajsnama. Opšav izrađen od aluminijskog lima, završno obrađen kao</t>
  </si>
  <si>
    <t xml:space="preserve">dovratnik i krilo. Montaža skrivenim mehaničkim pričvršćenjem.
Završna obrada profila plastificiranjem u boji RAL 9010.
Vrata opremiti:
1. protuprovalnim okovom za zaokretna krila;
2. protuprovalnom cilindar bravom i 3 ključa u inox izvedbi;
3. kvakom, kuglom i rozetama u inox izvedbi, na strani prodajnog prostora opremljena kuglom;
4. priprema za ugradbu električne brave;
5. hidrauličnom povratnom pumpom s vodilicom na vratnom krilu;
6. podnim ili zidnim graničnikom otvaranja;
7. okvir od čeličnih profila za ugradnju na zid u boji RAL 9010.
Završna obrada pribora u satenskom kromu.
U stavci uključeno:
_ sav potreban spojni i montažni pribor;
_ zaštita PE folijom nakon ugradnje;</t>
  </si>
  <si>
    <t xml:space="preserve">_ završno brtvljenje i popravci eventualnih oštećenja do pune estetske gotovosti.
Izvedba u svemu prema standardnoj tehničkoj specifikaciji prodajnog mjesta Eurospin - točka 12.3.3.
Detalji izvedbe u svemu prema standardnoj tehničkoj specifikaciji prodajnog mjesta Eurospin - poglavlje 12. - grafički prikaz 38.
Sve prema shemi bravarije U7.
Obračun po kompletu.</t>
  </si>
  <si>
    <t xml:space="preserve">12.3.3.a.</t>
  </si>
  <si>
    <t xml:space="preserve">12.3.6.</t>
  </si>
  <si>
    <t xml:space="preserve">Unutarnji prozor prostora za obradu mesa</t>
  </si>
  <si>
    <t xml:space="preserve">Dobava materijala, izrada, suha montaža, opremanje i završna obrada unutarnjeg jednodjelnog fiksno ostakljenog prozora prostora za obradu mesa.
Doprozornici izrađeni od aluminijskih profila bez riješenog toplinskog mosta - hladni profil širine 50 mm, kao Metra NC50 ili jednakovrijedno.
Ostakljenje sigurnosnim laminiranim staklom 5+5 mm, s PVB folijom, debljine 0,76 mm, ekstra prozirno, polirano sa svih strana podijeljeno u 4 polja.
Stavka uključuje sve potrebne elemente pričvršćenja - slijepe doprozornike, spojne ploče i vijčani pribor u skladu s Eurospin standardom.
U jediničnoj cijeni stavke uključene su sve obrade priključaka prozora na konstrukciju građevine - opšavi od aluminijskog lima završne obrade kao profili.
Završna obrada profila plastificiranjem u boji RAL 7035.</t>
  </si>
  <si>
    <t xml:space="preserve">U stavci uključeno:
_ sav potreban spojni i montažni pribor;
_ zaštita PE folijom nakon ugradnje;
_ završno brtvljenje i popravci eventualnih oštećenja do pune estetske gotovosti.
Izvedba u svemu prema standardnoj tehničkoj specifikaciji prodajnog mjesta Eurospin - točka 12.3.7.
Detalji izvedbe u svemu prema standardnoj tehničkoj specifikaciji prodajnog mjesta Eurospin - poglavlje 12. - grafički prikaz 39.
Sve prema shemi bravarije U6.
Obračun po kompletu i kg.</t>
  </si>
  <si>
    <t xml:space="preserve">12.3.6.a.</t>
  </si>
  <si>
    <t xml:space="preserve">Prozor dimenzija 605x200 cm.</t>
  </si>
  <si>
    <t xml:space="preserve">STANDARDNA UNUTARNJA BRAVARIJA UKUPNO:</t>
  </si>
  <si>
    <t xml:space="preserve">BRAVARIJA UKUPNO: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</si>
</sst>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\ [$€-1]"/>
  </numFmts>
  <fonts count="10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238"/>
    </font>
    <font>
      <sz val="9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4B4B4"/>
        <bgColor rgb="FFC8C8C8"/>
      </patternFill>
    </fill>
    <fill>
      <patternFill patternType="solid">
        <fgColor rgb="FFD3D3D3"/>
        <bgColor rgb="FFDCDCDC"/>
      </patternFill>
    </fill>
    <fill>
      <patternFill patternType="solid">
        <fgColor rgb="FFC8C8C8"/>
        <bgColor rgb="FFD3D3D3"/>
      </patternFill>
    </fill>
    <fill>
      <patternFill patternType="solid">
        <fgColor rgb="FFDCDCDC"/>
        <bgColor rgb="FFD3D3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27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DC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4B4B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6.xml"/><Relationship Id="rId5" Type="http://schemas.openxmlformats.org/officeDocument/2006/relationships/customXml" Target="../customXml/item5.xml"/><Relationship Id="rId4" Type="http://schemas.openxmlformats.org/officeDocument/2006/relationships/customXml" Target="../customXml/item4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4:G180"/>
  <sheetViews>
    <sheetView showFormulas="false" showGridLines="true" showRowColHeaders="true" showZeros="false" rightToLeft="false" tabSelected="true" showOutlineSymbols="true" defaultGridColor="true" view="pageBreakPreview" topLeftCell="A170" colorId="64" zoomScale="90" zoomScaleNormal="75" zoomScalePageLayoutView="90" workbookViewId="0">
      <selection pane="topLeft" activeCell="E173" activeCellId="0" sqref="E173"/>
    </sheetView>
  </sheetViews>
  <sheetFormatPr defaultColWidth="9.1484375" defaultRowHeight="12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2" width="37.71"/>
    <col collapsed="false" customWidth="true" hidden="false" outlineLevel="0" max="3" min="3" style="3" width="7.71"/>
    <col collapsed="false" customWidth="true" hidden="false" outlineLevel="0" max="5" min="4" style="1" width="10.71"/>
    <col collapsed="false" customWidth="true" hidden="false" outlineLevel="0" max="6" min="6" style="1" width="12.71"/>
    <col collapsed="false" customWidth="false" hidden="false" outlineLevel="0" max="1025" min="7" style="1" width="9.13"/>
  </cols>
  <sheetData>
    <row r="4" customFormat="false" ht="12" hidden="false" customHeight="true" outlineLevel="0" collapsed="false">
      <c r="A4" s="4" t="s">
        <v>0</v>
      </c>
      <c r="B4" s="5" t="s">
        <v>1</v>
      </c>
      <c r="C4" s="5"/>
      <c r="D4" s="5"/>
      <c r="E4" s="5"/>
      <c r="F4" s="5"/>
    </row>
    <row r="6" customFormat="false" ht="12" hidden="false" customHeight="false" outlineLevel="0" collapsed="false">
      <c r="A6" s="4"/>
      <c r="B6" s="5" t="s">
        <v>2</v>
      </c>
      <c r="C6" s="6"/>
      <c r="D6" s="4"/>
      <c r="E6" s="4"/>
      <c r="F6" s="4"/>
    </row>
    <row r="8" customFormat="false" ht="264" hidden="true" customHeight="false" outlineLevel="0" collapsed="false">
      <c r="B8" s="7" t="s">
        <v>3</v>
      </c>
    </row>
    <row r="9" customFormat="false" ht="252" hidden="true" customHeight="false" outlineLevel="0" collapsed="false">
      <c r="B9" s="7" t="s">
        <v>4</v>
      </c>
    </row>
    <row r="10" customFormat="false" ht="240" hidden="true" customHeight="false" outlineLevel="0" collapsed="false">
      <c r="B10" s="7" t="s">
        <v>5</v>
      </c>
    </row>
    <row r="11" customFormat="false" ht="264" hidden="true" customHeight="false" outlineLevel="0" collapsed="false">
      <c r="B11" s="7" t="s">
        <v>6</v>
      </c>
    </row>
    <row r="12" customFormat="false" ht="264" hidden="true" customHeight="false" outlineLevel="0" collapsed="false">
      <c r="B12" s="7" t="s">
        <v>7</v>
      </c>
    </row>
    <row r="13" customFormat="false" ht="276" hidden="true" customHeight="false" outlineLevel="0" collapsed="false">
      <c r="B13" s="7" t="s">
        <v>8</v>
      </c>
    </row>
    <row r="14" customFormat="false" ht="264" hidden="true" customHeight="false" outlineLevel="0" collapsed="false">
      <c r="B14" s="7" t="s">
        <v>9</v>
      </c>
    </row>
    <row r="15" customFormat="false" ht="252" hidden="true" customHeight="false" outlineLevel="0" collapsed="false">
      <c r="B15" s="7" t="s">
        <v>10</v>
      </c>
    </row>
    <row r="16" customFormat="false" ht="276" hidden="true" customHeight="false" outlineLevel="0" collapsed="false">
      <c r="B16" s="7" t="s">
        <v>11</v>
      </c>
    </row>
    <row r="17" customFormat="false" ht="24" hidden="true" customHeight="false" outlineLevel="0" collapsed="false">
      <c r="B17" s="7" t="s">
        <v>12</v>
      </c>
    </row>
    <row r="19" customFormat="false" ht="30" hidden="false" customHeight="true" outlineLevel="0" collapsed="false">
      <c r="A19" s="8" t="s">
        <v>13</v>
      </c>
      <c r="B19" s="8" t="s">
        <v>14</v>
      </c>
      <c r="C19" s="8" t="s">
        <v>15</v>
      </c>
      <c r="D19" s="8" t="s">
        <v>16</v>
      </c>
      <c r="E19" s="8" t="s">
        <v>17</v>
      </c>
      <c r="F19" s="8" t="s">
        <v>18</v>
      </c>
    </row>
    <row r="21" customFormat="false" ht="12" hidden="false" customHeight="true" outlineLevel="0" collapsed="false">
      <c r="A21" s="9" t="s">
        <v>19</v>
      </c>
      <c r="B21" s="10" t="s">
        <v>20</v>
      </c>
      <c r="C21" s="10"/>
      <c r="D21" s="10"/>
      <c r="E21" s="10"/>
      <c r="F21" s="10"/>
    </row>
    <row r="23" customFormat="false" ht="12" hidden="false" customHeight="false" outlineLevel="0" collapsed="false">
      <c r="A23" s="9"/>
      <c r="B23" s="10" t="s">
        <v>2</v>
      </c>
      <c r="C23" s="11"/>
      <c r="D23" s="9"/>
      <c r="E23" s="9"/>
      <c r="F23" s="9"/>
    </row>
    <row r="25" customFormat="false" ht="36" hidden="false" customHeight="false" outlineLevel="0" collapsed="false">
      <c r="B25" s="7" t="s">
        <v>21</v>
      </c>
    </row>
    <row r="27" customFormat="false" ht="12" hidden="false" customHeight="true" outlineLevel="0" collapsed="false">
      <c r="A27" s="12" t="s">
        <v>22</v>
      </c>
      <c r="B27" s="13" t="s">
        <v>23</v>
      </c>
      <c r="C27" s="13"/>
      <c r="D27" s="13"/>
      <c r="E27" s="13"/>
      <c r="F27" s="13"/>
    </row>
    <row r="29" customFormat="false" ht="12" hidden="false" customHeight="true" outlineLevel="0" collapsed="false">
      <c r="A29" s="12" t="s">
        <v>24</v>
      </c>
      <c r="B29" s="13" t="s">
        <v>25</v>
      </c>
      <c r="C29" s="13"/>
      <c r="D29" s="13"/>
      <c r="E29" s="13"/>
      <c r="F29" s="13"/>
    </row>
    <row r="31" customFormat="false" ht="12" hidden="false" customHeight="true" outlineLevel="0" collapsed="false">
      <c r="A31" s="12" t="s">
        <v>26</v>
      </c>
      <c r="B31" s="13" t="s">
        <v>27</v>
      </c>
      <c r="C31" s="13"/>
      <c r="D31" s="13"/>
      <c r="E31" s="13"/>
      <c r="F31" s="13"/>
    </row>
    <row r="33" customFormat="false" ht="12" hidden="false" customHeight="true" outlineLevel="0" collapsed="false">
      <c r="A33" s="12" t="s">
        <v>28</v>
      </c>
      <c r="B33" s="13" t="s">
        <v>29</v>
      </c>
      <c r="C33" s="13"/>
      <c r="D33" s="13"/>
      <c r="E33" s="13"/>
      <c r="F33" s="13"/>
    </row>
    <row r="35" customFormat="false" ht="12" hidden="false" customHeight="true" outlineLevel="0" collapsed="false">
      <c r="A35" s="12" t="s">
        <v>30</v>
      </c>
      <c r="B35" s="13" t="s">
        <v>31</v>
      </c>
      <c r="C35" s="13"/>
      <c r="D35" s="13"/>
      <c r="E35" s="13"/>
      <c r="F35" s="13"/>
    </row>
    <row r="37" customFormat="false" ht="12" hidden="false" customHeight="true" outlineLevel="0" collapsed="false">
      <c r="A37" s="12" t="s">
        <v>32</v>
      </c>
      <c r="B37" s="13" t="s">
        <v>33</v>
      </c>
      <c r="C37" s="13"/>
      <c r="D37" s="13"/>
      <c r="E37" s="13"/>
      <c r="F37" s="13"/>
    </row>
    <row r="39" customFormat="false" ht="12" hidden="false" customHeight="true" outlineLevel="0" collapsed="false">
      <c r="A39" s="12" t="s">
        <v>34</v>
      </c>
      <c r="B39" s="13" t="s">
        <v>35</v>
      </c>
      <c r="C39" s="13"/>
      <c r="D39" s="13"/>
      <c r="E39" s="13"/>
      <c r="F39" s="13"/>
    </row>
    <row r="41" customFormat="false" ht="24" hidden="false" customHeight="false" outlineLevel="0" collapsed="false">
      <c r="A41" s="14" t="s">
        <v>36</v>
      </c>
      <c r="B41" s="15" t="s">
        <v>37</v>
      </c>
    </row>
    <row r="42" customFormat="false" ht="276" hidden="false" customHeight="false" outlineLevel="0" collapsed="false">
      <c r="B42" s="7" t="s">
        <v>38</v>
      </c>
    </row>
    <row r="43" customFormat="false" ht="240" hidden="false" customHeight="false" outlineLevel="0" collapsed="false">
      <c r="B43" s="7" t="s">
        <v>39</v>
      </c>
    </row>
    <row r="44" customFormat="false" ht="264" hidden="false" customHeight="false" outlineLevel="0" collapsed="false">
      <c r="B44" s="7" t="s">
        <v>40</v>
      </c>
    </row>
    <row r="45" customFormat="false" ht="264" hidden="false" customHeight="false" outlineLevel="0" collapsed="false">
      <c r="B45" s="7" t="s">
        <v>41</v>
      </c>
    </row>
    <row r="46" customFormat="false" ht="264" hidden="false" customHeight="false" outlineLevel="0" collapsed="false">
      <c r="B46" s="7" t="s">
        <v>42</v>
      </c>
    </row>
    <row r="47" customFormat="false" ht="240" hidden="false" customHeight="false" outlineLevel="0" collapsed="false">
      <c r="B47" s="7" t="s">
        <v>43</v>
      </c>
    </row>
    <row r="48" customFormat="false" ht="24" hidden="false" customHeight="false" outlineLevel="0" collapsed="false">
      <c r="A48" s="1" t="s">
        <v>44</v>
      </c>
      <c r="B48" s="16" t="s">
        <v>45</v>
      </c>
      <c r="C48" s="3" t="s">
        <v>46</v>
      </c>
      <c r="D48" s="17" t="n">
        <v>6.42</v>
      </c>
      <c r="E48" s="18" t="n">
        <v>410</v>
      </c>
      <c r="F48" s="18" t="n">
        <f aca="false">IF(OR(OR(E48=0,E48=""),OR(D48=0,D48="")),"",$D48*E48)</f>
        <v>2632.2</v>
      </c>
      <c r="G48" s="19"/>
    </row>
    <row r="49" customFormat="false" ht="24" hidden="false" customHeight="false" outlineLevel="0" collapsed="false">
      <c r="A49" s="1" t="s">
        <v>47</v>
      </c>
      <c r="B49" s="16" t="s">
        <v>48</v>
      </c>
      <c r="C49" s="3" t="s">
        <v>46</v>
      </c>
      <c r="D49" s="17" t="n">
        <v>14.22</v>
      </c>
      <c r="E49" s="18" t="n">
        <v>410</v>
      </c>
      <c r="F49" s="18" t="n">
        <f aca="false">IF(OR(OR(E49=0,E49=""),OR(D49=0,D49="")),"",$D49*E49)</f>
        <v>5830.2</v>
      </c>
      <c r="G49" s="19"/>
    </row>
    <row r="50" customFormat="false" ht="24" hidden="false" customHeight="false" outlineLevel="0" collapsed="false">
      <c r="A50" s="1" t="s">
        <v>49</v>
      </c>
      <c r="B50" s="16" t="s">
        <v>50</v>
      </c>
      <c r="C50" s="3" t="s">
        <v>46</v>
      </c>
      <c r="D50" s="17" t="n">
        <v>14.22</v>
      </c>
      <c r="E50" s="18" t="n">
        <v>410</v>
      </c>
      <c r="F50" s="18" t="n">
        <f aca="false">IF(OR(OR(E50=0,E50=""),OR(D50=0,D50="")),"",$D50*E50)</f>
        <v>5830.2</v>
      </c>
      <c r="G50" s="19"/>
    </row>
    <row r="51" customFormat="false" ht="24" hidden="false" customHeight="false" outlineLevel="0" collapsed="false">
      <c r="A51" s="1" t="s">
        <v>51</v>
      </c>
      <c r="B51" s="16" t="s">
        <v>52</v>
      </c>
      <c r="C51" s="3" t="s">
        <v>53</v>
      </c>
      <c r="D51" s="17" t="n">
        <v>1</v>
      </c>
      <c r="E51" s="18" t="n">
        <v>1600</v>
      </c>
      <c r="F51" s="18" t="n">
        <f aca="false">IF(OR(OR(E51=0,E51=""),OR(D51=0,D51="")),"",$D51*E51)</f>
        <v>1600</v>
      </c>
      <c r="G51" s="19"/>
    </row>
    <row r="52" customFormat="false" ht="12" hidden="false" customHeight="false" outlineLevel="0" collapsed="false">
      <c r="E52" s="20" t="s">
        <v>54</v>
      </c>
      <c r="F52" s="21" t="n">
        <f aca="false">SUM(F48:F51)</f>
        <v>15892.6</v>
      </c>
    </row>
    <row r="54" customFormat="false" ht="12" hidden="false" customHeight="true" outlineLevel="0" collapsed="false">
      <c r="A54" s="12" t="s">
        <v>34</v>
      </c>
      <c r="B54" s="13" t="s">
        <v>55</v>
      </c>
      <c r="C54" s="13"/>
      <c r="D54" s="13"/>
      <c r="E54" s="13"/>
      <c r="F54" s="22" t="n">
        <f aca="false">SUM(F52)</f>
        <v>15892.6</v>
      </c>
      <c r="G54" s="22" t="n">
        <f aca="false">SUM(G52)</f>
        <v>0</v>
      </c>
    </row>
    <row r="56" customFormat="false" ht="12" hidden="false" customHeight="false" outlineLevel="0" collapsed="false">
      <c r="A56" s="14" t="s">
        <v>56</v>
      </c>
      <c r="B56" s="15" t="s">
        <v>57</v>
      </c>
    </row>
    <row r="57" customFormat="false" ht="264" hidden="false" customHeight="false" outlineLevel="0" collapsed="false">
      <c r="B57" s="7" t="s">
        <v>58</v>
      </c>
    </row>
    <row r="58" customFormat="false" ht="276" hidden="false" customHeight="false" outlineLevel="0" collapsed="false">
      <c r="B58" s="7" t="s">
        <v>59</v>
      </c>
    </row>
    <row r="59" customFormat="false" ht="252" hidden="false" customHeight="false" outlineLevel="0" collapsed="false">
      <c r="B59" s="7" t="s">
        <v>60</v>
      </c>
    </row>
    <row r="60" customFormat="false" ht="24" hidden="false" customHeight="false" outlineLevel="0" collapsed="false">
      <c r="A60" s="1" t="s">
        <v>61</v>
      </c>
      <c r="B60" s="16" t="s">
        <v>62</v>
      </c>
      <c r="C60" s="3" t="s">
        <v>63</v>
      </c>
      <c r="D60" s="17" t="n">
        <v>1</v>
      </c>
      <c r="E60" s="18" t="n">
        <v>3550</v>
      </c>
      <c r="F60" s="18" t="n">
        <f aca="false">IF(OR(OR(E60=0,E60=""),OR(D60=0,D60="")),"",$D60*E60)</f>
        <v>3550</v>
      </c>
      <c r="G60" s="19"/>
    </row>
    <row r="62" customFormat="false" ht="12" hidden="false" customHeight="false" outlineLevel="0" collapsed="false">
      <c r="A62" s="14" t="s">
        <v>64</v>
      </c>
      <c r="B62" s="15" t="s">
        <v>65</v>
      </c>
    </row>
    <row r="63" customFormat="false" ht="252" hidden="false" customHeight="false" outlineLevel="0" collapsed="false">
      <c r="B63" s="7" t="s">
        <v>66</v>
      </c>
    </row>
    <row r="64" customFormat="false" ht="264" hidden="false" customHeight="false" outlineLevel="0" collapsed="false">
      <c r="B64" s="7" t="s">
        <v>67</v>
      </c>
    </row>
    <row r="65" customFormat="false" ht="228" hidden="false" customHeight="false" outlineLevel="0" collapsed="false">
      <c r="B65" s="7" t="s">
        <v>68</v>
      </c>
    </row>
    <row r="66" customFormat="false" ht="48" hidden="false" customHeight="false" outlineLevel="0" collapsed="false">
      <c r="A66" s="1" t="s">
        <v>69</v>
      </c>
      <c r="B66" s="16" t="s">
        <v>70</v>
      </c>
      <c r="C66" s="3" t="s">
        <v>63</v>
      </c>
      <c r="D66" s="17" t="n">
        <v>2</v>
      </c>
      <c r="E66" s="18" t="n">
        <v>2300</v>
      </c>
      <c r="F66" s="18" t="n">
        <f aca="false">IF(OR(OR(E66=0,E66=""),OR(D66=0,D66="")),"",$D66*E66)</f>
        <v>4600</v>
      </c>
      <c r="G66" s="19"/>
    </row>
    <row r="67" customFormat="false" ht="72" hidden="false" customHeight="false" outlineLevel="0" collapsed="false">
      <c r="A67" s="1" t="s">
        <v>71</v>
      </c>
      <c r="B67" s="16" t="s">
        <v>72</v>
      </c>
      <c r="C67" s="3" t="s">
        <v>63</v>
      </c>
      <c r="D67" s="17" t="n">
        <v>1</v>
      </c>
      <c r="E67" s="18" t="n">
        <v>3300</v>
      </c>
      <c r="F67" s="18" t="n">
        <f aca="false">IF(OR(OR(E67=0,E67=""),OR(D67=0,D67="")),"",$D67*E67)</f>
        <v>3300</v>
      </c>
      <c r="G67" s="19"/>
    </row>
    <row r="68" customFormat="false" ht="12" hidden="false" customHeight="false" outlineLevel="0" collapsed="false">
      <c r="E68" s="20" t="s">
        <v>54</v>
      </c>
      <c r="F68" s="21" t="n">
        <f aca="false">SUM(F66:F67)</f>
        <v>7900</v>
      </c>
    </row>
    <row r="70" customFormat="false" ht="36" hidden="false" customHeight="false" outlineLevel="0" collapsed="false">
      <c r="A70" s="14" t="s">
        <v>73</v>
      </c>
      <c r="B70" s="15" t="s">
        <v>74</v>
      </c>
    </row>
    <row r="71" customFormat="false" ht="288" hidden="false" customHeight="false" outlineLevel="0" collapsed="false">
      <c r="B71" s="7" t="s">
        <v>75</v>
      </c>
    </row>
    <row r="72" customFormat="false" ht="276" hidden="false" customHeight="false" outlineLevel="0" collapsed="false">
      <c r="B72" s="7" t="s">
        <v>76</v>
      </c>
    </row>
    <row r="73" customFormat="false" ht="60" hidden="false" customHeight="false" outlineLevel="0" collapsed="false">
      <c r="B73" s="7" t="s">
        <v>77</v>
      </c>
    </row>
    <row r="74" customFormat="false" ht="72" hidden="false" customHeight="false" outlineLevel="0" collapsed="false">
      <c r="A74" s="1" t="s">
        <v>78</v>
      </c>
      <c r="B74" s="16" t="s">
        <v>79</v>
      </c>
      <c r="C74" s="3" t="s">
        <v>63</v>
      </c>
      <c r="D74" s="17" t="n">
        <v>1</v>
      </c>
      <c r="E74" s="18" t="n">
        <v>4350</v>
      </c>
      <c r="F74" s="18" t="n">
        <f aca="false">IF(OR(OR(E74=0,E74=""),OR(D74=0,D74="")),"",$D74*E74)</f>
        <v>4350</v>
      </c>
      <c r="G74" s="19"/>
    </row>
    <row r="75" customFormat="false" ht="72" hidden="false" customHeight="false" outlineLevel="0" collapsed="false">
      <c r="A75" s="1" t="s">
        <v>80</v>
      </c>
      <c r="B75" s="16" t="s">
        <v>81</v>
      </c>
      <c r="C75" s="3" t="s">
        <v>63</v>
      </c>
      <c r="D75" s="17" t="n">
        <v>1</v>
      </c>
      <c r="E75" s="18" t="n">
        <v>5100</v>
      </c>
      <c r="F75" s="18" t="n">
        <f aca="false">IF(OR(OR(E75=0,E75=""),OR(D75=0,D75="")),"",$D75*E75)</f>
        <v>5100</v>
      </c>
      <c r="G75" s="19"/>
    </row>
    <row r="76" customFormat="false" ht="72" hidden="false" customHeight="false" outlineLevel="0" collapsed="false">
      <c r="A76" s="1" t="s">
        <v>82</v>
      </c>
      <c r="B76" s="16" t="s">
        <v>83</v>
      </c>
      <c r="C76" s="3" t="s">
        <v>63</v>
      </c>
      <c r="D76" s="17" t="n">
        <v>1</v>
      </c>
      <c r="E76" s="18" t="n">
        <v>1670</v>
      </c>
      <c r="F76" s="18" t="n">
        <f aca="false">IF(OR(OR(E76=0,E76=""),OR(D76=0,D76="")),"",$D76*E76)</f>
        <v>1670</v>
      </c>
      <c r="G76" s="19"/>
    </row>
    <row r="77" customFormat="false" ht="12" hidden="false" customHeight="false" outlineLevel="0" collapsed="false">
      <c r="E77" s="20" t="s">
        <v>54</v>
      </c>
      <c r="F77" s="21" t="n">
        <f aca="false">SUM(F74:F76)</f>
        <v>11120</v>
      </c>
    </row>
    <row r="79" customFormat="false" ht="24" hidden="false" customHeight="false" outlineLevel="0" collapsed="false">
      <c r="A79" s="14" t="s">
        <v>84</v>
      </c>
      <c r="B79" s="15" t="s">
        <v>85</v>
      </c>
    </row>
    <row r="80" customFormat="false" ht="276" hidden="false" customHeight="false" outlineLevel="0" collapsed="false">
      <c r="B80" s="7" t="s">
        <v>86</v>
      </c>
    </row>
    <row r="81" customFormat="false" ht="276" hidden="false" customHeight="false" outlineLevel="0" collapsed="false">
      <c r="B81" s="7" t="s">
        <v>87</v>
      </c>
    </row>
    <row r="82" customFormat="false" ht="288" hidden="false" customHeight="false" outlineLevel="0" collapsed="false">
      <c r="B82" s="7" t="s">
        <v>88</v>
      </c>
    </row>
    <row r="83" customFormat="false" ht="252" hidden="false" customHeight="false" outlineLevel="0" collapsed="false">
      <c r="B83" s="7" t="s">
        <v>89</v>
      </c>
    </row>
    <row r="84" customFormat="false" ht="60" hidden="false" customHeight="false" outlineLevel="0" collapsed="false">
      <c r="A84" s="1" t="s">
        <v>90</v>
      </c>
      <c r="B84" s="16" t="s">
        <v>91</v>
      </c>
      <c r="C84" s="3" t="s">
        <v>63</v>
      </c>
      <c r="D84" s="17" t="n">
        <v>2</v>
      </c>
      <c r="E84" s="18" t="n">
        <v>780</v>
      </c>
      <c r="F84" s="18" t="n">
        <f aca="false">IF(OR(OR(E84=0,E84=""),OR(D84=0,D84="")),"",$D84*E84)</f>
        <v>1560</v>
      </c>
      <c r="G84" s="19"/>
    </row>
    <row r="85" customFormat="false" ht="72" hidden="false" customHeight="false" outlineLevel="0" collapsed="false">
      <c r="A85" s="1" t="s">
        <v>92</v>
      </c>
      <c r="B85" s="16" t="s">
        <v>93</v>
      </c>
      <c r="C85" s="3" t="s">
        <v>63</v>
      </c>
      <c r="D85" s="17" t="n">
        <v>1</v>
      </c>
      <c r="E85" s="18" t="n">
        <v>2200</v>
      </c>
      <c r="F85" s="18" t="n">
        <f aca="false">IF(OR(OR(E85=0,E85=""),OR(D85=0,D85="")),"",$D85*E85)</f>
        <v>2200</v>
      </c>
      <c r="G85" s="19"/>
    </row>
    <row r="86" customFormat="false" ht="96" hidden="false" customHeight="false" outlineLevel="0" collapsed="false">
      <c r="A86" s="1" t="s">
        <v>94</v>
      </c>
      <c r="B86" s="16" t="s">
        <v>95</v>
      </c>
      <c r="C86" s="3" t="s">
        <v>63</v>
      </c>
      <c r="D86" s="17" t="n">
        <v>1</v>
      </c>
      <c r="E86" s="18" t="n">
        <v>1470</v>
      </c>
      <c r="F86" s="18" t="n">
        <f aca="false">IF(OR(OR(E86=0,E86=""),OR(D86=0,D86="")),"",$D86*E86)</f>
        <v>1470</v>
      </c>
      <c r="G86" s="19"/>
    </row>
    <row r="87" customFormat="false" ht="84" hidden="false" customHeight="false" outlineLevel="0" collapsed="false">
      <c r="A87" s="1" t="s">
        <v>96</v>
      </c>
      <c r="B87" s="16" t="s">
        <v>97</v>
      </c>
      <c r="C87" s="3" t="s">
        <v>63</v>
      </c>
      <c r="D87" s="17" t="n">
        <v>1</v>
      </c>
      <c r="E87" s="18" t="n">
        <v>2050</v>
      </c>
      <c r="F87" s="18" t="n">
        <f aca="false">IF(OR(OR(E87=0,E87=""),OR(D87=0,D87="")),"",$D87*E87)</f>
        <v>2050</v>
      </c>
      <c r="G87" s="19"/>
    </row>
    <row r="88" customFormat="false" ht="12" hidden="false" customHeight="false" outlineLevel="0" collapsed="false">
      <c r="E88" s="20" t="s">
        <v>54</v>
      </c>
      <c r="F88" s="21" t="n">
        <f aca="false">SUM(F84:F87)</f>
        <v>7280</v>
      </c>
    </row>
    <row r="90" customFormat="false" ht="12" hidden="false" customHeight="false" outlineLevel="0" collapsed="false">
      <c r="A90" s="14" t="s">
        <v>98</v>
      </c>
      <c r="B90" s="15" t="s">
        <v>99</v>
      </c>
    </row>
    <row r="91" customFormat="false" ht="240" hidden="false" customHeight="false" outlineLevel="0" collapsed="false">
      <c r="B91" s="7" t="s">
        <v>100</v>
      </c>
    </row>
    <row r="92" customFormat="false" ht="72" hidden="false" customHeight="false" outlineLevel="0" collapsed="false">
      <c r="B92" s="7" t="s">
        <v>101</v>
      </c>
    </row>
    <row r="93" customFormat="false" ht="24" hidden="false" customHeight="false" outlineLevel="0" collapsed="false">
      <c r="A93" s="1" t="s">
        <v>102</v>
      </c>
      <c r="B93" s="16" t="s">
        <v>103</v>
      </c>
      <c r="C93" s="3" t="s">
        <v>104</v>
      </c>
      <c r="D93" s="17" t="n">
        <v>21.42</v>
      </c>
      <c r="E93" s="18" t="n">
        <v>43</v>
      </c>
      <c r="F93" s="18" t="n">
        <f aca="false">IF(OR(OR(E93=0,E93=""),OR(D93=0,D93="")),"",$D93*E93)</f>
        <v>921.06</v>
      </c>
      <c r="G93" s="19"/>
    </row>
    <row r="94" customFormat="false" ht="12.75" hidden="false" customHeight="false" outlineLevel="0" collapsed="false">
      <c r="A94" s="1" t="s">
        <v>105</v>
      </c>
      <c r="B94" s="16" t="s">
        <v>106</v>
      </c>
      <c r="C94" s="3" t="s">
        <v>104</v>
      </c>
      <c r="D94" s="17" t="n">
        <v>5.77</v>
      </c>
      <c r="E94" s="18" t="n">
        <v>43</v>
      </c>
      <c r="F94" s="18" t="n">
        <f aca="false">IF(OR(OR(E94=0,E94=""),OR(D94=0,D94="")),"",$D94*E94)</f>
        <v>248.11</v>
      </c>
      <c r="G94" s="19"/>
    </row>
    <row r="95" customFormat="false" ht="12.75" hidden="false" customHeight="false" outlineLevel="0" collapsed="false">
      <c r="A95" s="1" t="s">
        <v>107</v>
      </c>
      <c r="B95" s="16" t="s">
        <v>108</v>
      </c>
      <c r="C95" s="3" t="s">
        <v>104</v>
      </c>
      <c r="D95" s="17" t="n">
        <v>18.54</v>
      </c>
      <c r="E95" s="18" t="n">
        <v>43</v>
      </c>
      <c r="F95" s="18" t="n">
        <f aca="false">IF(OR(OR(E95=0,E95=""),OR(D95=0,D95="")),"",$D95*E95)</f>
        <v>797.22</v>
      </c>
      <c r="G95" s="19"/>
    </row>
    <row r="96" customFormat="false" ht="12" hidden="false" customHeight="false" outlineLevel="0" collapsed="false">
      <c r="E96" s="20" t="s">
        <v>54</v>
      </c>
      <c r="F96" s="21" t="n">
        <f aca="false">SUM(F93:F95)</f>
        <v>1966.39</v>
      </c>
    </row>
    <row r="98" customFormat="false" ht="12" hidden="false" customHeight="false" outlineLevel="0" collapsed="false">
      <c r="A98" s="14" t="s">
        <v>109</v>
      </c>
      <c r="B98" s="15" t="s">
        <v>110</v>
      </c>
    </row>
    <row r="99" customFormat="false" ht="252" hidden="false" customHeight="false" outlineLevel="0" collapsed="false">
      <c r="B99" s="7" t="s">
        <v>111</v>
      </c>
    </row>
    <row r="100" customFormat="false" ht="252" hidden="false" customHeight="false" outlineLevel="0" collapsed="false">
      <c r="B100" s="7" t="s">
        <v>112</v>
      </c>
    </row>
    <row r="101" customFormat="false" ht="252" hidden="false" customHeight="false" outlineLevel="0" collapsed="false">
      <c r="B101" s="7" t="s">
        <v>113</v>
      </c>
    </row>
    <row r="102" customFormat="false" ht="252" hidden="false" customHeight="false" outlineLevel="0" collapsed="false">
      <c r="B102" s="7" t="s">
        <v>114</v>
      </c>
    </row>
    <row r="103" customFormat="false" ht="12" hidden="false" customHeight="false" outlineLevel="0" collapsed="false">
      <c r="B103" s="7" t="s">
        <v>115</v>
      </c>
    </row>
    <row r="104" customFormat="false" ht="24" hidden="false" customHeight="false" outlineLevel="0" collapsed="false">
      <c r="A104" s="1" t="s">
        <v>116</v>
      </c>
      <c r="B104" s="16" t="s">
        <v>117</v>
      </c>
      <c r="C104" s="3" t="s">
        <v>46</v>
      </c>
      <c r="D104" s="17" t="n">
        <v>54.31</v>
      </c>
      <c r="E104" s="18" t="n">
        <v>400</v>
      </c>
      <c r="F104" s="18" t="n">
        <f aca="false">IF(OR(OR(E104=0,E104=""),OR(D104=0,D104="")),"",$D104*E104)</f>
        <v>21724</v>
      </c>
      <c r="G104" s="19"/>
    </row>
    <row r="105" customFormat="false" ht="24" hidden="false" customHeight="false" outlineLevel="0" collapsed="false">
      <c r="A105" s="1" t="s">
        <v>118</v>
      </c>
      <c r="B105" s="16" t="s">
        <v>119</v>
      </c>
      <c r="C105" s="3" t="s">
        <v>63</v>
      </c>
      <c r="D105" s="17" t="n">
        <v>2</v>
      </c>
      <c r="E105" s="18" t="n">
        <v>2800</v>
      </c>
      <c r="F105" s="18" t="n">
        <f aca="false">IF(OR(OR(E105=0,E105=""),OR(D105=0,D105="")),"",$D105*E105)</f>
        <v>5600</v>
      </c>
      <c r="G105" s="19"/>
    </row>
    <row r="106" customFormat="false" ht="24" hidden="false" customHeight="false" outlineLevel="0" collapsed="false">
      <c r="A106" s="1" t="s">
        <v>120</v>
      </c>
      <c r="B106" s="16" t="s">
        <v>121</v>
      </c>
      <c r="C106" s="3" t="s">
        <v>63</v>
      </c>
      <c r="D106" s="17" t="n">
        <v>1</v>
      </c>
      <c r="E106" s="18" t="n">
        <v>3000</v>
      </c>
      <c r="F106" s="18" t="n">
        <f aca="false">IF(OR(OR(E106=0,E106=""),OR(D106=0,D106="")),"",$D106*E106)</f>
        <v>3000</v>
      </c>
      <c r="G106" s="19"/>
    </row>
    <row r="107" customFormat="false" ht="12" hidden="false" customHeight="false" outlineLevel="0" collapsed="false">
      <c r="E107" s="20" t="s">
        <v>54</v>
      </c>
      <c r="F107" s="21" t="n">
        <f aca="false">SUM(F104:F106)</f>
        <v>30324</v>
      </c>
    </row>
    <row r="110" customFormat="false" ht="12" hidden="false" customHeight="true" outlineLevel="0" collapsed="false">
      <c r="A110" s="9" t="s">
        <v>19</v>
      </c>
      <c r="B110" s="10" t="s">
        <v>122</v>
      </c>
      <c r="C110" s="10"/>
      <c r="D110" s="10"/>
      <c r="E110" s="10"/>
      <c r="F110" s="23" t="n">
        <f aca="false">SUM(F54,F60,F68,F77,F88,F96,F107)</f>
        <v>78032.99</v>
      </c>
      <c r="G110" s="23" t="n">
        <f aca="false">SUM(G54,G60,G68,G77,G88,G96,G107)</f>
        <v>0</v>
      </c>
    </row>
    <row r="112" customFormat="false" ht="12" hidden="false" customHeight="true" outlineLevel="0" collapsed="false">
      <c r="A112" s="9" t="s">
        <v>123</v>
      </c>
      <c r="B112" s="10" t="s">
        <v>124</v>
      </c>
      <c r="C112" s="10"/>
      <c r="D112" s="10"/>
      <c r="E112" s="10"/>
      <c r="F112" s="10"/>
    </row>
    <row r="114" customFormat="false" ht="12" hidden="false" customHeight="false" outlineLevel="0" collapsed="false">
      <c r="A114" s="9"/>
      <c r="B114" s="10" t="s">
        <v>2</v>
      </c>
      <c r="C114" s="11"/>
      <c r="D114" s="9"/>
      <c r="E114" s="9"/>
      <c r="F114" s="9"/>
    </row>
    <row r="116" customFormat="false" ht="36" hidden="false" customHeight="false" outlineLevel="0" collapsed="false">
      <c r="B116" s="7" t="s">
        <v>125</v>
      </c>
    </row>
    <row r="118" customFormat="false" ht="12" hidden="false" customHeight="false" outlineLevel="0" collapsed="false">
      <c r="A118" s="14" t="s">
        <v>126</v>
      </c>
      <c r="B118" s="15" t="s">
        <v>127</v>
      </c>
    </row>
    <row r="119" customFormat="false" ht="132" hidden="false" customHeight="false" outlineLevel="0" collapsed="false">
      <c r="B119" s="7" t="s">
        <v>128</v>
      </c>
    </row>
    <row r="120" customFormat="false" ht="12.75" hidden="false" customHeight="false" outlineLevel="0" collapsed="false">
      <c r="A120" s="1" t="s">
        <v>129</v>
      </c>
      <c r="B120" s="16" t="s">
        <v>130</v>
      </c>
      <c r="C120" s="3" t="s">
        <v>63</v>
      </c>
      <c r="D120" s="17" t="n">
        <v>2</v>
      </c>
      <c r="E120" s="18" t="n">
        <v>105</v>
      </c>
      <c r="F120" s="18" t="n">
        <f aca="false">IF(OR(OR(E120=0,E120=""),OR(D120=0,D120="")),"",$D120*E120)</f>
        <v>210</v>
      </c>
      <c r="G120" s="19"/>
    </row>
    <row r="121" customFormat="false" ht="12.75" hidden="false" customHeight="false" outlineLevel="0" collapsed="false">
      <c r="A121" s="1" t="s">
        <v>131</v>
      </c>
      <c r="B121" s="16" t="s">
        <v>132</v>
      </c>
      <c r="C121" s="3" t="s">
        <v>63</v>
      </c>
      <c r="D121" s="17" t="n">
        <v>1</v>
      </c>
      <c r="E121" s="18" t="n">
        <v>210</v>
      </c>
      <c r="F121" s="18" t="n">
        <f aca="false">IF(OR(OR(E121=0,E121=""),OR(D121=0,D121="")),"",$D121*E121)</f>
        <v>210</v>
      </c>
      <c r="G121" s="19"/>
    </row>
    <row r="122" customFormat="false" ht="24" hidden="false" customHeight="false" outlineLevel="0" collapsed="false">
      <c r="A122" s="1" t="s">
        <v>133</v>
      </c>
      <c r="B122" s="16" t="s">
        <v>134</v>
      </c>
      <c r="C122" s="3" t="s">
        <v>63</v>
      </c>
      <c r="D122" s="17" t="n">
        <v>2</v>
      </c>
      <c r="E122" s="18" t="n">
        <v>350</v>
      </c>
      <c r="F122" s="18" t="n">
        <f aca="false">IF(OR(OR(E122=0,E122=""),OR(D122=0,D122="")),"",$D122*E122)</f>
        <v>700</v>
      </c>
      <c r="G122" s="19"/>
    </row>
    <row r="123" customFormat="false" ht="12" hidden="false" customHeight="false" outlineLevel="0" collapsed="false">
      <c r="E123" s="20" t="s">
        <v>54</v>
      </c>
      <c r="F123" s="21" t="n">
        <f aca="false">SUM(F120:F122)</f>
        <v>1120</v>
      </c>
    </row>
    <row r="125" customFormat="false" ht="12" hidden="false" customHeight="false" outlineLevel="0" collapsed="false">
      <c r="A125" s="14" t="s">
        <v>135</v>
      </c>
      <c r="B125" s="15" t="s">
        <v>136</v>
      </c>
    </row>
    <row r="126" customFormat="false" ht="240" hidden="false" customHeight="false" outlineLevel="0" collapsed="false">
      <c r="B126" s="7" t="s">
        <v>137</v>
      </c>
    </row>
    <row r="127" customFormat="false" ht="300" hidden="false" customHeight="false" outlineLevel="0" collapsed="false">
      <c r="B127" s="7" t="s">
        <v>138</v>
      </c>
    </row>
    <row r="128" customFormat="false" ht="216" hidden="false" customHeight="false" outlineLevel="0" collapsed="false">
      <c r="B128" s="7" t="s">
        <v>139</v>
      </c>
      <c r="G128" s="24" t="s">
        <v>140</v>
      </c>
    </row>
    <row r="129" customFormat="false" ht="12.75" hidden="false" customHeight="false" outlineLevel="0" collapsed="false">
      <c r="A129" s="1" t="s">
        <v>141</v>
      </c>
      <c r="B129" s="16"/>
      <c r="C129" s="3" t="s">
        <v>63</v>
      </c>
      <c r="D129" s="17" t="n">
        <v>1</v>
      </c>
      <c r="E129" s="18"/>
      <c r="F129" s="18" t="str">
        <f aca="false">IF(OR(OR(E129=0,E129=""),OR(D129=0,D129="")),"",$D129*E129)</f>
        <v/>
      </c>
      <c r="G129" s="19"/>
    </row>
    <row r="131" customFormat="false" ht="12" hidden="false" customHeight="true" outlineLevel="0" collapsed="false">
      <c r="A131" s="9" t="s">
        <v>123</v>
      </c>
      <c r="B131" s="10" t="s">
        <v>142</v>
      </c>
      <c r="C131" s="10"/>
      <c r="D131" s="10"/>
      <c r="E131" s="10"/>
      <c r="F131" s="23" t="n">
        <f aca="false">SUM(F123,F129)</f>
        <v>1120</v>
      </c>
      <c r="G131" s="23" t="n">
        <f aca="false">SUM(G123,G129)</f>
        <v>0</v>
      </c>
    </row>
    <row r="133" customFormat="false" ht="12" hidden="false" customHeight="true" outlineLevel="0" collapsed="false">
      <c r="A133" s="9" t="s">
        <v>143</v>
      </c>
      <c r="B133" s="10" t="s">
        <v>144</v>
      </c>
      <c r="C133" s="10"/>
      <c r="D133" s="10"/>
      <c r="E133" s="10"/>
      <c r="F133" s="10"/>
    </row>
    <row r="135" customFormat="false" ht="12" hidden="false" customHeight="false" outlineLevel="0" collapsed="false">
      <c r="A135" s="9"/>
      <c r="B135" s="10" t="s">
        <v>2</v>
      </c>
      <c r="C135" s="11"/>
      <c r="D135" s="9"/>
      <c r="E135" s="9"/>
      <c r="F135" s="9"/>
    </row>
    <row r="137" customFormat="false" ht="36" hidden="false" customHeight="false" outlineLevel="0" collapsed="false">
      <c r="B137" s="7" t="s">
        <v>145</v>
      </c>
    </row>
    <row r="139" customFormat="false" ht="12" hidden="false" customHeight="true" outlineLevel="0" collapsed="false">
      <c r="A139" s="12" t="s">
        <v>146</v>
      </c>
      <c r="B139" s="13" t="s">
        <v>147</v>
      </c>
      <c r="C139" s="13"/>
      <c r="D139" s="13"/>
      <c r="E139" s="13"/>
      <c r="F139" s="13"/>
    </row>
    <row r="141" customFormat="false" ht="12" hidden="false" customHeight="false" outlineLevel="0" collapsed="false">
      <c r="A141" s="14" t="s">
        <v>148</v>
      </c>
      <c r="B141" s="15" t="s">
        <v>149</v>
      </c>
    </row>
    <row r="142" customFormat="false" ht="240" hidden="false" customHeight="false" outlineLevel="0" collapsed="false">
      <c r="B142" s="7" t="s">
        <v>150</v>
      </c>
    </row>
    <row r="143" customFormat="false" ht="156" hidden="false" customHeight="false" outlineLevel="0" collapsed="false">
      <c r="B143" s="7" t="s">
        <v>151</v>
      </c>
    </row>
    <row r="144" customFormat="false" ht="12.8" hidden="false" customHeight="false" outlineLevel="0" collapsed="false">
      <c r="A144" s="1" t="s">
        <v>152</v>
      </c>
      <c r="B144" s="16" t="s">
        <v>153</v>
      </c>
      <c r="C144" s="3" t="s">
        <v>63</v>
      </c>
      <c r="D144" s="17" t="n">
        <v>1</v>
      </c>
      <c r="E144" s="18"/>
      <c r="F144" s="18" t="str">
        <f aca="false">IF(OR(OR(E144=0,E144=""),OR(D144=0,D144="")),"",$D144*E144)</f>
        <v/>
      </c>
      <c r="G144" s="19"/>
    </row>
    <row r="146" customFormat="false" ht="12" hidden="false" customHeight="false" outlineLevel="0" collapsed="false">
      <c r="A146" s="14" t="s">
        <v>154</v>
      </c>
      <c r="B146" s="15" t="s">
        <v>155</v>
      </c>
    </row>
    <row r="147" customFormat="false" ht="264" hidden="false" customHeight="false" outlineLevel="0" collapsed="false">
      <c r="B147" s="7" t="s">
        <v>156</v>
      </c>
    </row>
    <row r="148" customFormat="false" ht="180" hidden="false" customHeight="false" outlineLevel="0" collapsed="false">
      <c r="B148" s="7" t="s">
        <v>157</v>
      </c>
    </row>
    <row r="149" customFormat="false" ht="28.35" hidden="false" customHeight="false" outlineLevel="0" collapsed="false">
      <c r="A149" s="1" t="s">
        <v>158</v>
      </c>
      <c r="B149" s="16" t="s">
        <v>159</v>
      </c>
      <c r="C149" s="3" t="s">
        <v>63</v>
      </c>
      <c r="D149" s="17" t="n">
        <v>4</v>
      </c>
      <c r="E149" s="18"/>
      <c r="F149" s="18" t="str">
        <f aca="false">IF(OR(OR(E149=0,E149=""),OR(D149=0,D149="")),"",$D149*E149)</f>
        <v/>
      </c>
      <c r="G149" s="19"/>
    </row>
    <row r="150" customFormat="false" ht="28.35" hidden="false" customHeight="false" outlineLevel="0" collapsed="false">
      <c r="A150" s="1" t="s">
        <v>160</v>
      </c>
      <c r="B150" s="16" t="s">
        <v>161</v>
      </c>
      <c r="C150" s="3" t="s">
        <v>63</v>
      </c>
      <c r="D150" s="17" t="n">
        <v>1</v>
      </c>
      <c r="E150" s="18"/>
      <c r="F150" s="18" t="str">
        <f aca="false">IF(OR(OR(E150=0,E150=""),OR(D150=0,D150="")),"",$D150*E150)</f>
        <v/>
      </c>
      <c r="G150" s="19"/>
    </row>
    <row r="151" customFormat="false" ht="12" hidden="false" customHeight="false" outlineLevel="0" collapsed="false">
      <c r="E151" s="20" t="s">
        <v>54</v>
      </c>
      <c r="F151" s="21" t="n">
        <f aca="false">SUM(F149:F150)</f>
        <v>0</v>
      </c>
    </row>
    <row r="153" customFormat="false" ht="12" hidden="false" customHeight="false" outlineLevel="0" collapsed="false">
      <c r="A153" s="14" t="s">
        <v>162</v>
      </c>
      <c r="B153" s="15" t="s">
        <v>163</v>
      </c>
    </row>
    <row r="154" customFormat="false" ht="264" hidden="false" customHeight="false" outlineLevel="0" collapsed="false">
      <c r="B154" s="7" t="s">
        <v>164</v>
      </c>
    </row>
    <row r="155" customFormat="false" ht="156" hidden="false" customHeight="false" outlineLevel="0" collapsed="false">
      <c r="B155" s="7" t="s">
        <v>165</v>
      </c>
    </row>
    <row r="156" customFormat="false" ht="37.3" hidden="false" customHeight="false" outlineLevel="0" collapsed="false">
      <c r="A156" s="1" t="s">
        <v>166</v>
      </c>
      <c r="B156" s="16" t="s">
        <v>167</v>
      </c>
      <c r="C156" s="3" t="s">
        <v>63</v>
      </c>
      <c r="D156" s="17" t="n">
        <v>7</v>
      </c>
      <c r="E156" s="18"/>
      <c r="F156" s="18" t="str">
        <f aca="false">IF(OR(OR(E156=0,E156=""),OR(D156=0,D156="")),"",$D156*E156)</f>
        <v/>
      </c>
      <c r="G156" s="19"/>
    </row>
    <row r="157" customFormat="false" ht="19.4" hidden="false" customHeight="false" outlineLevel="0" collapsed="false">
      <c r="A157" s="1" t="s">
        <v>168</v>
      </c>
      <c r="B157" s="16" t="s">
        <v>169</v>
      </c>
      <c r="C157" s="3" t="s">
        <v>63</v>
      </c>
      <c r="D157" s="17" t="n">
        <v>2</v>
      </c>
      <c r="E157" s="18"/>
      <c r="F157" s="18" t="str">
        <f aca="false">IF(OR(OR(E157=0,E157=""),OR(D157=0,D157="")),"",$D157*E157)</f>
        <v/>
      </c>
      <c r="G157" s="19"/>
    </row>
    <row r="158" customFormat="false" ht="12" hidden="false" customHeight="false" outlineLevel="0" collapsed="false">
      <c r="E158" s="20" t="s">
        <v>54</v>
      </c>
      <c r="F158" s="21" t="n">
        <f aca="false">SUM(F156:F157)</f>
        <v>0</v>
      </c>
    </row>
    <row r="160" customFormat="false" ht="12" hidden="false" customHeight="true" outlineLevel="0" collapsed="false">
      <c r="A160" s="12" t="s">
        <v>146</v>
      </c>
      <c r="B160" s="13" t="s">
        <v>170</v>
      </c>
      <c r="C160" s="13"/>
      <c r="D160" s="13"/>
      <c r="E160" s="13"/>
      <c r="F160" s="22" t="n">
        <f aca="false">SUM(F144,F151,F158)</f>
        <v>0</v>
      </c>
      <c r="G160" s="22" t="n">
        <f aca="false">SUM(G144,G151,G158)</f>
        <v>0</v>
      </c>
    </row>
    <row r="163" customFormat="false" ht="12" hidden="false" customHeight="false" outlineLevel="0" collapsed="false">
      <c r="A163" s="14" t="s">
        <v>171</v>
      </c>
      <c r="B163" s="15" t="s">
        <v>172</v>
      </c>
    </row>
    <row r="164" customFormat="false" ht="276" hidden="false" customHeight="false" outlineLevel="0" collapsed="false">
      <c r="B164" s="7" t="s">
        <v>173</v>
      </c>
    </row>
    <row r="165" customFormat="false" ht="252" hidden="false" customHeight="false" outlineLevel="0" collapsed="false">
      <c r="B165" s="7" t="s">
        <v>174</v>
      </c>
    </row>
    <row r="166" customFormat="false" ht="120" hidden="false" customHeight="false" outlineLevel="0" collapsed="false">
      <c r="B166" s="7" t="s">
        <v>175</v>
      </c>
    </row>
    <row r="167" customFormat="false" ht="12.8" hidden="false" customHeight="false" outlineLevel="0" collapsed="false">
      <c r="A167" s="1" t="s">
        <v>176</v>
      </c>
      <c r="B167" s="16"/>
      <c r="C167" s="3" t="s">
        <v>63</v>
      </c>
      <c r="D167" s="17" t="n">
        <v>1</v>
      </c>
      <c r="E167" s="18"/>
      <c r="F167" s="18" t="str">
        <f aca="false">IF(OR(OR(E167=0,E167=""),OR(D167=0,D167="")),"",$D167*E167)</f>
        <v/>
      </c>
      <c r="G167" s="19"/>
    </row>
    <row r="171" customFormat="false" ht="12" hidden="false" customHeight="false" outlineLevel="0" collapsed="false">
      <c r="A171" s="14" t="s">
        <v>177</v>
      </c>
      <c r="B171" s="15" t="s">
        <v>178</v>
      </c>
    </row>
    <row r="172" customFormat="false" ht="264" hidden="false" customHeight="false" outlineLevel="0" collapsed="false">
      <c r="B172" s="7" t="s">
        <v>179</v>
      </c>
    </row>
    <row r="173" customFormat="false" ht="156" hidden="false" customHeight="false" outlineLevel="0" collapsed="false">
      <c r="B173" s="7" t="s">
        <v>180</v>
      </c>
    </row>
    <row r="174" customFormat="false" ht="12.75" hidden="false" customHeight="false" outlineLevel="0" collapsed="false">
      <c r="A174" s="1" t="s">
        <v>181</v>
      </c>
      <c r="B174" s="16" t="s">
        <v>182</v>
      </c>
      <c r="C174" s="3" t="s">
        <v>63</v>
      </c>
      <c r="D174" s="17" t="n">
        <v>1</v>
      </c>
      <c r="E174" s="18" t="n">
        <v>5000</v>
      </c>
      <c r="F174" s="18" t="n">
        <f aca="false">IF(OR(OR(E174=0,E174=""),OR(D174=0,D174="")),"",$D174*E174)</f>
        <v>5000</v>
      </c>
      <c r="G174" s="19"/>
    </row>
    <row r="175" customFormat="false" ht="12" hidden="false" customHeight="false" outlineLevel="0" collapsed="false">
      <c r="E175" s="20" t="s">
        <v>54</v>
      </c>
      <c r="F175" s="21" t="n">
        <f aca="false">SUM(F174:F174)</f>
        <v>5000</v>
      </c>
    </row>
    <row r="177" customFormat="false" ht="12" hidden="false" customHeight="true" outlineLevel="0" collapsed="false">
      <c r="A177" s="9" t="s">
        <v>143</v>
      </c>
      <c r="B177" s="10" t="s">
        <v>183</v>
      </c>
      <c r="C177" s="10"/>
      <c r="D177" s="10"/>
      <c r="E177" s="10"/>
      <c r="F177" s="23" t="n">
        <f aca="false">SUM(F160,F167,F175)</f>
        <v>5000</v>
      </c>
      <c r="G177" s="23"/>
    </row>
    <row r="180" customFormat="false" ht="12" hidden="false" customHeight="true" outlineLevel="0" collapsed="false">
      <c r="A180" s="4" t="s">
        <v>0</v>
      </c>
      <c r="B180" s="5" t="s">
        <v>184</v>
      </c>
      <c r="C180" s="5"/>
      <c r="D180" s="5"/>
      <c r="E180" s="5"/>
      <c r="F180" s="25" t="n">
        <f aca="false">SUM(F110,F131,F177)</f>
        <v>84152.99</v>
      </c>
      <c r="G180" s="25"/>
    </row>
  </sheetData>
  <mergeCells count="18">
    <mergeCell ref="B4:F4"/>
    <mergeCell ref="B21:F21"/>
    <mergeCell ref="B27:F27"/>
    <mergeCell ref="B29:F29"/>
    <mergeCell ref="B31:F31"/>
    <mergeCell ref="B33:F33"/>
    <mergeCell ref="B35:F35"/>
    <mergeCell ref="B37:F37"/>
    <mergeCell ref="B39:F39"/>
    <mergeCell ref="B54:E54"/>
    <mergeCell ref="B110:E110"/>
    <mergeCell ref="B112:F112"/>
    <mergeCell ref="B131:E131"/>
    <mergeCell ref="B133:F133"/>
    <mergeCell ref="B139:F139"/>
    <mergeCell ref="B160:E160"/>
    <mergeCell ref="B177:E177"/>
    <mergeCell ref="B180:E180"/>
  </mergeCells>
  <printOptions headings="false" gridLines="false" gridLinesSet="true" horizontalCentered="false" verticalCentered="false"/>
  <pageMargins left="0.6" right="0.6" top="0.75" bottom="0.75" header="0.3" footer="0.3"/>
  <pageSetup paperSize="9" scale="81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&amp;L&amp;8Troškovnik izradio:
Projektni biro Vinski d.o.o.
Ruža Salopek, d.i.a.&amp;C&amp;8TRGOVAČKI CENTAR EUROSPIN
SAVSKA OPATOVINA, ZAGREB&amp;R&amp;8EUROSPIN HRVATSKA d.o.o.
Jelačićev trg 7, Rijeka</oddHeader>
    <oddFooter>&amp;C&amp;8&amp;P</oddFooter>
  </headerFooter>
  <rowBreaks count="9" manualBreakCount="9">
    <brk id="42" man="true" max="16383" min="0"/>
    <brk id="55" man="true" max="16383" min="0"/>
    <brk id="61" man="true" max="16383" min="0"/>
    <brk id="111" man="true" max="16383" min="0"/>
    <brk id="132" man="true" max="16383" min="0"/>
    <brk id="145" man="true" max="16383" min="0"/>
    <brk id="152" man="true" max="16383" min="0"/>
    <brk id="162" man="true" max="16383" min="0"/>
    <brk id="170" man="true" max="16383" min="0"/>
  </rowBreak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A51507092ABC42A1F78E63565BAFD7" ma:contentTypeVersion="13" ma:contentTypeDescription="Stvaranje novog dokumenta." ma:contentTypeScope="" ma:versionID="c4eefad1a09bdc430b42c34e96aa6da2">
  <xsd:schema xmlns:xsd="http://www.w3.org/2001/XMLSchema" xmlns:xs="http://www.w3.org/2001/XMLSchema" xmlns:p="http://schemas.microsoft.com/office/2006/metadata/properties" xmlns:ns2="f915974b-6f1e-4350-9f7e-2d11fb1812c4" xmlns:ns3="cb3740f1-362a-4884-a648-7855dba250b9" targetNamespace="http://schemas.microsoft.com/office/2006/metadata/properties" ma:root="true" ma:fieldsID="b36840f75ab2fa72e948bee9f8ce5ee3" ns2:_="" ns3:_="">
    <xsd:import namespace="f915974b-6f1e-4350-9f7e-2d11fb1812c4"/>
    <xsd:import namespace="cb3740f1-362a-4884-a648-7855dba250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5974b-6f1e-4350-9f7e-2d11fb1812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Oznake slika" ma:readOnly="false" ma:fieldId="{5cf76f15-5ced-4ddc-b409-7134ff3c332f}" ma:taxonomyMulti="true" ma:sspId="3751c936-5afc-4ad0-aeab-ca19b149e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740f1-362a-4884-a648-7855dba250b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648af3-417c-4ecd-a1bc-5e03dfaadbd5}" ma:internalName="TaxCatchAll" ma:showField="CatchAllData" ma:web="cb3740f1-362a-4884-a648-7855dba250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15974b-6f1e-4350-9f7e-2d11fb1812c4">
      <Terms xmlns="http://schemas.microsoft.com/office/infopath/2007/PartnerControls"/>
    </lcf76f155ced4ddcb4097134ff3c332f>
    <TaxCatchAll xmlns="cb3740f1-362a-4884-a648-7855dba250b9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A51507092ABC42A1F78E63565BAFD7" ma:contentTypeVersion="13" ma:contentTypeDescription="Stvaranje novog dokumenta." ma:contentTypeScope="" ma:versionID="c4eefad1a09bdc430b42c34e96aa6da2">
  <xsd:schema xmlns:xsd="http://www.w3.org/2001/XMLSchema" xmlns:xs="http://www.w3.org/2001/XMLSchema" xmlns:p="http://schemas.microsoft.com/office/2006/metadata/properties" xmlns:ns2="f915974b-6f1e-4350-9f7e-2d11fb1812c4" xmlns:ns3="cb3740f1-362a-4884-a648-7855dba250b9" targetNamespace="http://schemas.microsoft.com/office/2006/metadata/properties" ma:root="true" ma:fieldsID="b36840f75ab2fa72e948bee9f8ce5ee3" ns2:_="" ns3:_="">
    <xsd:import namespace="f915974b-6f1e-4350-9f7e-2d11fb1812c4"/>
    <xsd:import namespace="cb3740f1-362a-4884-a648-7855dba250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5974b-6f1e-4350-9f7e-2d11fb1812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Oznake slika" ma:readOnly="false" ma:fieldId="{5cf76f15-5ced-4ddc-b409-7134ff3c332f}" ma:taxonomyMulti="true" ma:sspId="3751c936-5afc-4ad0-aeab-ca19b149e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740f1-362a-4884-a648-7855dba250b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648af3-417c-4ecd-a1bc-5e03dfaadbd5}" ma:internalName="TaxCatchAll" ma:showField="CatchAllData" ma:web="cb3740f1-362a-4884-a648-7855dba250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15974b-6f1e-4350-9f7e-2d11fb1812c4">
      <Terms xmlns="http://schemas.microsoft.com/office/infopath/2007/PartnerControls"/>
    </lcf76f155ced4ddcb4097134ff3c332f>
    <TaxCatchAll xmlns="cb3740f1-362a-4884-a648-7855dba250b9" xsi:nil="true"/>
  </documentManagement>
</p:properties>
</file>

<file path=customXml/itemProps1.xml><?xml version="1.0" encoding="utf-8"?>
<ds:datastoreItem xmlns:ds="http://schemas.openxmlformats.org/officeDocument/2006/customXml" ds:itemID="{4E2D4F00-E5D1-473C-9949-6F6DDFFA25B1}"/>
</file>

<file path=customXml/itemProps2.xml><?xml version="1.0" encoding="utf-8"?>
<ds:datastoreItem xmlns:ds="http://schemas.openxmlformats.org/officeDocument/2006/customXml" ds:itemID="{895BCAEC-7667-4484-B3D3-2E0A0A380A40}"/>
</file>

<file path=customXml/itemProps3.xml><?xml version="1.0" encoding="utf-8"?>
<ds:datastoreItem xmlns:ds="http://schemas.openxmlformats.org/officeDocument/2006/customXml" ds:itemID="{DE38798C-232A-4D61-98A8-7B05B099F954}"/>
</file>

<file path=customXml/itemProps4.xml><?xml version="1.0" encoding="utf-8"?>
<ds:datastoreItem xmlns:ds="http://schemas.openxmlformats.org/officeDocument/2006/customXml" ds:itemID="{3F76823A-3B1C-4B27-9D08-8B7981D9B2D1}"/>
</file>

<file path=customXml/itemProps5.xml><?xml version="1.0" encoding="utf-8"?>
<ds:datastoreItem xmlns:ds="http://schemas.openxmlformats.org/officeDocument/2006/customXml" ds:itemID="{EBBFB845-B325-437A-9366-F428ED9DF75B}"/>
</file>

<file path=customXml/itemProps6.xml><?xml version="1.0" encoding="utf-8"?>
<ds:datastoreItem xmlns:ds="http://schemas.openxmlformats.org/officeDocument/2006/customXml" ds:itemID="{D664FFB3-051E-4504-98CF-812C8847285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LibreOffice/6.3.2.2$Windows_X86_64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Ivana Radovac</dc:creator>
  <dc:description/>
  <cp:lastModifiedBy/>
  <cp:revision>3</cp:revision>
  <dcterms:created xsi:type="dcterms:W3CDTF">2025-11-20T09:57:15Z</dcterms:created>
  <dcterms:modified xsi:type="dcterms:W3CDTF">2025-11-24T09:26:03Z</dcterms:modified>
  <dc:language>hr-HR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0x01010053A51507092ABC42A1F78E63565BAFD7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
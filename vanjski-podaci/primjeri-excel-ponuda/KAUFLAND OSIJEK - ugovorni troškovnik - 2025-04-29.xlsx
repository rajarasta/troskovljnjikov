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426"/>
  <workbookPr filterPrivacy="1"/>
  <xr:revisionPtr revIDLastSave="0" documentId="8_{49B1058F-CE7A-47A0-A2B3-AD70815E4278}" xr6:coauthVersionLast="45" xr6:coauthVersionMax="45" xr10:uidLastSave="{00000000-0000-0000-0000-000000000000}"/>
  <bookViews>
    <workbookView xWindow="-108" yWindow="-108" windowWidth="23256" windowHeight="1245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430" i="1" l="1"/>
  <c r="H431" i="1"/>
  <c r="H427" i="1" l="1"/>
  <c r="H426" i="1" s="1"/>
  <c r="H1236" i="1" l="1"/>
  <c r="H1235" i="1"/>
  <c r="H1234" i="1"/>
  <c r="H1233" i="1"/>
  <c r="H1232" i="1"/>
  <c r="H1231" i="1"/>
  <c r="H1230" i="1"/>
  <c r="H1228" i="1"/>
  <c r="H1227" i="1"/>
  <c r="H1226" i="1"/>
  <c r="H1225" i="1"/>
  <c r="H1218" i="1"/>
  <c r="H1217" i="1" s="1"/>
  <c r="H1216" i="1"/>
  <c r="H1215" i="1" s="1"/>
  <c r="H1214" i="1"/>
  <c r="H1213" i="1" s="1"/>
  <c r="H1212" i="1"/>
  <c r="H1211" i="1"/>
  <c r="H1200" i="1"/>
  <c r="H1197" i="1"/>
  <c r="H1196" i="1" s="1"/>
  <c r="H1191" i="1"/>
  <c r="H1190" i="1"/>
  <c r="H1189" i="1"/>
  <c r="H1182" i="1"/>
  <c r="H1181" i="1"/>
  <c r="H1180" i="1"/>
  <c r="H1178" i="1"/>
  <c r="H1177" i="1"/>
  <c r="H1175" i="1"/>
  <c r="H1174" i="1"/>
  <c r="H1173" i="1"/>
  <c r="H1169" i="1"/>
  <c r="H1168" i="1"/>
  <c r="H1167" i="1"/>
  <c r="H1166" i="1"/>
  <c r="H1165" i="1"/>
  <c r="H1164" i="1"/>
  <c r="H1149" i="1"/>
  <c r="H1127" i="1"/>
  <c r="H1117" i="1"/>
  <c r="H1110" i="1"/>
  <c r="H1102" i="1"/>
  <c r="H1097" i="1"/>
  <c r="H1096" i="1"/>
  <c r="H1095" i="1"/>
  <c r="H1094" i="1"/>
  <c r="H1091" i="1"/>
  <c r="H1090" i="1"/>
  <c r="H1084" i="1"/>
  <c r="H1083" i="1"/>
  <c r="H1082" i="1"/>
  <c r="H1081" i="1"/>
  <c r="H1080" i="1"/>
  <c r="H1079" i="1"/>
  <c r="H1078" i="1"/>
  <c r="H1077" i="1"/>
  <c r="H1076" i="1"/>
  <c r="H1075" i="1"/>
  <c r="H1074" i="1"/>
  <c r="H1073" i="1"/>
  <c r="H1072" i="1"/>
  <c r="H1071" i="1"/>
  <c r="H1070" i="1"/>
  <c r="H1066" i="1"/>
  <c r="H1065" i="1"/>
  <c r="H1064" i="1"/>
  <c r="H1063" i="1"/>
  <c r="H1062" i="1"/>
  <c r="H1061" i="1"/>
  <c r="H1060" i="1"/>
  <c r="H1059" i="1"/>
  <c r="H1058" i="1"/>
  <c r="H1057" i="1"/>
  <c r="H1055" i="1"/>
  <c r="H1054" i="1" s="1"/>
  <c r="H1053" i="1"/>
  <c r="H1052" i="1"/>
  <c r="H1051" i="1"/>
  <c r="H1050" i="1"/>
  <c r="H1049" i="1"/>
  <c r="H1048" i="1"/>
  <c r="H1047" i="1"/>
  <c r="H1046" i="1"/>
  <c r="H1045" i="1"/>
  <c r="H1044" i="1"/>
  <c r="H1043" i="1"/>
  <c r="H1041" i="1"/>
  <c r="H1040" i="1"/>
  <c r="H1039" i="1"/>
  <c r="H1038" i="1"/>
  <c r="H1037" i="1"/>
  <c r="H1036" i="1"/>
  <c r="H1035" i="1"/>
  <c r="H1034" i="1"/>
  <c r="H1033" i="1"/>
  <c r="H1032" i="1"/>
  <c r="H1031" i="1"/>
  <c r="H1030" i="1"/>
  <c r="H1029" i="1"/>
  <c r="H1028" i="1"/>
  <c r="H1027" i="1"/>
  <c r="H1026" i="1"/>
  <c r="H1025" i="1"/>
  <c r="H1024" i="1"/>
  <c r="H1023" i="1"/>
  <c r="H1022" i="1"/>
  <c r="H1021" i="1"/>
  <c r="H1020" i="1"/>
  <c r="H1019" i="1"/>
  <c r="H1018" i="1"/>
  <c r="H1017" i="1"/>
  <c r="H1016" i="1"/>
  <c r="H1015" i="1"/>
  <c r="H1014" i="1"/>
  <c r="H1013" i="1"/>
  <c r="H1012" i="1"/>
  <c r="H1011" i="1"/>
  <c r="H1010" i="1"/>
  <c r="H1009" i="1"/>
  <c r="H1008" i="1"/>
  <c r="H1007" i="1"/>
  <c r="H1006" i="1"/>
  <c r="H1005" i="1"/>
  <c r="H1004" i="1"/>
  <c r="H1003" i="1"/>
  <c r="H1002" i="1"/>
  <c r="H1000" i="1"/>
  <c r="H999" i="1"/>
  <c r="H998" i="1"/>
  <c r="H997" i="1"/>
  <c r="H996" i="1"/>
  <c r="H995" i="1"/>
  <c r="H994" i="1"/>
  <c r="H993" i="1"/>
  <c r="H992" i="1"/>
  <c r="H991" i="1"/>
  <c r="H990" i="1"/>
  <c r="H989" i="1"/>
  <c r="H988" i="1"/>
  <c r="H987" i="1"/>
  <c r="H986" i="1"/>
  <c r="H985" i="1"/>
  <c r="H984" i="1"/>
  <c r="H983" i="1"/>
  <c r="H982" i="1"/>
  <c r="H981" i="1"/>
  <c r="H980" i="1"/>
  <c r="H979" i="1"/>
  <c r="H978" i="1"/>
  <c r="H977" i="1"/>
  <c r="H976" i="1"/>
  <c r="H975" i="1"/>
  <c r="H974" i="1"/>
  <c r="H973" i="1"/>
  <c r="H972" i="1"/>
  <c r="H971" i="1"/>
  <c r="H970" i="1"/>
  <c r="H969" i="1"/>
  <c r="H968" i="1"/>
  <c r="H967" i="1"/>
  <c r="H966" i="1"/>
  <c r="H965" i="1"/>
  <c r="H964" i="1"/>
  <c r="H963" i="1"/>
  <c r="H962" i="1"/>
  <c r="H961" i="1"/>
  <c r="H960" i="1"/>
  <c r="H959" i="1"/>
  <c r="H958" i="1"/>
  <c r="H957" i="1"/>
  <c r="H956" i="1"/>
  <c r="H938" i="1"/>
  <c r="H923" i="1"/>
  <c r="H921" i="1"/>
  <c r="H920" i="1" s="1"/>
  <c r="H919" i="1"/>
  <c r="H918" i="1" s="1"/>
  <c r="H916" i="1"/>
  <c r="H915" i="1"/>
  <c r="H914" i="1"/>
  <c r="H913" i="1"/>
  <c r="H912" i="1"/>
  <c r="H911" i="1"/>
  <c r="H910" i="1"/>
  <c r="H909" i="1"/>
  <c r="H907" i="1"/>
  <c r="H906" i="1"/>
  <c r="H905" i="1"/>
  <c r="H904" i="1"/>
  <c r="H903" i="1"/>
  <c r="H902" i="1"/>
  <c r="H901" i="1"/>
  <c r="H899" i="1"/>
  <c r="H898" i="1"/>
  <c r="H897" i="1"/>
  <c r="H896" i="1"/>
  <c r="H895" i="1"/>
  <c r="H894" i="1"/>
  <c r="H893" i="1"/>
  <c r="H886" i="1"/>
  <c r="H885" i="1"/>
  <c r="H884" i="1"/>
  <c r="H883" i="1"/>
  <c r="H882" i="1"/>
  <c r="H881" i="1"/>
  <c r="H880" i="1"/>
  <c r="H879" i="1"/>
  <c r="H878" i="1"/>
  <c r="H877" i="1"/>
  <c r="H876" i="1"/>
  <c r="H875" i="1"/>
  <c r="H874" i="1"/>
  <c r="H873" i="1"/>
  <c r="H872" i="1"/>
  <c r="H871" i="1"/>
  <c r="H870" i="1"/>
  <c r="H869" i="1"/>
  <c r="H868" i="1"/>
  <c r="H867" i="1"/>
  <c r="H866" i="1"/>
  <c r="H865" i="1"/>
  <c r="H864" i="1"/>
  <c r="H863" i="1"/>
  <c r="H862" i="1"/>
  <c r="H861" i="1"/>
  <c r="H860" i="1"/>
  <c r="H859" i="1"/>
  <c r="H858" i="1"/>
  <c r="H857" i="1"/>
  <c r="H856" i="1"/>
  <c r="H855" i="1"/>
  <c r="H854" i="1"/>
  <c r="H853" i="1"/>
  <c r="H852" i="1"/>
  <c r="H851" i="1"/>
  <c r="H850" i="1"/>
  <c r="H849" i="1"/>
  <c r="H848" i="1"/>
  <c r="H847" i="1"/>
  <c r="H846" i="1"/>
  <c r="H845" i="1"/>
  <c r="H844" i="1"/>
  <c r="H843" i="1"/>
  <c r="H842" i="1"/>
  <c r="H841" i="1"/>
  <c r="H840" i="1"/>
  <c r="H839" i="1"/>
  <c r="H838" i="1"/>
  <c r="H836" i="1"/>
  <c r="H835" i="1"/>
  <c r="H833" i="1"/>
  <c r="H832" i="1"/>
  <c r="H831" i="1"/>
  <c r="H830" i="1"/>
  <c r="H829" i="1"/>
  <c r="H828" i="1"/>
  <c r="H827" i="1"/>
  <c r="H826" i="1"/>
  <c r="H823" i="1"/>
  <c r="H822" i="1" s="1"/>
  <c r="H821" i="1"/>
  <c r="H820" i="1"/>
  <c r="H819" i="1"/>
  <c r="H818" i="1"/>
  <c r="H817" i="1"/>
  <c r="H816" i="1"/>
  <c r="H815" i="1"/>
  <c r="H814" i="1"/>
  <c r="H813" i="1"/>
  <c r="H812" i="1"/>
  <c r="H811" i="1"/>
  <c r="H810" i="1"/>
  <c r="H809" i="1"/>
  <c r="H808" i="1"/>
  <c r="H806" i="1"/>
  <c r="H805" i="1"/>
  <c r="H804" i="1"/>
  <c r="H803" i="1"/>
  <c r="H802" i="1"/>
  <c r="H801" i="1"/>
  <c r="H800" i="1"/>
  <c r="H799" i="1"/>
  <c r="H798" i="1"/>
  <c r="H797" i="1"/>
  <c r="H790" i="1"/>
  <c r="H789" i="1" s="1"/>
  <c r="H787" i="1"/>
  <c r="H786" i="1" s="1"/>
  <c r="H785" i="1"/>
  <c r="H784" i="1"/>
  <c r="H783" i="1"/>
  <c r="H782" i="1"/>
  <c r="H781" i="1"/>
  <c r="H773" i="1"/>
  <c r="H772" i="1"/>
  <c r="H764" i="1"/>
  <c r="H763" i="1"/>
  <c r="H762" i="1"/>
  <c r="H761" i="1"/>
  <c r="H760" i="1"/>
  <c r="H759" i="1"/>
  <c r="H754" i="1"/>
  <c r="H753" i="1"/>
  <c r="H752" i="1"/>
  <c r="H751" i="1"/>
  <c r="H750" i="1"/>
  <c r="H749" i="1"/>
  <c r="H748" i="1"/>
  <c r="H747" i="1"/>
  <c r="H746" i="1"/>
  <c r="H736" i="1"/>
  <c r="H735" i="1"/>
  <c r="H734" i="1"/>
  <c r="H726" i="1"/>
  <c r="H725" i="1" s="1"/>
  <c r="H722" i="1"/>
  <c r="H721" i="1"/>
  <c r="H720" i="1"/>
  <c r="H718" i="1"/>
  <c r="H717" i="1"/>
  <c r="H716" i="1"/>
  <c r="H715" i="1"/>
  <c r="H714" i="1"/>
  <c r="H712" i="1"/>
  <c r="H711" i="1"/>
  <c r="H710" i="1"/>
  <c r="H709" i="1"/>
  <c r="H708" i="1"/>
  <c r="H707" i="1"/>
  <c r="H706" i="1"/>
  <c r="H705" i="1"/>
  <c r="H703" i="1"/>
  <c r="H702" i="1"/>
  <c r="H701" i="1"/>
  <c r="H700" i="1"/>
  <c r="H699" i="1"/>
  <c r="H698" i="1"/>
  <c r="H697" i="1"/>
  <c r="H696" i="1"/>
  <c r="H695" i="1"/>
  <c r="H693" i="1"/>
  <c r="H692" i="1" s="1"/>
  <c r="H687" i="1"/>
  <c r="H686" i="1"/>
  <c r="H685" i="1"/>
  <c r="H684" i="1"/>
  <c r="H683" i="1"/>
  <c r="H679" i="1"/>
  <c r="H678" i="1"/>
  <c r="H677" i="1"/>
  <c r="H676" i="1"/>
  <c r="H675" i="1"/>
  <c r="H667" i="1"/>
  <c r="H666" i="1"/>
  <c r="H665" i="1"/>
  <c r="H664" i="1"/>
  <c r="H663" i="1"/>
  <c r="H662" i="1"/>
  <c r="H660" i="1"/>
  <c r="H659" i="1"/>
  <c r="H658" i="1"/>
  <c r="H657" i="1"/>
  <c r="H655" i="1"/>
  <c r="H653" i="1"/>
  <c r="H652" i="1"/>
  <c r="H651" i="1"/>
  <c r="H649" i="1"/>
  <c r="H648" i="1" s="1"/>
  <c r="H647" i="1"/>
  <c r="H646" i="1"/>
  <c r="H645" i="1"/>
  <c r="H643" i="1"/>
  <c r="H642" i="1"/>
  <c r="H641" i="1"/>
  <c r="H640" i="1"/>
  <c r="H639" i="1"/>
  <c r="H638" i="1"/>
  <c r="H637" i="1"/>
  <c r="H636" i="1"/>
  <c r="H635" i="1"/>
  <c r="H634" i="1"/>
  <c r="H633" i="1"/>
  <c r="H632" i="1"/>
  <c r="H631" i="1"/>
  <c r="H630" i="1"/>
  <c r="H629" i="1"/>
  <c r="H628" i="1"/>
  <c r="H627" i="1"/>
  <c r="H626" i="1"/>
  <c r="H625" i="1"/>
  <c r="H624" i="1"/>
  <c r="H623" i="1"/>
  <c r="H622" i="1"/>
  <c r="H621" i="1"/>
  <c r="H613" i="1"/>
  <c r="H612" i="1"/>
  <c r="H608" i="1"/>
  <c r="H607" i="1"/>
  <c r="H599" i="1"/>
  <c r="H598" i="1" s="1"/>
  <c r="H597" i="1"/>
  <c r="H596" i="1"/>
  <c r="H591" i="1"/>
  <c r="H590" i="1" s="1"/>
  <c r="H589" i="1"/>
  <c r="H588" i="1"/>
  <c r="H587" i="1"/>
  <c r="H586" i="1"/>
  <c r="H585" i="1"/>
  <c r="H584" i="1"/>
  <c r="H578" i="1"/>
  <c r="H577" i="1" s="1"/>
  <c r="H576" i="1"/>
  <c r="H575" i="1"/>
  <c r="H574" i="1"/>
  <c r="H573" i="1"/>
  <c r="H572" i="1"/>
  <c r="H571" i="1"/>
  <c r="H570" i="1"/>
  <c r="H563" i="1"/>
  <c r="H562" i="1" s="1"/>
  <c r="H561" i="1"/>
  <c r="H560" i="1" s="1"/>
  <c r="H559" i="1"/>
  <c r="H558" i="1" s="1"/>
  <c r="H557" i="1"/>
  <c r="H556" i="1"/>
  <c r="H555" i="1"/>
  <c r="H554" i="1"/>
  <c r="H553" i="1"/>
  <c r="H552" i="1"/>
  <c r="H551" i="1"/>
  <c r="H549" i="1"/>
  <c r="H548" i="1"/>
  <c r="H547" i="1"/>
  <c r="H546" i="1"/>
  <c r="H545" i="1"/>
  <c r="H544" i="1"/>
  <c r="H543" i="1"/>
  <c r="H542" i="1"/>
  <c r="H541" i="1"/>
  <c r="H540" i="1"/>
  <c r="H539" i="1"/>
  <c r="H538" i="1"/>
  <c r="H537" i="1"/>
  <c r="H536" i="1"/>
  <c r="H535" i="1"/>
  <c r="H527" i="1"/>
  <c r="H526" i="1"/>
  <c r="H525" i="1"/>
  <c r="H524" i="1"/>
  <c r="H523" i="1"/>
  <c r="H515" i="1"/>
  <c r="H514" i="1"/>
  <c r="H513" i="1"/>
  <c r="H512" i="1"/>
  <c r="H511" i="1"/>
  <c r="H510" i="1"/>
  <c r="H509" i="1"/>
  <c r="H508" i="1"/>
  <c r="H507" i="1"/>
  <c r="H506" i="1"/>
  <c r="H505" i="1"/>
  <c r="H504" i="1"/>
  <c r="H498" i="1"/>
  <c r="H497" i="1" s="1"/>
  <c r="H494" i="1"/>
  <c r="H493" i="1"/>
  <c r="H492" i="1"/>
  <c r="H491" i="1"/>
  <c r="H490" i="1"/>
  <c r="H489" i="1"/>
  <c r="H487" i="1"/>
  <c r="H486" i="1" s="1"/>
  <c r="H485" i="1"/>
  <c r="H484" i="1"/>
  <c r="H483" i="1"/>
  <c r="H482" i="1"/>
  <c r="H481" i="1"/>
  <c r="H479" i="1"/>
  <c r="H478" i="1" s="1"/>
  <c r="H472" i="1"/>
  <c r="H471" i="1"/>
  <c r="H460" i="1"/>
  <c r="H459" i="1"/>
  <c r="H457" i="1"/>
  <c r="H456" i="1"/>
  <c r="H455" i="1"/>
  <c r="H454" i="1"/>
  <c r="H453" i="1"/>
  <c r="H440" i="1"/>
  <c r="H432" i="1"/>
  <c r="H429" i="1"/>
  <c r="H428" i="1" s="1"/>
  <c r="H425" i="1"/>
  <c r="H423" i="1"/>
  <c r="H421" i="1"/>
  <c r="H420" i="1"/>
  <c r="H419" i="1"/>
  <c r="H418" i="1"/>
  <c r="H417" i="1"/>
  <c r="H416" i="1"/>
  <c r="H415" i="1"/>
  <c r="H414" i="1" s="1"/>
  <c r="H413" i="1"/>
  <c r="H412" i="1"/>
  <c r="H411" i="1"/>
  <c r="H410" i="1"/>
  <c r="H409" i="1"/>
  <c r="H408" i="1"/>
  <c r="H404" i="1"/>
  <c r="H403" i="1"/>
  <c r="H402" i="1"/>
  <c r="H401" i="1"/>
  <c r="H399" i="1"/>
  <c r="H398" i="1"/>
  <c r="H397" i="1"/>
  <c r="H384" i="1"/>
  <c r="H383" i="1"/>
  <c r="H382" i="1" s="1"/>
  <c r="H377" i="1"/>
  <c r="H376" i="1"/>
  <c r="H375" i="1"/>
  <c r="H374" i="1"/>
  <c r="H373" i="1"/>
  <c r="H372" i="1"/>
  <c r="H360" i="1"/>
  <c r="H349" i="1"/>
  <c r="H340" i="1"/>
  <c r="H332" i="1"/>
  <c r="H328" i="1"/>
  <c r="H327" i="1"/>
  <c r="H326" i="1"/>
  <c r="H325" i="1"/>
  <c r="H313" i="1"/>
  <c r="H312" i="1" s="1"/>
  <c r="H310" i="1"/>
  <c r="H309" i="1"/>
  <c r="H308" i="1"/>
  <c r="H307" i="1"/>
  <c r="H306" i="1"/>
  <c r="H305" i="1"/>
  <c r="H304" i="1"/>
  <c r="H303" i="1"/>
  <c r="H302" i="1"/>
  <c r="H296" i="1"/>
  <c r="H295" i="1"/>
  <c r="H294" i="1"/>
  <c r="H293" i="1"/>
  <c r="H292" i="1"/>
  <c r="H291" i="1"/>
  <c r="H290" i="1"/>
  <c r="H289" i="1"/>
  <c r="H288" i="1"/>
  <c r="H287" i="1"/>
  <c r="H286" i="1"/>
  <c r="H285" i="1"/>
  <c r="H284" i="1"/>
  <c r="H282" i="1"/>
  <c r="H281" i="1"/>
  <c r="H280" i="1"/>
  <c r="H279" i="1"/>
  <c r="H278" i="1"/>
  <c r="H277" i="1"/>
  <c r="H276" i="1"/>
  <c r="H272" i="1"/>
  <c r="H271" i="1"/>
  <c r="H270" i="1"/>
  <c r="H269" i="1"/>
  <c r="H268" i="1"/>
  <c r="H267" i="1"/>
  <c r="H266" i="1"/>
  <c r="H265" i="1"/>
  <c r="H264" i="1"/>
  <c r="H263" i="1"/>
  <c r="H262" i="1"/>
  <c r="H261" i="1"/>
  <c r="H260" i="1"/>
  <c r="H259" i="1"/>
  <c r="H258" i="1"/>
  <c r="H257" i="1"/>
  <c r="H256" i="1"/>
  <c r="H255" i="1"/>
  <c r="H253" i="1"/>
  <c r="H252" i="1"/>
  <c r="H250" i="1"/>
  <c r="H249" i="1"/>
  <c r="H248" i="1"/>
  <c r="H247" i="1"/>
  <c r="H245" i="1"/>
  <c r="H244" i="1"/>
  <c r="H243" i="1"/>
  <c r="H242" i="1"/>
  <c r="H240" i="1"/>
  <c r="H239" i="1"/>
  <c r="H238" i="1"/>
  <c r="H236" i="1"/>
  <c r="H235" i="1"/>
  <c r="H233" i="1"/>
  <c r="H232" i="1"/>
  <c r="H231" i="1"/>
  <c r="H230" i="1"/>
  <c r="H229" i="1"/>
  <c r="H228" i="1"/>
  <c r="H227" i="1"/>
  <c r="H225" i="1"/>
  <c r="H224" i="1"/>
  <c r="H223" i="1"/>
  <c r="H222" i="1"/>
  <c r="H221" i="1"/>
  <c r="H220" i="1"/>
  <c r="H219" i="1"/>
  <c r="H218" i="1"/>
  <c r="H216" i="1"/>
  <c r="H215" i="1"/>
  <c r="H214" i="1"/>
  <c r="H213" i="1"/>
  <c r="H212" i="1"/>
  <c r="H211" i="1"/>
  <c r="H210" i="1"/>
  <c r="H209" i="1"/>
  <c r="H208" i="1"/>
  <c r="H207" i="1"/>
  <c r="H206" i="1"/>
  <c r="H205" i="1"/>
  <c r="H204" i="1"/>
  <c r="H203" i="1"/>
  <c r="H202" i="1"/>
  <c r="H201" i="1"/>
  <c r="H199" i="1"/>
  <c r="H198" i="1" s="1"/>
  <c r="H197" i="1"/>
  <c r="H196" i="1"/>
  <c r="H195" i="1"/>
  <c r="H194" i="1"/>
  <c r="H187" i="1"/>
  <c r="H186" i="1"/>
  <c r="H184" i="1"/>
  <c r="H183" i="1"/>
  <c r="H182" i="1"/>
  <c r="H181" i="1"/>
  <c r="H179" i="1"/>
  <c r="H178" i="1"/>
  <c r="H175" i="1"/>
  <c r="H174" i="1"/>
  <c r="H171" i="1"/>
  <c r="H170" i="1"/>
  <c r="H169" i="1"/>
  <c r="H168" i="1"/>
  <c r="H167" i="1"/>
  <c r="H166" i="1"/>
  <c r="H165" i="1"/>
  <c r="H164" i="1"/>
  <c r="H163" i="1"/>
  <c r="H158" i="1"/>
  <c r="H157" i="1"/>
  <c r="H156" i="1"/>
  <c r="H155" i="1"/>
  <c r="H154" i="1"/>
  <c r="H153" i="1"/>
  <c r="H150" i="1"/>
  <c r="H149" i="1"/>
  <c r="H148" i="1"/>
  <c r="H134" i="1"/>
  <c r="H123" i="1"/>
  <c r="H122" i="1"/>
  <c r="H109" i="1"/>
  <c r="H108" i="1"/>
  <c r="H107" i="1"/>
  <c r="H106" i="1"/>
  <c r="H105" i="1"/>
  <c r="H104" i="1"/>
  <c r="H103" i="1"/>
  <c r="H102" i="1"/>
  <c r="H101" i="1"/>
  <c r="H100" i="1"/>
  <c r="H99" i="1"/>
  <c r="H98" i="1"/>
  <c r="H97" i="1"/>
  <c r="H96" i="1"/>
  <c r="H95" i="1"/>
  <c r="H94" i="1"/>
  <c r="H93" i="1"/>
  <c r="H92" i="1"/>
  <c r="H90" i="1"/>
  <c r="H89" i="1" s="1"/>
  <c r="H88" i="1"/>
  <c r="H87" i="1"/>
  <c r="H86" i="1"/>
  <c r="H85" i="1"/>
  <c r="H84" i="1"/>
  <c r="H83" i="1"/>
  <c r="H82" i="1"/>
  <c r="H80" i="1"/>
  <c r="H79" i="1"/>
  <c r="H78" i="1"/>
  <c r="H76" i="1"/>
  <c r="H75" i="1"/>
  <c r="H74" i="1"/>
  <c r="H73" i="1"/>
  <c r="H63" i="1"/>
  <c r="H62" i="1" s="1"/>
  <c r="H60" i="1"/>
  <c r="H59" i="1"/>
  <c r="H57" i="1"/>
  <c r="H56" i="1" s="1"/>
  <c r="H43" i="1"/>
  <c r="H42" i="1" s="1"/>
  <c r="H41" i="1"/>
  <c r="H40" i="1" s="1"/>
  <c r="H39" i="1"/>
  <c r="H38" i="1" s="1"/>
  <c r="H37" i="1"/>
  <c r="H36" i="1"/>
  <c r="H34" i="1"/>
  <c r="H33" i="1"/>
  <c r="H31" i="1"/>
  <c r="H30" i="1" s="1"/>
  <c r="H407" i="1" l="1"/>
  <c r="H396" i="1"/>
  <c r="H595" i="1"/>
  <c r="H121" i="1"/>
  <c r="H111" i="1" s="1"/>
  <c r="H1210" i="1"/>
  <c r="H1224" i="1"/>
  <c r="H422" i="1"/>
  <c r="H251" i="1"/>
  <c r="H185" i="1"/>
  <c r="H834" i="1"/>
  <c r="H606" i="1"/>
  <c r="H1093" i="1"/>
  <c r="H713" i="1"/>
  <c r="H458" i="1"/>
  <c r="H147" i="1"/>
  <c r="H234" i="1"/>
  <c r="H32" i="1"/>
  <c r="H58" i="1"/>
  <c r="H48" i="1" s="1"/>
  <c r="H1229" i="1"/>
  <c r="H35" i="1"/>
  <c r="H1172" i="1"/>
  <c r="H1188" i="1"/>
  <c r="H1184" i="1" s="1"/>
  <c r="H177" i="1"/>
  <c r="H162" i="1"/>
  <c r="H1069" i="1"/>
  <c r="H77" i="1"/>
  <c r="H900" i="1"/>
  <c r="H152" i="1"/>
  <c r="H780" i="1"/>
  <c r="H776" i="1" s="1"/>
  <c r="H796" i="1"/>
  <c r="H892" i="1"/>
  <c r="H237" i="1"/>
  <c r="H470" i="1"/>
  <c r="H464" i="1" s="1"/>
  <c r="H72" i="1"/>
  <c r="H583" i="1"/>
  <c r="H579" i="1" s="1"/>
  <c r="H674" i="1"/>
  <c r="H1179" i="1"/>
  <c r="H241" i="1"/>
  <c r="H522" i="1"/>
  <c r="H518" i="1" s="1"/>
  <c r="H661" i="1"/>
  <c r="H745" i="1"/>
  <c r="H771" i="1"/>
  <c r="H767" i="1" s="1"/>
  <c r="H1056" i="1"/>
  <c r="H1163" i="1"/>
  <c r="H650" i="1"/>
  <c r="H719" i="1"/>
  <c r="H1176" i="1"/>
  <c r="H550" i="1"/>
  <c r="H694" i="1"/>
  <c r="H758" i="1"/>
  <c r="H837" i="1"/>
  <c r="H955" i="1"/>
  <c r="H450" i="1"/>
  <c r="H488" i="1"/>
  <c r="H503" i="1"/>
  <c r="H499" i="1" s="1"/>
  <c r="H534" i="1"/>
  <c r="H611" i="1"/>
  <c r="H602" i="1" s="1"/>
  <c r="H704" i="1"/>
  <c r="H825" i="1"/>
  <c r="H1001" i="1"/>
  <c r="H644" i="1"/>
  <c r="H682" i="1"/>
  <c r="H807" i="1"/>
  <c r="H1042" i="1"/>
  <c r="H480" i="1"/>
  <c r="H569" i="1"/>
  <c r="H565" i="1" s="1"/>
  <c r="H620" i="1"/>
  <c r="H656" i="1"/>
  <c r="H733" i="1"/>
  <c r="H727" i="1" s="1"/>
  <c r="H908" i="1"/>
  <c r="H1089" i="1"/>
  <c r="H1086" i="1" s="1"/>
  <c r="H173" i="1"/>
  <c r="H301" i="1"/>
  <c r="H297" i="1" s="1"/>
  <c r="H200" i="1"/>
  <c r="H217" i="1"/>
  <c r="H226" i="1"/>
  <c r="H324" i="1"/>
  <c r="H320" i="1" s="1"/>
  <c r="H283" i="1"/>
  <c r="H371" i="1"/>
  <c r="H367" i="1" s="1"/>
  <c r="H193" i="1"/>
  <c r="H275" i="1"/>
  <c r="H180" i="1"/>
  <c r="H254" i="1"/>
  <c r="H246" i="1"/>
  <c r="H81" i="1"/>
  <c r="H91" i="1"/>
  <c r="H1206" i="1"/>
  <c r="H392" i="1" l="1"/>
  <c r="H14" i="1"/>
  <c r="H1220" i="1"/>
  <c r="H740" i="1"/>
  <c r="H26" i="1"/>
  <c r="H445" i="1"/>
  <c r="H670" i="1"/>
  <c r="H530" i="1"/>
  <c r="H951" i="1"/>
  <c r="H1159" i="1"/>
  <c r="H888" i="1"/>
  <c r="H188" i="1"/>
  <c r="H143" i="1"/>
  <c r="H64" i="1"/>
  <c r="H792" i="1"/>
  <c r="H474" i="1"/>
  <c r="H688" i="1"/>
  <c r="H615" i="1"/>
  <c r="H16" i="1" l="1"/>
  <c r="H15" i="1" s="1"/>
  <c r="H17" i="1" l="1"/>
  <c r="H18" i="1" s="1"/>
  <c r="H20" i="1" s="1"/>
  <c r="H19" i="1" s="1"/>
</calcChain>
</file>

<file path=xl/sharedStrings.xml><?xml version="1.0" encoding="utf-8"?>
<sst xmlns="http://schemas.openxmlformats.org/spreadsheetml/2006/main" count="5254" uniqueCount="2816">
  <si>
    <t>Bill of Quantities</t>
  </si>
  <si>
    <t>Kaufland Hrvatska k.d.</t>
  </si>
  <si>
    <t>Donje svetice 14 10000 Zagreb, Croatia</t>
  </si>
  <si>
    <t>Phone: 0994344287</t>
  </si>
  <si>
    <t>Project: Osijek-Retfala</t>
  </si>
  <si>
    <t>Construction site: Svilajska ul., 31000 Osijek</t>
  </si>
  <si>
    <t>Bid package: Građevinsko- obrtnički radovi (S2)</t>
  </si>
  <si>
    <t>Net total</t>
  </si>
  <si>
    <t>Discount</t>
  </si>
  <si>
    <t>Total amount incl. discount</t>
  </si>
  <si>
    <t>Statutory VAT</t>
  </si>
  <si>
    <t>Gross total</t>
  </si>
  <si>
    <t>Cash discount/Deadline in days</t>
  </si>
  <si>
    <t>Gross total (cash discount applied)</t>
  </si>
  <si>
    <t>Code</t>
  </si>
  <si>
    <t>Type</t>
  </si>
  <si>
    <t>Short description</t>
  </si>
  <si>
    <t>Long description</t>
  </si>
  <si>
    <t>Quantity</t>
  </si>
  <si>
    <t>Unit</t>
  </si>
  <si>
    <t>Unit price</t>
  </si>
  <si>
    <t>bidderInputLabels</t>
  </si>
  <si>
    <t>200</t>
  </si>
  <si>
    <t>Građevinski i niskogradnja</t>
  </si>
  <si>
    <t>201</t>
  </si>
  <si>
    <t>Oprema gradilišta</t>
  </si>
  <si>
    <t>201.000</t>
  </si>
  <si>
    <t>Opći uvjeti i napomene</t>
  </si>
  <si>
    <t>ZTV - Dodatni tehnički uvjeti ugovora</t>
  </si>
  <si>
    <t>1.) Dodatni ugovoreni tehnički uvjeti dio su troškovnika te u slučaju ugovaranja postaju dio ugovora. Izvođač radova se dakle obavezuje na sve radove i primjene koje proizlaze iz ovih uvjeta te su one uračunate u cijenu, ukoliko nisu zasebno ponuđene.
2.) Cijene stavki se prikazuju kao neto iznos u državnoj valuti. Važeći zakonski propisani porez na dodanu vrijednost obračunava se zasebno.
3.) U slučaju proturječnosti dodatnih ugovorenih tehničkih uvjeta vrijede prvenstveno podaci iz troškovnika. U slučaju proturječnosti između troškovnika i tehničke dokumentacije koja se predaje prilikom natječaja, vrijedi tehnička dokumentacija.
4.) Prije početka davanja ponude, ponuditelj je dužan pažljivo pročitati kompletan tekst općih uvjeta uz troškovnik, općih i posebnih uvjeta uz svaku grupu radova, tekst samog troškovnika i ostale dijelove tehničke dokumentacije. Ako opis bilo koje stavke u troškovniku dovodi do sumnje o načinu izvedbe ili upotrebu gradiva zahtijevane kvalitete, treba prije predaje ponude zatražiti pojašnjenje od ovlaštene osobe Investitora. Naknadno pozivanje na manjkavost ili nepoznavanje projektno-tehničke dokumentacije ili opisa u troškovniku neće se uzeti u obzir, niti smatrati razlogom za produženje roka izvedbe, a niti će se priznati bilo kakva razlika u cijeni s tog naslova.
5.) Tehnička dokumentacija koja se predaje prilikom natječaja informativnog je karaktera, a ponuđač je dužan u svom trošku izvršiti kontrolu projektno tehničke dokumentacije u smislu točnosti, tehničke ispravnosti, izvedivosti i međusobne usklađenosti. Sve eventualne primjedbe ponuditelj/izvoditelj dužan je pravovremeno uz ponudu, a u svakom slučaju prije izvedbe u pisanom obliku dostaviti Nadzoru i Naručitelju
6.) Ponuditelj je dužan provesti i kontrolu lokacije na licu mjesta prije davanja ponude. Jedinične cijene za pojedine vrste radova sadrže i sve one posredne troškove koji nisu iskazani u troškovniku, ali su neminovni za izvršenje radova predviđenih projektom.
7.) Organizacija gradilišta uračunata je u cijenu, ukoliko nije ponuđena kao zasebna stavka.
8.) Dizalice za podizanje, skele, strojevi, alati, pomoćna sredstva i konstrukcije uzeti su u obzir te su uračunati u jediničnu cijenu.
9.) Skele za radove na fasadi i radove na krovu predmet su ovog natječaja. Ponuditelj smije koristiti postojeće skele uz poštivanje sigurnosnih uvjeta i na vlastitu odgovornost. Preinake na skelama nisu dozvoljene te se one moraju predati u ispravnom stanju u kojem su i preuzete.
10.) Kompletnu režiju gradilišta usigurava i rješava ponuditelj/izvođač i i uključena je u jediničnu cijenu.
11.) Ponuditelj je obvezan redovno prikupljati i ,pravilno skladištiti i odvoziti na ovlašteni deponij sve otpadne materijale, ostatke, krhotine, građevinski otpad, ambalaže, obični otpad i slično o vlastitom trošku. Kod odlaganja otpada potrebno je pridržavati se svih javnopravnih uputa i propisa.
12.) Onečišćenja koja uslijed radova nastaju na susjednim terenima, zgradama, putovima, cestama, trgovima i slično, izvođač radova treba svakodnevno čistiti.
13.) Izvođač preuzima odgovornost za osiguravanje, skladištenje i spremanje vlastite građevinske opreme, strojeva, uređaja, alata i slično. Jednako vrijedi i za građevinske materijale, elemente i za ugradnju određenih uređaja i objekata sve do primopredaje obavljenih građevinskih radova.
14.) Prilikom izvođenja radova, izvoditelj treba zaštititi sve susjedne plohe, dijelove konstrukcije i prethodno izvedene radove na prikladan način a u skladu sa pravilima zaštite na radu, tako da ne dođe do oštećenja istih. Troškove zaštite treba izvoditelj ukalkulirati u ponudbenu cijenu izvođenja radova. Ukoliko ipak dođe do oštećenja prethodno izvedenih radova za koje je odgovoran izvoditelj ili njegov kooperant, dužan je iste o svom trošku dovesti u stanje prije oštećenja ili naručiti iste radove kod drugog izvoditelja na svoj teret.
15.) Sve potrebne mjere prema javnopravnim uputama i propisima za sigurnost i zaštitu zdravlja trebaju se uzeti u obzir te ih se treba pridržavati prilikom izvođenja radova.
16.) Prilikom davanja ponude i izvođenja radova treba se uzeti u obzir, uračunati i pridržavati se
- svih državnih i javnopravnih zakona, smjernica i propisa
- svih odgovarajućih tehničkih standarda, pravila i smjernica
- općeprihvaćenih pravila tehnike
- uputa, propisa i napomena proizvođača za ugradnju i obradu
- Kauflandovih građevinskih opisa, ugovorenih uvjeta i ostalih Kauflandovih dokumenata i planova.
17.) Stavke troškovnika obuhvačaju konačno dovršenje radova definiranih po količini i kvaliteti, onosno podrazumijevaju se kao gotove, potpune i funkcionirajuće, uklj. sve potrebne male dijelove i sredstva za pričvršćivanje, pomoćne materijale i sredstva, podkonstrukcije itd., kao i sve dodatne i posebne usluge - čak i kada one nisu detaljno opisane.
18.) Ako su treće stranke uključene u izvođenje predradnji, izvođač radova ih treba provjeravati. U slučaju nepravilnosti ili prigovora pravovremeno treba informirati naručitelja, tako da može tehnički i organizacijski dovršiti poslove.
19.) Obavezno se treba pridržavati svih Kauflandovih proizvodnih uputa, osim ako postoje opravdani razlozi za odstupanje (npr. dostupnost). U tom slučaju izvođač treba ponuditi istovjetni proizvod ili sustav te potvrditi istovjetnost. O njoj odlučuje naručitelj.
20.) Sustavi se izvode isključivo pomoću komponenata koje su predviđene od strane proizvođača sustava.
21.) Svi materijali, građevinski elementi i uređaji koji neposredno utječu na izgled i funkcionalnost prije ugradnje se trebaju provjeriti. Ugrađuju se tek nakon što naručitelj ili ovlaštena osoba odobri ugradnju na gradilištu. O vrsti i obliku uzorka odlučuje naručitelj.
22.) Ako nije drukčije propisano, izmjene postojećih projektnih rješenja od strane ponuditelja/izvođača a koje utječu na mehaničku stabilnost, ponuditelj/izvođač je dužan u svom trošku ishoditi sve suglasnosti, dozvole i sl.
Projekt izvedenog stanja ukalkulirati u jedničnu cijenu te dostaviti Kauflandu u pisanom i digitalnom obliku.
23.) Svi radovi na objektu te primjenjeni sistemi gradnje moraju biti izvedeni prema pravilu struke, odnosnu u granicama dopuštenih tolerancija.
24.) Ukoliko je ugovoreni termin izvršenja objekta uključen i zimski odnosno ljetni period, to se neće posebno izvođaču priznavati na ime naknade za rad pri niskoj temperaturi, zaštita konstrukcija od hladnoće i vrućine, te atmosferskih nepogoda, sve mora biti uključeno u jediničnu cijenu. Za vrijeme zime objekat se mora zaštititi. Svi eventualni smrznuti dijelovi moraju se ukloniti i izvesti ponovo bez bilo kakve naplate. Ukoliko je temperatura niža od temperature pri kojoj je dozvoljen dotični rad, a Investitor ipak traži da se radi, Izvođač si ima pravo zaračunati naknadu po normi 6,006 ali u tom slučaju Izvođač snosi punu odgovornost za ispravnost i kvalitetu rada. To isto vrijedi i za zaštitu radova tokom ljeta od prebrzog sušenja uslijed visoke temperature.
25.) U jediničnu cijenu rada izvođač treba obuhvatiti i slijedeće radove, koji se neće zasebno platiti kao naknadni rad, čak i ako nisu izričito navedenei u troškovniku:
- sve vrste transporta građevinskih materijala, elemenata, uređaja, objekata itd. do mjesta ugradnje
- potrebne i uobičajene pripreme i predobrade tla
- sve vrste bušenja, zavarivanja, lijepljenja, malih dijelova, sredstava za pričvršćivanje, međupoložaja, izolacije, brtvljenja, folija, spojeva itd. koje su potrebne za priključak, montažu i pričvršćivanje građevinskih dijelova i elemenata
- stručna priprema i priključak na sve okolne dijelove, ugradbene i nadgradne elemente i propuste
- sve izrade kutova, spojnih površina i elemenata, završnih elemenata, slobodnih krajeva itd.
- sve podloge za montažu, priključak i pričvršćivanje kao što su beton, zidani elementi, čelik, aluminij, limovi, gips karton, itd.
- potrebne spojne, kose i okrugle rezove te ostatke rezanja
- Izrada otvora i proreza za instalacije i ugradbene elemente drugih izvođača
- interno povezivanje kablovima i priključak objekata, dovod prema električnim trošilima na gradilištu od strane elektro izvođača</t>
  </si>
  <si>
    <t/>
  </si>
  <si>
    <t>Dodatne opće informacije</t>
  </si>
  <si>
    <t>Ukoliko unutar opisa stavke nije navedeno drukčije, jediničnom cijenom obuhvatiti i:
- Proizvodnju odnosno dostavu
- Sastavljanje odnosno montažu
- Priključak
- Pripravnost i održavanje tijekom cijelog perioda izvođenja radova ili tijekom trajanja pojedine mjere
- Rastavljanje nakon završetka građevinske ili pojedine mjere, nakon što više nema potrebe ili nakon naredbe naručitelja
- Odvoz odnosno odlaganje
- sanitarni kontejner</t>
  </si>
  <si>
    <t>201.010</t>
  </si>
  <si>
    <t>Opći objekt na gradilištu</t>
  </si>
  <si>
    <t>201.010.00100</t>
  </si>
  <si>
    <t>- Općenita organizacija gradilišta</t>
  </si>
  <si>
    <t>Općenita organizacija gradilišta za sve radove koje su navedene u ovom troškovniku ili samo za one koje se odnose na izvođača, tijekom cijelog trajanja građevinskih radova do primopredaje, sastoji se od:
- Pripreme i izrade potrebnih pristupnih puteva unutar gradilišta i na spoju sa postojećom infrastrukturom, skladišnih površina i površina za postavljanje kontejnera na gradilištu
- Osiguravanja pristupa i izlaza s gradilišta, ishođenja svih potrebnih javnopravnih dozvola i realizacije odgovarajućih mjera i propisa
- Uređaja, kranova, dizala, alata i pomoćnih sredstava, itd. koji su potrebni za izvođenje radova izvođača i podizvođača.
- Skela, dizalica, radnih platformi, itd. koji su potrebni za izvođenje radova izvođača i podizvođača - ukoliko nisu zasebno navedeni u opisu stavke
- Čišćenja prometnih putova na terenu, javnih prometnica i pješačkih putova na terenu od nečistoća odnosno onečišćenja koje proizlaze iz radova, svakodnevno ili po potrebi
- Sigurnosnih prometnih mjera, pogotovo na prometnim putovima na terenu, javnim prometnicama i pješačkim putovima na terenu, uklj. čišćenje snijega
- Dnevnih smještaja, sanitarnih čvorova, kontejnera za skladištenje radnog materijala i alata za izvođača i njegove podizvođače
- Uklanjanje oštećenja koje nastaje tijekom izvođenja radova na susjednim ili javnim terenima, cestama, pješačkim putovima, itd.
- pribavljanja i pripreme dodatnih površina za organizaciju gradilišta koje će se nakon završetka radova ponovo vratiti u prvotno stanje - ukoliko površine koje je pripremio naručitelj nisu dovoljne
- Svih sigurnosnih mjera koje su potrebne prema državnim zakonskim propisima, kao što su pregrade, zaštite od propadanja ili pada, kako bi se osigurala opasna područja
- Izrade stepenica za hitne slučajeve, platforma, itd., kako bi se osigurao siguran pristup svim područjima na gradilištu
- Imenovanja voditelja gradilišta i osobe odgovorne za sigurnost na radu u skladu s državnim zakonskim propisima za sve usluge naručitelja i njegovih podizvođača
- Mjera za sprječavanje nezgoda na terenu, susjednim terenima, javnim prometnicama i putovima za kupce
- Oprema za prvu pomoć u skladu s javnopravnim propisima za naručitelja i sve njegove podizvođače te za treće stranke i naručitelja
- dodatne usluge i mjere koje su potrebne prema državnim zakonskim propisima i javnopravnim uputama
- Planiranje i provedba mogućih potrebnih mjera za sprječavanje buke</t>
  </si>
  <si>
    <t>paušal</t>
  </si>
  <si>
    <t>201.020</t>
  </si>
  <si>
    <t>Opskrba strujom i vodom na gradilištu</t>
  </si>
  <si>
    <t>201.020.00100</t>
  </si>
  <si>
    <t>- mrežno napajanje</t>
  </si>
  <si>
    <t>Potpuno spreman sustav opskrbe struje na gradilištu koji se sastoji od:
- Priključni ormar
- Ormara s brojilom
- Razvodi struje za gradilište (minimalno 6 x 16A/230V, 2 x 16A/400V, 1 x 32A/400V)
- Priključnih vodova
uklj. usklađivanje s distributerima, mrežne i priključne troškove, potrošnju i redovne tehničke provjere.
Izvedba u vanjskim prostorima s 2 komada, u unutarnjim prostorima na svakom katu na maksimalnoj udaljenosti od 50 m na vanjskom zidu te za opskrbu kontejnera.
Priključak na javnu mrežu s maksimalnim razmakom od 50 m počevši od granice terena.</t>
  </si>
  <si>
    <t>201.020.00110</t>
  </si>
  <si>
    <t>- gradilišna vodoopskrba</t>
  </si>
  <si>
    <t>Potpuno spreman sustav opskrbe vode na gradilištu koji se sastoji od:
- Brojila za vodu
- Mjesta za crpljenje
- Priključnih vodova
uklj. usklađivanje s distributerima, mrežne i priključne troškove te potrošnju.
Izvedba u vanjskim i unutarnjim prostorima s po 2 komada kao i za opskrbu kontejnera.
Priključak na javnu mrežu s maksimalnim razmakom od 10 m počevši od granice terena.</t>
  </si>
  <si>
    <t>201.030</t>
  </si>
  <si>
    <t>Gradilišna rasvjeta</t>
  </si>
  <si>
    <t>201.030.00100</t>
  </si>
  <si>
    <t>- unutarnja rasvjeta zgrade</t>
  </si>
  <si>
    <t>Potpuno spreman sustav rasvjete u zgradi koji se sastoji se od:
- Svjetiljki
- Električne mreže
- prema potrebi dodatnih razvodnih kutija
- Upravljačkog sustava rasvjete
za rasvjetu cestovnih priključaka i svih drugih područja koje bez rasvjete nije moguće koristiti na siguran način. Intenzitet rasvjete u skladu s državnim propisima.</t>
  </si>
  <si>
    <t>201.030.00105</t>
  </si>
  <si>
    <t>- Vanjska rasvjeta zgrade</t>
  </si>
  <si>
    <t>Potpuno spreman sustav rasvjete u vanjskim prostorima koji se sastoji se od:
- Svjetiljki
- Električne mreže
- prema potrebi dodatnih razvodnih kutija
- Upravljačkog sustava rasvjete
za rasvjetu kolnih prilaza, cestovnih priključaka i svih drugih područja koje bez rasvjete nije moguće koristiti na siguran način. Intenzitet rasvjete u skladu s državnim propisima.
-Drveni impregnirani rasvjetni stup od 8m na rubu parcele (Kapelska ulica)- 3 kom. Stavka uključuje dobavu i montažu. Rasvjetno tijelo dobavlja naručitelj</t>
  </si>
  <si>
    <t>201.040</t>
  </si>
  <si>
    <t>Građevinski kontejner</t>
  </si>
  <si>
    <t>201.040.00105</t>
  </si>
  <si>
    <t>- kontejner za ured / sastanak</t>
  </si>
  <si>
    <t>Minimalna oprema kombiniranog kontejnera za ured / sastanke koji koristi isključivo naručitelj uključuje:
- Ulazna vrata izvedena kao sigurnosna vrata s bravom
- Prozor izveden kao sigurnosni prozor s preklopnim zastorima ili roletama
- Rasvjeta
- električno grijanje
- Telefonski i faks priključak, telefon i faks, pisač u boji / fotokopirni uređaj do DIN A3
- Mala kuhinja sa sudoperom, hladnjakom, 2 električne ploče i bojlerom
- Pojedinačni zahod s umivaonikom, ogledalom, držačem, kukicom za ručnik i bojlerom
- 2 radna mjesta s radnim stolom, lampom, pomoćnim stolićem, ormarom s bravom i okretnom stolicom na kotačima
- Prostor za sastanke s 4 stola, 10 stolica, 2 ormara za dokumente, flipchart pločom i magnetskim zidom
- Letve za pričvršćivanje planova s magnetima
Održavanje uključuje tjedno čišćenje i punjenje potrošnih materijala (zahod i uredski uređaji). Potrošnja vode, otpadnih voda i struje treba biti uračunata u troškove opskrbe struje odnosno vode na gradilištu.</t>
  </si>
  <si>
    <t>kom</t>
  </si>
  <si>
    <t>201.050</t>
  </si>
  <si>
    <t>Građevinski znak</t>
  </si>
  <si>
    <t>201.050.00110</t>
  </si>
  <si>
    <t>- građevinska tabla tip 3; 5,0x2,8m</t>
  </si>
  <si>
    <t>Građevinska tabla tipa 3, sastoji se od:
- Glavne ploče, dimenzije 5,0 x 2,8 m, od Dibond aluminija, otporna na savijanje
- Dodatne ploče, dimenzije 5,0 x 0,8 m, od Dibond aluminija, otporna na savijanje
- Dodatne ploče, dimenzije 5,0 x 0,5 m, od Dibond aluminija, otporna na savijanje
- Teksta i grafike, otporni na UV zrake i vremenske uvjete s postojanim bojama
- Sadržaj i tlocrt prema uputama i odobrenju naručitelja
- Temelja i podkonstrukcija prema odabiru izvođača, čvrsti i otporni na olujne uvjete, jednostavno skidanje
Način postavljanja i skidanja te lokacija plakata dogovaraju se s Kauflandom.</t>
  </si>
  <si>
    <t>201.060</t>
  </si>
  <si>
    <t>Ograda gradilišta</t>
  </si>
  <si>
    <t>201.060.00100</t>
  </si>
  <si>
    <t>- građevinska ograda</t>
  </si>
  <si>
    <t>Građevinska ograda od mobilnih čeličnih elemenata s rešetkom, uklj. potporne noge od betona i vijčane spojeve između elemenata, izvedba na granici terena.
Visina ograde ca. 2,0 m</t>
  </si>
  <si>
    <t>m</t>
  </si>
  <si>
    <t>201.070</t>
  </si>
  <si>
    <t>Zaštitne mjere</t>
  </si>
  <si>
    <t>201.080</t>
  </si>
  <si>
    <t>Zimski građevinski radovi</t>
  </si>
  <si>
    <t>201.090</t>
  </si>
  <si>
    <t>Privremena rješenja</t>
  </si>
  <si>
    <t>201.100</t>
  </si>
  <si>
    <t>Ostali</t>
  </si>
  <si>
    <t>202</t>
  </si>
  <si>
    <t>Rušilaćki radovi</t>
  </si>
  <si>
    <t>202.000</t>
  </si>
  <si>
    <t>Prethodne napomene</t>
  </si>
  <si>
    <t>1.) Dodatni ugovoreni tehnički uvjeti su dio opisa usluga te u slučaju narudžbe postaju dio ugovora. Izvođač radova se dakle obavezuje na sve usluge i primjene koje proizlaze iz ovih uvjeta te su one uračunate u cijenu, ukoliko nisu zasebno ponuđene.
2.) Usluge se prikazuju kao neto iznos u državnoj valuti. Važeći zakonski propisani porez na dodanu vrijednost obračunava se zasebno.
3.) U slučaju proturječnosti dodatnih ugovorenih tehničkih uvjeta vrijede prvenstveno podaci iz popisa usluga. U slučaju proturječnosti između popisa usluga i planske dokumentacije koja se predaje prilikom natječaja, vrijedi planska dokumentacija.
4.) Ponuditelj se prije izdavanja ponude detaljno informirao o građevinskim zadaćama koje treba izvesti, ukoliko su povezane s ponuđenim i planiranim uslugama, tako da na temelju popisa usluga nema nikakvih nejasnoća kod obračuna. Naknadne reklamacije koje proizlaze iz nepoznavanja natječajne dokumentacije neće se uvažavati.
5.) Planovi i u njima navedeni objekti koji se izdaju prilikom natječaja služe za informaciju. Ta dokumentacija ponuditelja ne oslobađa od obveze za vlastitim pribavljanjem svih potrebnih informacija za određivanje cijene detaljnim pregledavanjem planskih dokumenata.
6.) Ponuditelj je posjetio lokacije kako bi procijenio sve potrebne usluge. Svi vidljivi uvjeti koji utječu na formiranje cijene uzeti su u obzir prilikom određivanja jedinične cijene.
7.) Organizacija gradilišta za vlastite potrebe uračunata je u cijenu, ukoliko nije ponuđena kao zasebna stavka.
8.) Sve potrebne naprave za podizanje, skele, strojevi, alati, pomoćna sredstva i konstrukcije uzeti su u obzir te su uračunati u cijenu.
9.) Skele za radove na fasadi i radove na krovu predmet su ovog natječaja. Ponuditelj smije koristiti postojeće skele uz poštivanje sigurnosnih uvjeta i na vlastitu odgovornost. Preinake na skelama nisu dozvoljene te se one moraju predati u ispravnom stanju u kojem su i preuzete.
10.) Struju i vodu na gradilištu osigurava odjeljak za organizaciju gradilišta od mjesta distribucije odnosno crpljenja za sve ostale usluge i radove.
11.) Ponuditelj je obvezan redovno prikupljati i pravilno odložiti sve otpadne materijale, ostatke, krhotine, građevinski otpad, ambalaže, obični otpad i slično o vlastitom trošku. Kod odlaganja otpada potrebno je pridržavati se svih javnopravnih uputa i propisa.
12.) Onečišćenja koja uslijed radova nastaju na susjednim terenima, zgradama, putovima, cestama, trgovima i slično, izvođač radova svakodnevno treba očistiti.
13.) Izvođač preuzima odgovornost za osiguravanje, skladištenje i spremanje vlastitih građevinskih naprava, strojeva, uređaja, alata i slično. Jednako vrijedi i za građevinske materijale, elemente i za ugradnju određenih uređaja i objekata sve do primopredaje obavljenih građevinskih usluga.
14.) Građevinski i konstrukcijski elementi se prilikom izvođenja radova odgovarajućim mjerama trebaju zaštititi od onečišćenja i oštećenja. Jednako tako i izvođač treba zaštititi vlastite usluge sve do primopredaje obavljenih građevinskih usluga.
15.) Sve potrebne mjere prema javnopravnim uputama i propisima za sigurnost i zaštitu zdravlja trebaju se uzeti u obzir te ih se treba pridržavati prilikom izvođenja radova.
16.) Prilikom izdavanja ponude i izvođenja radova treba se uzeti u obzir, uračunati i pridržavati se
- svih državnih i javnopravnih zakona, smjernica i propisa
- svih odgovarajućih tehničkih standarda, pravila i smjernica
- općeprihvaćenih pravila tehnike
- uputa, propisa i napomena proizvođača za ugradnju i obradu
- Kauflandovih građevinskih opisa, ugovorenih uvjeta i ostalih Kauflandovih dokumenata i planova
.
17.) Navedene usluge podrazumijevaju se kao gotove, potpune i funkcionirajuće, uklj. sve potrebne male dijelove i sredstva za pričvršćivanje, pomoćne materijale i sredstva, podkonstrukcije itd., kao i sve dodatne i posebne usluge - čak i kada one nisu detaljno opisane.
18.) Ako su treće stranke uključene u izvođenje predradnji, izvođač radova ih treba provjeravati. U slučaju nepravilnosti ili prigovora pravovremeno treba informirati naručitelja, tako da može tehnički i organizacijski dovršiti poslove.
19.) Obavezno se treba pridržavati svih Kauflandovih proizvodnih uputa, osim ako postoje opravdani razlozi za odstupanje (npr. dostupnost). U tom slučaju izvođač treba ponuditi istovjetni proizvod ili sustav te potvrditi istovjetnost. O njoj odlučuje naručitelj.
20.) Sustavi se izvode isključivo pomoću komponenata koje su predviđene od strane proizvođača sustava.
21.) Svi materijali, građevinski elementi i uređaji koji neposredno utječu na izgled i funkcionalnost prije ugradnje se trebaju provjeriti. Ugrađuju se tek nakon što naručitelj ili ovlaštena osoba odobri ugradnju na gradilištu. O vrsti i obliku predloška odlučuje naručitelj.
22.) Ukoliko nisu ponuđene kao posebne stavke, troškovi za projektiranje usluga trebaju se uračunati u cijene pojedinih radova. Opseg projektiranja ovisno o radnji i potrebi može uključivati lokalno mjerenje, statičke proračune, planiranje radova, proizvodnje, detalja i montaže na temelju Kauflandovih podataka i izradu revizijskih dokumenata.
23.) Sve konstrukcije, načini gradnje i sustavi moraju biti izvedeni tako da mogu prihvatiti odnosno kompenzirati uobičajene i dozvoljene tolerancije u pripremnim radovima odnosno u tlu.
24.) Otežane okolnosti koje su uvjetovane godišnjim dobom ili vremenskim uvjetima i koje se u normalnim uvjetima trebaju uzeti u obzir, ne predstavljaju opravdan razlog za dodatne troškove ili produženje rokova izvođenja. U slučaju dvojbe izvođač mora dokazati prisutnost izvanrednih okolnosti.
25.) Ovisno o gradilištu i uslugama potrebno je uzeti u obzir i uračunati sljedeće primjene i usluge, čak i ako nisu izričito navedene u popisu usluga:
- sve vrste transporta građevinskih materijala, elemenata, uređaja, objekata itd. do mjesta ugradnje
- potrebne i uobičajene pripreme i predobrade tla
- sve vrste bušenja, zavarivanja, lijepljenja, malih dijelova, sredstava za pričvršćivanje, međupoložaja, izolacije, brtvljenja, folija, spojeva itd. koje su potrebne za priključak, montažu i pričvršćivanje građevinskih dijelova i elemenata
- stručna priprema i priključak na sve okolne dijelove, ugradbene i nadgradne elemente i propuste
- sve izrade kutova, spojnih površina i elemenata, završnih elemenata, slobodnih krajeva itd.
- sve podloge za montažu, priključak i pričvršćivanje kao što su beton, zidani elementi, čelik, aluminij, limovi, gips karton, itd.
- potrebne spojne, kose i okrugle rezove te ostatke rezanja
- Izrada otvora i proreza za instalacije i ugradbene elemente drugih izvođača
- interno povezivanje kablovima i priključak objekata, dovod prema električnim trošilima na gradilištu od strane elektro izvođača</t>
  </si>
  <si>
    <t>Posao rušenja</t>
  </si>
  <si>
    <t>Ukoliko u nastavku nije navedeno drugačije, sve usluge uključuju:
- Rušenje, demontažu i rastavljanje, uklj. svih radova ugradnje, pripreme i dogradnje na konstrukciji
- Razdvajanje rezova u slučaju djelomičnog rušenja ili djelomičnog rastavljanja
- Usitnjavanje
- Razdvajanje svih građevinskih elemenata i materijala u otpad i korisne materijale
- Utovar, odvoz i ispravno odlaganje prema javnopravnim propisima
- Spremanje svih izvađenih građevinskih elemenata i materijala na hrpe, u jarke ili kontejnere unutar gradilišta
- Zaštitu skladištenih građevinskih elemenata i materijala od oborina sve do trenutka odvoza
- Provjeru materijala kako bi se ispravno odložili prema javnopravnim propisima
- Pažnju, zaštitu i skladištenje dijelova koji se trebaju sačuvati, kako bi se spriječila ili koliko je moguće izbjegla oštećenja i onečišćenja</t>
  </si>
  <si>
    <t>202.010</t>
  </si>
  <si>
    <t>Cijela zgrada</t>
  </si>
  <si>
    <t>202.020</t>
  </si>
  <si>
    <t>Nosiva konstrukcija</t>
  </si>
  <si>
    <t>202.030</t>
  </si>
  <si>
    <t>Fasade</t>
  </si>
  <si>
    <t>202.040</t>
  </si>
  <si>
    <t>Krovopokrivački</t>
  </si>
  <si>
    <t>202.050</t>
  </si>
  <si>
    <t>Parkirna platforma</t>
  </si>
  <si>
    <t>202.050.00100</t>
  </si>
  <si>
    <t>- rušenje asfalta</t>
  </si>
  <si>
    <t>Rušenje ulaznog asfalta debljine cca 10 cm</t>
  </si>
  <si>
    <t>m2</t>
  </si>
  <si>
    <t>202.060</t>
  </si>
  <si>
    <t>Unutarnji radovi</t>
  </si>
  <si>
    <t>202.060.00100</t>
  </si>
  <si>
    <t>- strojno zascjecanje postojećeg asfalta na mjestu spoja sa novim asfaltom/rubnjakom</t>
  </si>
  <si>
    <t>Strojno zasijecanje asfaltnih slojeva postojećeg kolnika na mjestima spoja novih i postojećih asfaltnih površina. Uključujući zasijecanje za potrebe spoja kanalizacijske cijevi na postojeću oborinsku u ul. Ivana Gundulića (O.T.U. 1-03.2 - Knjiga I)</t>
  </si>
  <si>
    <t>202.060.00105</t>
  </si>
  <si>
    <t>- Lokalno izmještanje vertikalne prometne signalizacije A14</t>
  </si>
  <si>
    <t>Postojeći prometni stup s postojećim prometnim znakom A14 koji se premješta lokalno na novu poziciju udaljenu 3 m od postojeće pozicije. Stavka uključuje sve potrebne radove za premještaj FeZn stupa Ø 60,3 mm dužine 2,1 m, s prometnim znakom, lokalno na novu poziciju, uključujući izradu novog betonskog temelja prema detalju iz projekta. Sve prema Pravilniku o prometnim znakovima, singalizaciji i opremi na cestama.</t>
  </si>
  <si>
    <t>202.070</t>
  </si>
  <si>
    <t>Strojarski sustavi</t>
  </si>
  <si>
    <t>202.080</t>
  </si>
  <si>
    <t>Vanjski sadržaji</t>
  </si>
  <si>
    <t>202.080.00100</t>
  </si>
  <si>
    <t>- Rušenje rubnjaka</t>
  </si>
  <si>
    <t>Rušenje rubnih ovojnica od betona kao što su visoki i spušteni rubnici, itd., s različitim pojedinačnim dimenzijama, uklj. temelj odnosno stražnji potporanj. - na ulazu u parcelu</t>
  </si>
  <si>
    <t>203</t>
  </si>
  <si>
    <t>Zemljani radovi</t>
  </si>
  <si>
    <t>203.000</t>
  </si>
  <si>
    <t>Kategorije tla prema OTU</t>
  </si>
  <si>
    <t>Kategorija tla A - podrazumijevaju se svi čvrsti materijali gdje je potrebno
miniranje kod cijelog iskopa i/ili uporaba strojeva s hidrauličkim čekićem.
Toj skupini pripadaju sve vrste čvrstih i veoma čvrstih kamenih tala , kompaktnih stijena (eruptivnih, metamorfnih i sedimentnih) u zdravom stanju, uključujući i moguće tanje slojeve rastresitog materijala na površini ili takve stijene s mjestimičnim gnijezdima ilovače i lokalnim trošnim ili zdrobljenim zonama
Kategorija tla B - podrazumijevaju se polučvrsta kamenita tla gdje je
potrebno djelomično miniranje , odnosno uporaba strojeva s hidrauličkim čekićem, a
ostali se dio iskopa obavlja izravnim strojnim radom. Toj skupini materijala pripadaju: flišni materijali, uključujući i rastresiti materijal, homogeni lapori, trošni pješčenjaci i mješavine lapora i pješčenjaka, većina dolomita (osim vrlo kompaktnih), raspadnute stijene na površini u debljim slojevima s miješanim raspadnutim zonama, jako zdrobljeni vapnenac, sve vrste škriljaca, neki konglomerati i slični materijali.
Kategorija tla C - podrazumijevaju se svi materijali koje nije potrebno
minirati, nego se mogu kopati izravno, uporabom pogodnih strojeva - buldožerom,
bagerom, ili skrejperom. U ovu kategoriju spadala bi:
● sitnozrnata vezana (koherentna) tla kao što su gline, prašine, prašinaste gline
(ilovače), pjeskovite prašine i les,
● krupnozrnata nevezana (nekoherentna) tla kao što su pijesak, šljunak ,odnosno
njihove mješavine, prirodne kamene drobine - siparišni ili slični materijali,
●mješovita tla koja su mješavina krupnozrnatih nevezanih i sitnozrnatih vezanih
materijala .</t>
  </si>
  <si>
    <t>Opseg usluga zemljani radovi</t>
  </si>
  <si>
    <t>Jediničnom cijenom obuhvatiti i slijedeće radove, koji se neće zasebno platiti kao naknadni rad, i to:
- sve podatke i informacije o građevinskom terenu i podzemnim vodama koji su navedeni u procjeni građevinskog terena
- Utvrđivanje stanja okolnih terena, objekata, putova, cesta, trgova i slično, uključujući protokoliranje
- Uklanjanje oštećenja okolnih terena, objekata, putova, cesta, trgova i slično koji nastaju uslijed radova
- Zaštitu postojećih stabala i grmlja
- Utvrđivanje i razmatranje potrebnih mjera za zaštitu (podzemnih) voda
- lokalizaciju i po potrebi osiguravanje postojećih vodova i kanala u radnom području izvođača
- lokalizaciju i po potrebi osiguravanje građevinskih objekata u radnom području izvođača
- lokalizaciju i po potrebi osiguravanje iskolčenja, graničnih kamenja, referentnih točaka, visinskih oznaka, itd. u radnom području izvođača
- ishođenje potrebnih dozvola za iskop kod nadležnih tijela
- Međutransporte i skladištenja radnog materijala izvođača, npr. za stvaranje slobodnog prostora za druge radove
- Ručne radove ukoliko nije moguće koristiti strojeve
- stručni priključak na okolne terene, objekte, putove, ceste, trgove i slično
- Stvaranje pomoćnih pristupnih putova i prilaza - ukoliko nisu uključeni u opseg organizacije gradilišta
- Mjere za odvođenje oborinskih voda kako bi se spriječilo vlaženje i smekšavanje podloge za gradnju i temelje
- Ispumpavanje površinskih i oborinskih voda
- Ishođenje potrebnih javnopravnih dozvola za materijale, građevinske elemente i dodatke koji se trebaju ugraditi u objekt.
- Stvaranje površina za postavljanje bagera</t>
  </si>
  <si>
    <t>203.010</t>
  </si>
  <si>
    <t>Priprema gradilišta</t>
  </si>
  <si>
    <t>203.020</t>
  </si>
  <si>
    <t>Površinski sloj</t>
  </si>
  <si>
    <t>203.030</t>
  </si>
  <si>
    <t>203.040</t>
  </si>
  <si>
    <t>Građevinski iskop</t>
  </si>
  <si>
    <t>203.040.00100</t>
  </si>
  <si>
    <t>- strojni široki iskop, objekt</t>
  </si>
  <si>
    <t>Iskop površine terena do dubine (do apsolutne kote +89,74mnv)
pri površini, nasip od tucanika ili šljunka te nasip od gline smeđe boje
- u bušotinama B-2 i B-4 u intervalu 0,5-1,0 m odnosno 0,8-1,4 m registriran je proslojak anorganske
glina srednje plastičnosti CI (ClI) nasipnog karaktera, teško gnječivog konzistentnog stanja, smeđe
boje
qu = 325-350 kPa (džepni penetrometar)
- na dubini prosječno 1,0 - 4,0 m (u bušotini B-5 do dubine bušenja 2,0 m) nalazi se glinoviti prah
srednje plastičnosti MI (SiI), teško gnječivog do polučvrstog konzistentnog stanja, s primjesama
konkrecija karbonata te tragovima sitnih ostataka školjki, obojan željeznim oksidom, žuto-smeđe
do žuto-sive boje
Broj udaraca NSPP = 12-13
qu = 175-325 kPa (džepni penetrometar)
cu = 45-94 kPa (džepna krilna sonda)
w0 = 21,2 %, wL = 37-38 %, wP = 26-27 %, IP = 11 %, IK = 1,53Izvedba radova,
k = 1,6*10-7 cm/s
qu = 205 kPa
c = 11,8-19,8 kPa, φ = 28,2-30,2° (izravni posmik)
Eoed, 25-50 = 3,1 MPa
Eoed, 50-100 = 4,9 MPa
Eoed, 100-200 = 7,8 MPa
Eoed, 200-400 = 13,4 MPa
- na dubini prosječno 4,0-6,0 m registrirana je anorganska glina srednje plastičnosti CI/MI (ClI/SiI),
teško gnječivog do čvrstog konzistentnog stanja, s prekomjerno praha, s tragovima konkrecija
karbonata, u bušotinama B-1 i B-2 s tragovima sitnih ostataka školjki, obojana željeznim oksidom,
žuto-smeđe i smeđe-sive do sive boje
Broj udaraca NSPP = 10
qu = 175-300 kPa (džepni penetrometar)
cu = 40-175 kPa (džepna krilna sonda)
w0 = 22,8 %, wL = 38 %, wP = 25 %, IP = 13 %, IK = 1,17
k = 1,92*10-7 cm/s
Eoed, 25-50 = 3,7 MPa
Eoed, 50-100 = 4,5 MPa
Eoed, 100-200 = 7,3 MPa
Eoed, 200-400 = 11,4 MPa
Eoed, 400-800 = 18,1 MPa
- na dubini prosječno 6,0-8,6 m registrirana je anorganska glina srednje plastičnosti CI (ClI), teško
gnječivog do polučvrstog konzistentnog stanja, s prekomjerno praha i tragovima sitnog pijeska, u
bušotinama B-1 i B-2 s tragovima sitnih ostataka školjki, obojana željeznim oksidom, smeđe-sive
boje
Broj udaraca NSPP = 7-12
qu = 125-300 kPa (džepni penetrometar)
cu = 40-100 kPa (džepna krilna sonda)
wL = 38 %, wP = 22 %, IP = 16 %
- u bušotinama B-1 (interval 8,8-9,7 m) i B-2 (interval 8,5-8,9 m) registrirana je organska glina niske
plastičnosti OL/CL (Or/ClL), lako gnječivog konzistentnog stanja, s proslojkom treseta u intervalima
8,9-8,95 m (B-1) i 8,5-8,55 m (B-2), tamnosive boje
qu = 150-200 kPa (džepni penetrometar)
cu = 45 kPa (džepna krilna sonda)
org. tvari 1,38%
w0 = 23,4 %, wL = 34 %, wP = 22 %, IP = 12 %, IK = 0,92
- na dubini 9,7 m do dubine bušenja 10,0 m u bušotini B-1 registrirana je prašinasta gline niske
plastičnosti CL/ML (ClL/SiL) s primjesama konkrecija karbonata
qu = 275 kPa (džepni penetrometar)
wL = 35 %, wP = 24 %, IP = 11 %
- na dubini 8,9 m do dubine bušenja 9,0 m u bušotini B-2 registriran je pjeskoviti prah sive bojeIzvedba radova, obračun radova I kontrola kvalitete prema OTU t. 2-01. i 2-02.
U jediničnu cijenu uračunati su svi radovi na iskopu materijala u sraslom stanju sa utovarnom u prijevozna sredstva , odvozom i zbrinjavanjem na ugovorenoj deponiji te sve mjere sigurnosti pri radu i sva potrebna osiguranja postojećih objekata i komunikacija te osiguranje kosina iskopa. Obračunato po m3 otkopanog materijala mjereno u sraslom stanju prema poprečnim profilima sve do potpune pogonske gotovosti.
- iskop ispod objekta do kote -0.86m (+89,54m.n.v.)
Mjesto iskopa: glavna građevina</t>
  </si>
  <si>
    <t>m3</t>
  </si>
  <si>
    <t>203.040.00105</t>
  </si>
  <si>
    <t>- strojni široki iskop, sprinkler bazen</t>
  </si>
  <si>
    <t>obračun radova I kontrola kvalitete prema OTU t. 2-01. i 2-02.
U jediničnu cijenu uračunati su svi radovi na iskopu materijala u sraslom stanju sa utovarnom u prijevozna sredstva , odvozom i zbrinjavanjem na ugovorenoj deponiji te sve mjere sigurnosti pri radu i sva potrebna osiguranja postojećih objekata i komunikacija te osiguranje kosina iskopa. Obračunato po m3 otkopanog materijala mjereno u sraslom stanju prema poprečnim profilima sve do potpune pogonske gotovosti.
- iskop ispod objekta od najniže kote +85,17m.n.v. do kote +89,65m.n.v.
Mjesto iskopa: sprinkler bazen</t>
  </si>
  <si>
    <t>203.040.00110</t>
  </si>
  <si>
    <t>- ravnanje i sabijanje građevinske jame</t>
  </si>
  <si>
    <t>Dno građevne jame treba nakon iskapanja poravnati i sabiti. Izvođenje neposredno prije unošenja čistog sloja kao ravne površine s maksimalnom visinskom razlikom od +/-2 cm na duljini od 5,0 m, uključujući vibriranje odgovarajućim uređajem. Sabijanje na najmanje 97 % traženog stupnja sabijenosti Dpr. Višak materijal treba zbrinuti.</t>
  </si>
  <si>
    <t>203.040.00115</t>
  </si>
  <si>
    <t>- strojni široki iskop, zona zahvata prometnih površina i okoliša</t>
  </si>
  <si>
    <t>Strojni široki iskop u zoni zahvata prometnih površina i okoliša, betonske dostavne rampe, trafostanice, EKW box-a, reklamnog pilona, reklamnog totema i cestovne oborinske kanalizacijske cijevi, u materijalu kategorije C prema OTU.
Izvedba radova, obračun radova I kontrola kvalitete prema OTU t. 2-01. i 2-02.
U jediničnu cijenu uračunati su svi radovi na iskopu materijala u sraslom stanju sa utovarnom u prijevozna sredstva , odvozom i zbrinjavanjem na ugovorenoj deponiji te sve mjere sigurnosti pri radu i sva potrebna osiguranja postojećih objekata i komunikacija te osiguranje kosina iskopa. Obračunato po m3 otkopanog materijala mjereno u sraslom stanju prema poprečnim profilima sve do potpune pogonske gotovosti.</t>
  </si>
  <si>
    <t>203.050</t>
  </si>
  <si>
    <t>Iskop temelja</t>
  </si>
  <si>
    <t>203.050.00100</t>
  </si>
  <si>
    <t>- Iskop za temeljne stope, temeljne čašice i temeljne ploče</t>
  </si>
  <si>
    <t>Strojni široki iskop za temeljnu konstrukciju u materijalu jednakom kao u stavci 203.040.00210
Izvedba radova, obračun radova I kontrola kvalitete prema OTU t. 2-01. i 2-02.
U jediničnu cijenu uračunati su svi radovi na iskopu materijala u sraslom stanju sa utovarnom u prijevozna sredstva , odvozom i zbrinjavanjem na ugovorenoj deponiji te sve mjere sigurnosti pri radu i sva potrebna osiguranja postojećih objekata i komunikacija te osiguranje kosina iskopa. Obračunato po m3 otkopanog materijala mjereno u sraslom stanju prema poprečnim profilima sve do potpune pogonske gotovosti.
Donja kota iskopa za temeljnje čašice ovisi o poziciji temelja:
- +87,75 m.n.v. (standardna dubina)
- +87,54 m.n.v. (u križanju osi 16D)
- +86,63 m.n.v. (na mjestu ulaza dostave)
- +87,41 m.n.v. (na križanju osi 11A)
- +89,25 m.n.v. (ispod temelja ulaznih vrata)
- +89,18 m.n.v. (ispod hladnjače za duboko zamrzavanje)
- +89,31 m.n.v. (ispod rashladnih prostorija za nareske)</t>
  </si>
  <si>
    <t>203.050.00105</t>
  </si>
  <si>
    <t>- Iskop za temeljne grede</t>
  </si>
  <si>
    <t>Strojni široki iskop za temeljnu konstrukciju u materijalu jednakom kao u stavci 203.040.00210
Izvedba radova, obračun radova I kontrola kvalitete prema OTU t. 2-01. i 2-02.
U jediničnu cijenu uračunati su svi radovi na iskopu materijala u sraslom stanju sa utovarnom u prijevozna sredstva , odvozom i zbrinjavanjem na ugovorenoj deponiji te sve mjere sigurnosti pri radu i sva potrebna osiguranja postojećih objekata i komunikacija te osiguranje kosina iskopa. Obračunato po m3 otkopanog materijala mjereno u sraslom stanju prema poprečnim profilima sve do potpune pogonske gotovosti.
Dubina iskopa do +89,05 m.n.v.</t>
  </si>
  <si>
    <t>203.050.00110</t>
  </si>
  <si>
    <t>203.060</t>
  </si>
  <si>
    <t>Iskop cijevnog rova</t>
  </si>
  <si>
    <t>203.060.00100</t>
  </si>
  <si>
    <t>- Iskop zemlje svih kategorija ili nasipanog materijala za rovove. Obračun po m3.</t>
  </si>
  <si>
    <t>Iskop zemlje svih kategorija ili nasipanog materijala za polaganje kanalizacijskih i vodovodnih cijevi. Širina rova je od 0.80 do 1,20 m, a dubina od 0,6 do 2,0 m. Uzima se prosječna dubina iskopa (1,3m) na ukupnoj trasi od izvedenog skidanja postojećeg materijala na terenu obrađeno u pripremi građevinskog zemljišta do nivelete cjevovoda.
'Iskop vršiti na dubini nivelete uvećanoj za 10 cm radi izvedbe ležaja cijevi, s pravilnim odsijecanjem bočnih strana i dna, te odbacivanjem iskopanog materijala na udaljenost 2,0 m od ruba rova.
_oborinska kanalizacija
_fekalna kanalizacija
_vodovodna i hidrantska mreža
_hidrantska mreža
_odvodnja masne kanalizacije
_odvodnja kondenzata
U stavku je uključen i odvoz i zbrinjavanje viška materijala iz iskopa po nalogu investitora. Obračun po m3.</t>
  </si>
  <si>
    <t>203.060.00105</t>
  </si>
  <si>
    <t>- Iskop zemlje svih kategorija za podzemne građevine. 
Obračun po m3.</t>
  </si>
  <si>
    <t>Iskop zemlje svih kategorija za podzemne građevine: kontrolno mjerno okno, reviziona okna, prepumpna okno, separator masti i separator ulja, vodomjerno okno te hidrante. Obračun se vrši po 1,0 m3 iskopanog materijala, ostalo kao opis iz predhodne stavke
_Reviziona okna (12+7+3+2)*8m3
_Separator ulja -
_Mastolov 1*28m3
_Vodomjerno okno 1*60m3
_Vanjski hidrant 3*3m3
_Retencija 1122m3
U stavku je uključen i odvoz i zbrinjavanje viška materijala iz iskopa po nalogu investitora. Obračun po m3.</t>
  </si>
  <si>
    <t>203.060.00110</t>
  </si>
  <si>
    <t>- Planiranje dna rova za polaganje cijevi u rov.
Obračun po m2.</t>
  </si>
  <si>
    <t>Grubo i fino planiranje dna rova za polaganje cijevi temeljne odvodnje i vodovoda s naročitom točnošću da se osigura pravilno nalijeganje cijevi.</t>
  </si>
  <si>
    <t>203.060.00115</t>
  </si>
  <si>
    <t>- Pijesak za polaganje instalacija.
Obračun po m3.</t>
  </si>
  <si>
    <t>Nabava, doprema i razastiranje čistog suhog pijeska za polaganje kanalizacijskih i vodovodnih cijevi. Šljunčana posteljica za ležaj PVC cijevi od oblih zrna veličine 8-16 mm, bez organskih primjesa, s dimenzijama danim u nacrtu kanalskog rova i produbljenima na mjestu spojeva cijevi. Uključivo nabava, doprema i ugradnja šljunka, uz strojno nabijanje do min. 90 % prirodne zbijenosti. Posteljica natkrivanja cijevi cca 5 cm od tjemena cijevi. Obračun se vrši po 1,0 m3 ugrađenog pijeska.
_kanalizacija 340 m
_vodovod 160 m</t>
  </si>
  <si>
    <t>203.060.00120</t>
  </si>
  <si>
    <t>- Pijesak za polaganje retencije.
Obračun po m3.</t>
  </si>
  <si>
    <t>203.060.00125</t>
  </si>
  <si>
    <t>- Zatrpavanje rova.
Obračun po m3.</t>
  </si>
  <si>
    <t>Zatrpavanje rova nakon montaže nasipnim materijalom i ispitivanje kanalskih cijevi. Prvi sloj iznad cijevi treba biti od sitnog materijala da ne bi došlo do oštećenja cijevi. Nasipavanje vršiti u slojevima od 20 cm uz pažljivo nabijanje. Zatrpavanje izvoditi nakon izvedbe obloge cijevi pijeskom, a izvodi se do kote skinutog postojećeg materijala. Zatrpavanje do konačne kote uređenog terena obrađeno je u uređenju okoliša. Obračun se vrši po 1,0 m3 stvarno ugrađenog materijala.</t>
  </si>
  <si>
    <t>203.060.00130</t>
  </si>
  <si>
    <t>- Zatrpavanje retencije.
Obračun po m3.</t>
  </si>
  <si>
    <t>203.070</t>
  </si>
  <si>
    <t>Poboljšanja tla</t>
  </si>
  <si>
    <t>203.070.00100</t>
  </si>
  <si>
    <t>- zamjena tla šljunčanim materijalom</t>
  </si>
  <si>
    <t>Zamjena materijala tla do debljine 10cm sa postojećim materijalom na gradilištu, na mjestu gdje gdje se ne može postići propisana zbijenost temeljnog tla, posteljice i tampona. Prema Izvješću IGH broj: 72501-001/25 od 01.02.2025. U jediničnoj cijeni stavke obuhvaćeni su slijedeći materijali i radovi:
a) ugradnja postojećeg materijala koji se nalazi na gradilištu Dmax 45mm
b) razastiranje, planiranje do točnosti ±3 cm i zbijanje na Ms≥20 MN/m2
c) dobava atesta o kvaliteti šljunka ili kamena i postignutoj zbijenosti
Obračunato po 1 m3 ugrađenog materijala zbijenog na Ms=20 MN/m2, prema nagibu iz projekta Sz ≥ 100%, sve do potpune pogonske gotovosti.</t>
  </si>
  <si>
    <t>203.080</t>
  </si>
  <si>
    <t>Osnovni slojevi</t>
  </si>
  <si>
    <t>203.080.00100</t>
  </si>
  <si>
    <t>- tampon od drobljenog kamena za stope</t>
  </si>
  <si>
    <t>Izrada tampona drobljenim kamenim materijalom 0/63mm. Nasipavanje vršiti u debljini od 15cm na potrebni modul. U cijenu uključena i doprema potrebnog alata i strojeva te ispitivanje zbijenosti drobljenog kamena sa izradom i dostavom elaborata o ispitivanju.
Mjesto ugradnje: ispod temeljnih stopa
Debljina tampona: 15 cm
Modul zbijanja: 30 MN/m2
Dozvoljena visinska odstupanja: +/- 1 cm od zadane vrijednosti na ispitnoj dionici od 4 m
Kvalitetu ugradnje treba potvrditi u opsegu od [1 puta za svakih 1.000 m2, a najmanje 3 puta].</t>
  </si>
  <si>
    <t>203.080.00105</t>
  </si>
  <si>
    <t>Izrada tampona drobljenim kamenim materijalom 0/32mm. Nasipavanje vršiti u debljini od 15cm na potrebni modul. U cijenu uključena i doprema potrebnog alata i strojeva te ispitivanje zbijenosti drobljenog kamena sa izradom i dostavom elaborata o ispitivanju.
Mjesto ugradnje: ispod temeljnih stopa
Debljina tampona: 15 cm
Modul zbijanja: 60 MN/m2
Dozvoljena visinska odstupanja: +/- 1 cm od zadane vrijednosti na ispitnoj dionici od 4 m
Kvalitetu ugradnje treba potvrditi u opsegu od [1 puta za svakih 1.000 m2, a najmanje 3 puta].</t>
  </si>
  <si>
    <t>203.080.00110</t>
  </si>
  <si>
    <t>- tampon od drobljenog kamena za ploču</t>
  </si>
  <si>
    <t>Izrada tampona drobljenim kamenim materijalom 0/63mm. Nasipavanje vršiti u debljini od 30cm na potrebni modul. U cijenu uključena i doprema potrebnog alata i strojeva te ispitivanje zbijenosti drobljenog kamena sa izradom i dostavom elaborata o ispitivanju.
Mjesto ugradnje: ispod podne ploče
Debljina tampona: 20 cm
Modul zbijanja: 40 MN/m2
Dozvoljena visinska odstupanja: +/- 1 cm od zadane vrijednosti na ispitnoj dionici od 4 m
Kvalitetu ugradnje treba potvrditi u opsegu od [1 puta za svakih 1.000 m2, a najmanje 3 puta].</t>
  </si>
  <si>
    <t>203.080.00115</t>
  </si>
  <si>
    <t>Izrada tampona drobljenim kamenim materijalom 0/32mm. Nasipavanje vršiti u debljini od 30cm na potrebni modul. U cijenu uključena i doprema potrebnog alata i strojeva te ispitivanje zbijenosti drobljenog kamena sa izradom i dostavom elaborata o ispitivanju.
Mjesto ugradnje: ispod podne ploče
Debljina tampona: 20 cm
Modul zbijanja: 80 MN/m2
Dozvoljena visinska odstupanja: +/- 1 cm od zadane vrijednosti na ispitnoj dionici od 4 m
Kvalitetu ugradnje treba potvrditi u opsegu od [1 puta za svakih 1.000 m2, a najmanje 3 puta].</t>
  </si>
  <si>
    <t>203.080.00120</t>
  </si>
  <si>
    <t>- tampon od drobljenog kamena za sprinkler bazen</t>
  </si>
  <si>
    <t>Izrada tampona drobljenim kamenim materijalom 0/63mm. Nasipavanje vršiti u debljini od 15cm na potrebni modul. U cijenu uključena i doprema potrebnog alata i strojeva te ispitivanje zbijenosti drobljenog kamena sa izradom i dostavom elaborata o ispitivanju.
Mjesto ugradnje: ispod sprinkler bazena
Debljina tampona: 15 cm
Modul zbijanja: 40 MN/m2
Dozvoljena visinska odstupanja: +/- 1 cm od zadane vrijednosti na ispitnoj dionici od 4 m
Kvalitetu ugradnje treba potvrditi u opsegu od [1 puta za svakih 1.000 m2, a najmanje 3 puta].</t>
  </si>
  <si>
    <t>203.080.00125</t>
  </si>
  <si>
    <t>Izrada tampona drobljenim kamenim materijalom 0/63mm. Nasipavanje vršiti u debljini od 15cm na potrebni modul. U cijenu uključena i doprema potrebnog alata i strojeva te ispitivanje zbijenosti drobljenog kamena sa izradom i dostavom elaborata o ispitivanju.
Mjesto ugradnje: ispod sprinkler bazena
Debljina tampona: 15 cm
Modul zbijanja: 80 MN/m2
Dozvoljena visinska odstupanja: +/- 1 cm od zadane vrijednosti na ispitnoj dionici od 4 m
Kvalitetu ugradnje treba potvrditi u opsegu od [1 puta za svakih 1.000 m2, a najmanje 3 puta].</t>
  </si>
  <si>
    <t>203.080.00130</t>
  </si>
  <si>
    <t>- zatrpavanje po obrubu građevine materijalom iz iskopa</t>
  </si>
  <si>
    <t>Zatrpavanje materijalom iz iskopa. Nasipavanje vršiti u slojevima od 30cm na potrebni modul. U cijenu uključena i doprema potrebnog alata i strojeva te ispitivanje zbijenosti kamena sa izradom i dostavom elaborata o ispitivanju. Obračun po m3 ugrađenog materijala.
Mjesto ugradnje: obrub glavne građevine
Modul zbijanja: 60 MN/m2
Dozvoljena visinska odstupanja: +/- 1 cm od zadane vrijednosti na ispitnoj dionici od 4 m</t>
  </si>
  <si>
    <t>203.080.00135</t>
  </si>
  <si>
    <t>- zatrpavanje između temelja glavne građevine materijalom iz iskopa</t>
  </si>
  <si>
    <t>Zatrpavanje materijalom iz iskopa. Nasipavanje vršiti u slojevima od 30cm na potrebni modul. U cijenu uključena i doprema potrebnog alata i strojeva te ispitivanje zbijenosti kamena sa izradom i dostavom elaborata o ispitivanju. Obračun po m3 ugrađenog materijala.
Mjesto ugradnje: zatrpavanje iskopa za temeljne stope i čašice sve do kote -0,86m (apsolutna kota +89,54m.n.v.)
Modul zbijanja: 60 MN/m2
Dozvoljena visinska odstupanja: +/- 1 cm od zadane vrijednosti na ispitnoj dionici od 4 m</t>
  </si>
  <si>
    <t>203.080.00140</t>
  </si>
  <si>
    <t>- zatrpavanje  iskopa za sprinkler bazen materijalom iz iskopa</t>
  </si>
  <si>
    <t>Zatrpavanje materijalom iz iskopa. Nasipavanje vršiti u slojevima od 30cm na potrebni modul. U cijenu uključena i doprema potrebnog alata i strojeva te ispitivanje zbijenosti kamena sa izradom i dostavom elaborata o ispitivanju. Obračun po m3 ugrađenog materijala.
Mjesto ugradnje: iskop za sprinkler bazen
Modul zbijanja: 30 MN/m2
Dozvoljena visinska odstupanja: +/- 1 cm od zadane vrijednosti na ispitnoj dionici od 4 m</t>
  </si>
  <si>
    <t>203.080.00145</t>
  </si>
  <si>
    <t>- geotekstil glavna građevina</t>
  </si>
  <si>
    <t>Geotekstil od polipropilenskih vlakana isporučiti te bez rupa i uz preklapanja na rubovima postaviti po cijeloj zemljanoj površini. Tekstil mora biti prikladan za postavljanje gore navedenih slojeva Za zaštitu od mraza i nosivih šljunčanih slojeva.
Površinska težina: 300 g/m2</t>
  </si>
  <si>
    <t>203.080.00150</t>
  </si>
  <si>
    <t>- geotekstil sprinkler bazen</t>
  </si>
  <si>
    <t>203.080.00155</t>
  </si>
  <si>
    <t>- Uređenje posteljice na prostoru kolničke konstrukcije, pješačkih površina, betonske rampe, travnate rešetke, betonske rešetke, trafostanice i EKW boxa</t>
  </si>
  <si>
    <t>Uređenje posteljice na prostoru kolničke konstrukcije, pješačkih površina, betonske rampe, travnate rešetke, betonske rešetke, trafostanice i EKW boxa, tj. grubo i fino planiranje materijala i nabijanje do tražene zbijenosti. Posteljicu treba izraditi prema kotama iz projekta. Sabiti posteljicu na Ms ≥ 20 MN/m2. Tekuća i kontrolna ispitivanja izvršiti sukladno projektu.</t>
  </si>
  <si>
    <t>203.080.00160</t>
  </si>
  <si>
    <t>- tampon od drobljenog kamena 0/32 mm</t>
  </si>
  <si>
    <t>Izrada tampona drobljenim kamenim materijalom 0/32mm. U cijenu uključena i doprema potrebnog alata i strojeva te ispitivanje zbijenosti drobljenog kamena sa izradom i dostavom elaborata o ispitivanju.
Mjesto ugradnje: kolnik, betonski opločnici, travnata rešetka, betonska rampa, trafostanica
Debljina tampona:prema projektu
Modul zbijanja: prema projektu
Dozvoljena visinska odstupanja: +/- 1 cm od zadane vrijednosti na ispitnoj dionici od 4 m
Kvalitetu ugradnje treba potvrditi u opsegu od [1 puta za svakih 1.000 m2, a najmanje 3 puta].</t>
  </si>
  <si>
    <t>203.080.00165</t>
  </si>
  <si>
    <t>- tampon od drobljenog kamena 0/63 mm</t>
  </si>
  <si>
    <t>Izrada tampona drobljenim kamenim materijalom 0/63mm. U cijenu uključena i doprema potrebnog alata i strojeva te ispitivanje zbijenosti drobljenog kamena sa izradom i dostavom elaborata o ispitivanju.
Mjesto ugradnje: kolnik, EKW box, travnata rešetka, betonska rampa
Debljina tampona:prema projektu
Modul zbijanja: prema projektu
Dozvoljena visinska odstupanja: +/- 1 cm od zadane vrijednosti na ispitnoj dionici od 4 m
Kvalitetu ugradnje treba potvrditi u opsegu od [1 puta za svakih 1.000 m2, a najmanje 3 puta].</t>
  </si>
  <si>
    <t>203.080.00170</t>
  </si>
  <si>
    <t>- izrada podložnog sloja kanalizacijskih cijevi cestovne oborinske odvodnje pješčanim materijalom 0/8 mm</t>
  </si>
  <si>
    <t>Zatrpavanje rova kanalizacijskih cijevi oborinske odvodnje pješčanim materijalom 30cm iznad cijevi oborinske odvodnje. Nabava, dobava i ugradnja pijeska (0-22mm) prema uvjetima i dimenzijama iz projekta - detalj polaganja kanalizacijskih cijevi, za izradu obloge i nadsloja 30cm iznad kanalizacijske cijevi uz pažljivo nabijanje pijeska u zoni oko i iznad cijevi. Stavka uključuje dobavu materijala u koju je uključen utovar, prijevoz, istovar, razastiranje s nabijanjem u rovu u zadanu debljinu i oblik prema rješenju iz projekta. Stavkom se obračunava i sav potreban pomoćni pribor, materijal i rad koji se koristi za osiguranje položaja cijevi.</t>
  </si>
  <si>
    <t>203.080.00175</t>
  </si>
  <si>
    <t>- zatrpavanje kanalizacijske cijevi cestovne oborinske odvodnje pješčanim materijalom 0/22mm</t>
  </si>
  <si>
    <t>203.080.00180</t>
  </si>
  <si>
    <t>- geotekstil</t>
  </si>
  <si>
    <t>Geotekstil na prostoru kolnika, betonske rampe, tafostanice i EKW box-a, od polipropilenskih vlakana isporučiti te bez rupa i uz preklapanja na rubovima postaviti po cijeloj zemljanoj površini. Tekstil mora biti prikladan za postavljanje gore navedenih slojeva Za zaštitu od mraza i nosivih šljunčanih slojeva.
Površinska težina: 300 g/m2</t>
  </si>
  <si>
    <t>203.080.00185</t>
  </si>
  <si>
    <t>-geotekstil retencije</t>
  </si>
  <si>
    <t>Geotekstil koji se koristi kao vanjski zaštitni sloj geomembrane treba imati sljedeće karkateristike:
- min. gustoće (EN ISO 9864) 300 gr/m2;
- otpornosti na CBR proboj (EN ISO 12236) ≥ 1,5 kN
- vlačna čvrstoča (EN ISO 10319) ≥ 6,5 kN/m.
- min. deklariranog životnog vijeka trajanja u normalnim pH uvjetima tla 100 god.
Hidroizolacijska membrana kao brveni sloj retencije treba imati sljedeće karkateristike:
- materijal PVC-P,
- min. debljina 2,00 mm.
- vlačna čvrstoća (EN 527-3) ≥ 16 N/mm2;
- otpornosti na CBR proboj (EN ISO 12236) ≥ 2,4 kN.
Geotekstil koji se koristi kao vanjski zaštitni sloj geomembrane ima sljedeće karkateristike:
- min. gustoće (EN ISO 9864) 200 gr/m2.</t>
  </si>
  <si>
    <t>203.090</t>
  </si>
  <si>
    <t>204</t>
  </si>
  <si>
    <t>Posebni temelj</t>
  </si>
  <si>
    <t>204.000</t>
  </si>
  <si>
    <t>Razredi tla</t>
  </si>
  <si>
    <t>Razredi tla koji se navode u pozicijama definiraju se na sljedeći način:
Razred tla 1: Gornji pod
Razred tla 2: Tekuće vrste poda
Razred tla 3: Lako odvojive podne obloge
Razred tla 4: Srednje topljive vrste poda
Razred tla 5: Teško topljive vrste poda
Razred tla 6: Lako odvojivi kamen i slične vrste poda
Razred tla 7: Teško topljivi kamen
Vrijednosti štetnih tvari u tlu koje se navode u pozicijama definiraju se na sljedeći način:
Z0: neopterećen pod, ugradnja je moguća bez ograničenja
Z1: Mogućnost ugradnje je ograničena
Z2: Mogućnost ugradnje je vrlo ograničena
Razredi deponija za otpad koji se navode u pozicijama definiraju se na sljedeći način:
DK0: Deponij za mineralni otpad s niskim udjelom štetnih tvari. Radi se o redovnom deponiju za neopterećeni iskopni materijal i eventualni građevinski otpad ili usporedivi mineralni industrijski ili komercijalni otpad.
DKI: Deponij za srednje opterećeni (bezopasni) otpad. Radi se o redovnom deponiju za srednje opterećni iskopni materijal i građevinski otpad te usporedivi mineralni komercijalni otpad.
DKII: Deponij za opterećeni, ali bezopasni otpad. Radi se o redovnom deponiju za odlaganje predobrađenog kućnog otpada i usporedivog mineralnog komercijalnog otpada.</t>
  </si>
  <si>
    <t>Podaci i informacije o građevinskom terenu</t>
  </si>
  <si>
    <t>U sljedećim pozicijama potrebno je uzeti u obzir i uračunati sljedeće usluge, čak i ako nisu izričito navedene:
- sve podatke i informacije o građevinskom terenu i podzemnim vodama koji su navedeni u procjeni građevinskog terena
- Utvrđivanje stanja okolnih terena, objekata, putova, cesta, trgova i slično, uključujući protokoliranje
- Uklanjanje oštećenja okolnih terena, objekata, putova, cesta, trgova i slično koji nastaju uslijed radova
- Zaštitu postojećih stabala i grmlja
- Utvrđivanje i razmatranje potrebnih mjera za zaštitu (podzemnih) voda
- Utvrđivanje i razmatranje potrebnih mjera za zaštitu od buke
- lokalizaciju i po potrebi osiguravanje postojećih vodova i kanala u radnom području izvođača
- lokalizaciju i po potrebi osiguravanje građevinskih objekata u radnom području izvođača
- lokalizaciju i po potrebi osiguravanje iskolčenja, graničnih kamenja, referentnih točaka, visinskih oznaka, itd. u radnom području izvođača
- ishođenje potrebnih dozvola za iskop kod nadležnih tijela
- Međutransporte i skladištenja radnog materijala izvođača, npr. za stvaranje slobodnog prostora za druge radove
- Ručne radove ukoliko nije moguće koristiti strojeve
- Ishođenje potrebnih javnopravnih dozvola za postavljanje posebnih temelja
- Mjerenje i niveliranje usluga od zadanih mjernih točaka odnosno osi
- Vađenje ili rezanje pilota do planirane visine, uklj. spojnu armaturu
- Prihvat i odlaganje ostataka od bušenja
- Prihvat i odlaganje prekomjernog betona i žbuke
- Prihvat i odlaganje dodataka za bušenje i ispiranje
- stručna provedba svih potrebnih naknadnih obrada
- Zaštite na rubovima, zaštite od pada i propadanja u sklopu usluga, i nakon završetka provedbe</t>
  </si>
  <si>
    <t>204.010</t>
  </si>
  <si>
    <t>Bušenje pilota</t>
  </si>
  <si>
    <t>204.020</t>
  </si>
  <si>
    <t>Mikropiloti</t>
  </si>
  <si>
    <t>204.030</t>
  </si>
  <si>
    <t>Nodularni piloti od lijevanog željeza</t>
  </si>
  <si>
    <t>204.040</t>
  </si>
  <si>
    <t>Pa temelji</t>
  </si>
  <si>
    <t>204.050</t>
  </si>
  <si>
    <t>Šljunčani piloti</t>
  </si>
  <si>
    <t>204.060</t>
  </si>
  <si>
    <t>204.060.00100</t>
  </si>
  <si>
    <t>Retencija</t>
  </si>
  <si>
    <t>Dobava i ugradnja modularnog sustava za RETENCIJU oborinskih voda iz polipropilenskih skladišnih elemenata. Sustav se sastoji od jediničnog modula dimenzija: Š×V×D=60x91x120cm.
Korišteni sustav svojim karakteristikama mora osiguravati da montirana infiltracijska građevina:
- ima najmanje 97% ukupnog korisnog volumena;
- ima inspekcijski tunel min. pop. presjeka Š×V=100×500mm kako bi se omogućio slobodno kretanje inspekcijskim kamerama i opremi za čiščenje kroz sustav po dvijema osima (po uzdužnoj i poprečnoj osi montirane infiltracijske građevine);
- omogućava vizualnu kontrolu kroz jedan sloj sustava bez zapreka (pregrada) za jednostavniju kontrolu kamerom i smanjenje potrebnog broja inspekcijskih priključaka;
- bude sastavljena međusobnim spajanjem osnovnih elemenata metodom zidarskog preklopa čijim se korištenjem dobiva čvrsta i stabilna veza među jediničnim elementima (blokovima) istog sloja i koji osigurava bolju horizontalnu distribuciju vertikalnih opterečenja koja djeluju na sustav time povečavajuči stabilnost i trajsnost sustava.
- bude sastavljena od jediničnih elemenata koji imaju minimalnu tlačnu čvrstoću od 350 kN/m2.
Dimenzije sustava trebaju biti Š×V×D= 9,06×0,91×33,82 m, a minimalna korisna zapremnina 270 m3.
Projektom predviđena upotreba 4 inspekcijska okna integriranih u sustav (minimalni svijetli promjer okna 30cm), te detaljom definirana količina inspekcijskih priključaka za pristup u sustav njegovu kontrolu i održavanje (minimalni svijetli promjer 15cm).
Sve kao ACO STORMBRIXX SD900 ili jednakovrijedan.
Stavka NE UKLJUČUJE potreban materijal za BRTVLJENJE OVOJNICE RETENCIJE, te cijevi za povišenje inspekcijskih okana i priključaka od vrha spremnika do kote terena.</t>
  </si>
  <si>
    <t>204.060.00105</t>
  </si>
  <si>
    <t>Vodonepropusno brtvljenje retencije</t>
  </si>
  <si>
    <t>Opseg usluga</t>
  </si>
  <si>
    <t>U sljedećim pozicijama potrebno je uzeti u obzir i uračunati sljedeće usluge, čak i ako nisu izričito navedene:
- sve podatke i informacije o građevinskom terenu i podzemnim vodama koji su navedeni u procjeni građevinskog terena
- Utvrđivanje stanja okolnih terena, objekata, putova, cesta, trgova i slično, uključujući protokoliranje
- Uklanjanje oštećenja okolnih terena, objekata, putova, cesta, trgova i slično koji nastaju uslijed radova
- Zaštitu postojećih stabala i grmlja
- Utvrđivanje i razmatranje potrebnih mjera za zaštitu (podzemnih) voda
- Utvrđivanje i razmatranje potrebnih mjera za zaštitu od buke
- lokalizaciju i po potrebi osiguravanje postojećih vodova i kanala u radnom području izvođača
- lokalizaciju i po potrebi osiguravanje građevinskih objekata u radnom području izvođača
- lokalizaciju i po potrebi osiguravanje iskolčenja, graničnih kamenja, referentnih točaka, visinskih oznaka, itd. u radnom području izvođača
- ishođenje potrebnih dozvola za iskop kod nadležnih tijela
- ishođenje potrebnih dozvola kod postavljanja sidra na susjednim terenima
- Međutransporte i skladištenja radnog materijala izvođača, npr. za stvaranje slobodnog prostora za druge radove
- Ručne radove ukoliko nije moguće koristiti strojeve
- Ishođenje potrebnih javnopravnih dozvola za radove ugradnje
- Mjerenje i niveliranje usluga od zadanih mjernih točaka odnosno osi
- Vađenje ili rezanje pilota do planirane visine, uklj. spojnu armaturu
- Prihvat i odlaganje ostataka od bušenja
- Prihvat i odlaganje prekomjernog betona i žbuke
- Prihvat i odlaganje dodataka za bušenje i ispiranje
- stručna provedba svih potrebnih naknadnih obrada
- Zaštite na rubovima, zaštite od pada i propadanja u sklopu usluga, i nakon završetka provedbe</t>
  </si>
  <si>
    <t>205.010</t>
  </si>
  <si>
    <t>Zidovi zaštitnih pregrada</t>
  </si>
  <si>
    <t>205.020</t>
  </si>
  <si>
    <t>Potporni zidovi</t>
  </si>
  <si>
    <t>205.030</t>
  </si>
  <si>
    <t>Zidovi od pilota</t>
  </si>
  <si>
    <t>205.040</t>
  </si>
  <si>
    <t>Žljebasti zidovi</t>
  </si>
  <si>
    <t>205.050</t>
  </si>
  <si>
    <t>Zidovi s klinovima</t>
  </si>
  <si>
    <t>205.060</t>
  </si>
  <si>
    <t>Podloge</t>
  </si>
  <si>
    <t>205.070</t>
  </si>
  <si>
    <t>206</t>
  </si>
  <si>
    <t>Drenaža</t>
  </si>
  <si>
    <t>206.000</t>
  </si>
  <si>
    <t>Razvrstavanje podova</t>
  </si>
  <si>
    <t>Razgraničenje usluga odvodnje</t>
  </si>
  <si>
    <t>U sljedećim pozicijama potrebno je uzeti u obzir i uračunati sljedeće usluge, čak i ako nisu izričito navedene:
- sve podatke i informacije o građevinskom terenu i podzemnim vodama koji su navedeni u procjeni građevinskog terena
- Utvrđivanje stanja okolnih terena, objekata, putova, cesta, trgova i slično, uključujući protokoliranje
- Uklanjanje oštećenja okolnih terena, objekata, putova, cesta, trgova i slično koji nastaju uslijed radova
- Zaštitu postojećih stabala i grmlja
- Utvrđivanje i razmatranje potrebnih mjera za zaštitu (podzemnih) voda
- lokalizaciju i po potrebi osiguravanje postojećih vodova i kanala u radnom području izvođača
- lokalizaciju i po potrebi osiguravanje građevinskih objekata u radnom području izvođača
- lokalizaciju i po potrebi osiguravanje iskolčenja, graničnih kamenja, referentnih točaka, visinskih oznaka, itd. u radnom području izvođača
- ishođenje potrebnih dozvola za iskop kod nadležnih tijela
- Međutransporte i skladištenja radnog materijala izvođača, npr. za stvaranje slobodnog prostora za druge radove
- Ručne radove ukoliko nije moguće koristiti strojeve
- Ishođenje potrebnih javnopravnih dozvola za odvođenje vode</t>
  </si>
  <si>
    <t>206.010</t>
  </si>
  <si>
    <t>Otvorena drenaža</t>
  </si>
  <si>
    <t>206.020</t>
  </si>
  <si>
    <t>Zatvorena drenaža</t>
  </si>
  <si>
    <t>206.030</t>
  </si>
  <si>
    <t>Prijenosi kanalizacije</t>
  </si>
  <si>
    <t>206.040</t>
  </si>
  <si>
    <t>207</t>
  </si>
  <si>
    <t>Drenažni / dovodni vodovi</t>
  </si>
  <si>
    <t>207.000</t>
  </si>
  <si>
    <t>Razgraničenje odvodnih / opskrbnih vodova usluga</t>
  </si>
  <si>
    <t>U sljedećim pozicijama potrebno je uzeti u obzir i uračunati sljedeće usluge, čak i ako nisu izričito navedene:
- Mjerenje i niveliranje usluga od zadanih mjernih točaka odnosno osi
- Izrada odnosno zatvaranje fugama uključuje nanošenje žbuke i trajno elastično brtvljenje pomoću konopa ili PU mase za fugiranje.
- Zaštite na rubovima, zaštite od pada i propadanja u sklopu usluga, i nakon završetka montaže
- Iskop jarka za cijev i polaganje cijevi uključeni su u zemljane radove</t>
  </si>
  <si>
    <t>207.010</t>
  </si>
  <si>
    <t>PVC cijevi</t>
  </si>
  <si>
    <t>207.010.00100</t>
  </si>
  <si>
    <t>Nabava, doprema i montaža kanalizacijskih cijevi (KG) od PVC-a prema DIN EN 13476 s ojačanom spojnicom i integriranom brtvom te ugraditi vodonepropusno i spojiti u jednoj liniji i na ispravnoj visini na pripremljenu posteljicu u nagibu, uključujući dijelove za spajanje, priključke i sve fazonske komade kao što su koljena, račve, redukcije, itd.
Primjena: Otpadne i oborinske vode
Nazivni promjer: DN100</t>
  </si>
  <si>
    <t>207.010.00105</t>
  </si>
  <si>
    <t>x..EW3..x - kanalizacijske cijevi PVC, DN150</t>
  </si>
  <si>
    <t>Nabava, doprema i montaža kanalizacijskih cijevi (KG) od PVC-a prema DIN EN 13476 s ojačanom spojnicom i integriranom brtvom te ugraditi vodonepropusno i spojiti u jednoj liniji i na ispravnoj visini na pripremljenu posteljicu u nagibu, uključujući dijelove za spajanje, priključke i sve fazonske komade kao što su koljena, račve, redukcije, itd.
Primjena: Otpadne i oborinske vode
Nazivni promjer: DN150</t>
  </si>
  <si>
    <t>207.010.00110</t>
  </si>
  <si>
    <t>x..EW3..x - kanalizacijske cijevi PVC, DN200 za slivničke priključke</t>
  </si>
  <si>
    <t>Nabava, doprema i montaža kanalizacijskih cijevi (KG) od PVC-a prema DIN EN 13476 s ojačanom spojnicom i integriranom brtvom te ugraditi vodonepropusno i spojiti u jednoj liniji i na ispravnoj visini na pripremljenu posteljicu u nagibu, uključujući dijelove za spajanje, priključke i sve fazonske komade kao što su koljena, račve, redukcije, itd.
Primjena: Otpadne i oborinske vode
Nazivni promjer: DN200</t>
  </si>
  <si>
    <t>207.020</t>
  </si>
  <si>
    <t>PP cijevi</t>
  </si>
  <si>
    <t>207.030</t>
  </si>
  <si>
    <t>Linije izrađene od PP kompozitnih cijevi</t>
  </si>
  <si>
    <t>207.030.00100</t>
  </si>
  <si>
    <t>- Kanalizacijske cijevi PP kompozitna cijev, SN 8, DN150</t>
  </si>
  <si>
    <t>Nabava, doprema i montaža kanalizacijskih cijevi kao i spojnih komada od PP-a s profiliranim vanjskim rubovima i glatkom unutarnjom površinom prema DIN EN 13476 s dvostrukim spojnicama i brtvenim prstenima nepropusno spojiti i postaviti u jednoj liniji i na ispravnoj visini na pripremljenu posteljicu u nagibu, uklj. dijelove za spajanje, priključke i sve fazonske komade kao što su koljena, račve, redukcije, itd.
Primjena: Otpadne i oborinske vode
Nazivni promjer: DN150
Krutost prstena: SN 8</t>
  </si>
  <si>
    <t>207.030.00105</t>
  </si>
  <si>
    <t>- Kanalizacijske cijevi PP kompozitna cijev, SN 8, DN200</t>
  </si>
  <si>
    <t>Nabava, doprema i montaža kanalizacijskih cijevi kao i spojnih komada od PP-a s profiliranim vanjskim rubovima i glatkom unutarnjom površinom prema DIN EN 13476 s dvostrukim spojnicama i brtvenim prstenima nepropusno spojiti i postaviti u jednoj liniji i na ispravnoj visini na pripremljenu posteljicu u nagibu, uklj. dijelove za spajanje, priključke i sve fazonske komade kao što su koljena, račve, redukcije, itd.
Primjena: Otpadne i oborinske vode
Nazivni promjer: DN200
Krutost prstena: SN 8</t>
  </si>
  <si>
    <t>207.030.00110</t>
  </si>
  <si>
    <t>- Kanalizacijske cijevi PP kompozitna cijev, SN 8, DN250</t>
  </si>
  <si>
    <t>Nabava, doprema i montaža kanalizacijskih cijevi kao i spojnih komada od PP-a s profiliranim vanjskim rubovima i glatkom unutarnjom površinom prema DIN EN 13476 s dvostrukim spojnicama i brtvenim prstenima nepropusno spojiti i postaviti u jednoj liniji i na ispravnoj visini na pripremljenu posteljicu u nagibu, uklj. dijelove za spajanje, priključke i sve fazonske komade kao što su koljena, račve, redukcije, itd.
Primjena: Otpadne i oborinske vode
Nazivni promjer: DN250
Krutost prstena: SN 8</t>
  </si>
  <si>
    <t>207.030.00115</t>
  </si>
  <si>
    <t>- Kanalizacijske cijevi PP kompozitna cijev, SN 8, DN300</t>
  </si>
  <si>
    <t>Nabava, doprema i montaža kanalizacijskih cijevi kao i spojnih komada od PP-a s profiliranim vanjskim rubovima i glatkom unutarnjom površinom prema DIN EN 13476 s dvostrukim spojnicama i brtvenim prstenima nepropusno spojiti i postaviti u jednoj liniji i na ispravnoj visini na pripremljenu posteljicu u nagibu, uklj. dijelove za spajanje, priključke i sve fazonske komade kao što su koljena, račve, redukcije, itd.
Primjena: Otpadne i oborinske vode
Nazivni promjer: DN300
Krutost prstena: SN 8</t>
  </si>
  <si>
    <t>207.030.00120</t>
  </si>
  <si>
    <t>- Kanalizacijske cijevi PP kompozitna cijev, SN 16, DN300 za cestovnu oborinsku odvodnju</t>
  </si>
  <si>
    <t>Kanalizacijske cijevi kao spojne cijevi od PP-a s profiliranim vanjskim rubovima i glatkom unutarnjom površinom prema DIN EN 13476 s dvostrukim spojnicama i brtvenim prstenima nepropusno spojiti i postaviti u jednoj liniji i na ispravnoj visini na postelju od pijeska, kamenja ili finog šljunka u nagibu, uklj. dijelove za spajanje, priključke i sve oblikovane komade kao što su lukovi, grananja, redukcije, itd.
Primjena: Otpadne i oborinske vode
Nazivni promjer: DN300
Krutost prstena: SN 16</t>
  </si>
  <si>
    <t>207.030.00125</t>
  </si>
  <si>
    <t>- Kanalizacijske cijevi PP kompozitna cijev, SN 16, DN400 za cestovnu oborinsku odvodnju</t>
  </si>
  <si>
    <t>Kanalizacijske cijevi kao spojne cijevi od PP-a s profiliranim vanjskim rubovima i glatkom unutarnjom površinom prema DIN EN 13476 s dvostrukim spojnicama i brtvenim prstenima nepropusno spojiti i postaviti u jednoj liniji i na ispravnoj visini na postelju od pijeska, kamenja ili finog šljunka u nagibu, uklj. dijelove za spajanje, priključke i sve oblikovane komade kao što su lukovi, grananja, redukcije, itd.
Primjena: Otpadne i oborinske vode
Nazivni promjer: DN400
Krutost prstena: SN 16</t>
  </si>
  <si>
    <t>207.040</t>
  </si>
  <si>
    <t>Linije od PE-HD kompozitnih cijevi</t>
  </si>
  <si>
    <t>207.050</t>
  </si>
  <si>
    <t>SML cijevi</t>
  </si>
  <si>
    <t>207.060</t>
  </si>
  <si>
    <t>Betonske cijevi</t>
  </si>
  <si>
    <t>207.070</t>
  </si>
  <si>
    <t>PE-HD tlačne cijevi</t>
  </si>
  <si>
    <t>207.070.00100</t>
  </si>
  <si>
    <t>- Tlačne cijevi PE-HD, DN40</t>
  </si>
  <si>
    <t>Tlačne cijevi od PE-HD-a prema DIN EN 12201 isporučiti kao pojedinačne komade ili spojene u prsten, pomoću zavarenih spojnica nepropusno spojiti i postaviti u jednoj liniji i na ispravnoj visini na pripremljenu posteljicu u nagibu, uklj. dijelove za spajanje, priključke i sve oblikovane komade kao što su koljena, račve, redukcije, itd.
Primjena: Opskrba plinom, pitkom vodom ili vodom za gašenje požara
Boja: sukladno primjeni
Razina tlaka: PN 16
Nazivni promjer: DN40</t>
  </si>
  <si>
    <t>207.070.00105</t>
  </si>
  <si>
    <t>- Tlačne cijevi PE-HD, DN100</t>
  </si>
  <si>
    <t>Tlačne cijevi od PE-HD-a prema DIN EN 12201 isporučiti kao pojedinačne komade ili spojene u prsten, pomoću zavarenih spojnica nepropusno spojiti i postaviti u jednoj liniji i na ispravnoj visini na pripremljenu posteljicu u nagibu, uklj. dijelove za spajanje, priključke i sve oblikovane komade kao što su koljena, račve, redukcije, itd.
Primjena: Opskrba plinom, pitkom vodom ili vodom za gašenje požara
Boja: sukladno primjeni
Razina tlaka: PN 16
Nazivni promjer: DN100</t>
  </si>
  <si>
    <t>207.070.00110</t>
  </si>
  <si>
    <t>- Tlačne cijevi PE-HD, DN150</t>
  </si>
  <si>
    <t>Tlačne cijevi od PE-HD-a prema DIN EN 12201 isporučiti kao pojedinačne komade ili spojene u prsten, pomoću zavarenih spojnica nepropusno spojiti i postaviti u jednoj liniji i na ispravnoj visini na pripremljenu posteljicu u nagibu, uklj. dijelove za spajanje, priključke i sve oblikovane komade kao što su koljena, račve, redukcije, itd.
Primjena: Opskrba plinom, pitkom vodom ili vodom za gašenje požara
Boja: sukladno primjeni
Razina tlaka: PN 16
Nazivni promjer: DN150</t>
  </si>
  <si>
    <t>207.070.00115</t>
  </si>
  <si>
    <t>- Tlačne cijevi PE-HD, DN200</t>
  </si>
  <si>
    <t>Tlačne cijevi od PE-HD-a prema DIN EN 12201 isporučiti kao pojedinačne komade ili spojene u prsten, pomoću zavarenih spojnica nepropusno spojiti i postaviti u jednoj liniji i na ispravnoj visini na pripremljenu posteljicu u nagibu, uklj. dijelove za spajanje, priključke i sve oblikovane komade kao što su koljena, račve, redukcije, itd.
Primjena: Opskrba plinom, pitkom vodom ili vodom za gašenje požara
Boja: sukladno primjeni
Razina tlaka: PN 16
Nazivni promjer: DN200</t>
  </si>
  <si>
    <t>207.070.00300</t>
  </si>
  <si>
    <t>207.070.00600</t>
  </si>
  <si>
    <t>- Tlačne cijevi PE-HD, DN80</t>
  </si>
  <si>
    <t>Tlačne cijevi od PE-HD-a prema DIN EN 12201 isporučiti kao pojedinačne komade ili spojene u prsten, pomoću zavarenih spojnica nepropusno spojiti i postaviti u jednoj liniji i na ispravnoj visini na pripremljenu posteljicu u nagibu, uklj. dijelove za spajanje, priključke i sve oblikovane komade kao što su koljena, račve, redukcije, itd.
Primjena: Opskrba plinom, pitkom vodom ili vodom za gašenje požara
Boja: sukladno primjeni
Razina tlaka: PN 16
Nazivni promjer: DN80</t>
  </si>
  <si>
    <t>207.070.00700</t>
  </si>
  <si>
    <t>207.070.00900</t>
  </si>
  <si>
    <t>207.070.01000</t>
  </si>
  <si>
    <t>207.080</t>
  </si>
  <si>
    <t>Kabelski kanali</t>
  </si>
  <si>
    <t>207.090</t>
  </si>
  <si>
    <t>šahtovi</t>
  </si>
  <si>
    <t>207.090.00100</t>
  </si>
  <si>
    <t>- Betonski šaht</t>
  </si>
  <si>
    <t>Nabava, doprema i motaža okruglog tipskog betonskog okna (kao tip KBS 12, Samoborka ili jednako vrijedno) koji se sastoji od: Baza montažnog okna je donji element okna unutarnjeg promjera 1000 mm, sa ugrađenim penjalicama i po potrebi i svim projektiranim otvorima za uljeve i odvod. Baze montažnog okna izrađene su postupkom vibroprešanja od betona C 30/37. Za ubetoniravanje spojnog elementa u stjenci okna se izbuši otvor čiji promjer ovisi o promjeru priključne cijevi. Odgovarajuća spojnica se postavi u otvor i ubetonira (C 30/37 S2; Cl 0,20; Dmax=16; VDP3) u stjenku (zid) baze okna. Priključke je moguće izvoditi pod svim zahtjevanim kutevima. Uvodnice (spojnice) se ugrađuju na zahtjev izvođača koji je iste dužan i dostaviti. Prsteni montažnog okna su elementi okna unutarnjeg promjera 1200 mm , a proizvode se u tri različite visine: 250 mm (KBS P/25), 500 mm (KBS P/50), i 1000 mm (KBS P/100), a služe za svladavanje visinske razlike (kao međuelementi između baze okna i završetka).
Svi elementi imaju ugrađene penjalice.Prsteni montažnog okna izrađeni su postupkom vibroprešanja od betona C 30/37. Završetak montažog revizijskog okna smanjuje promjer sa 1200 mm na 625 mm – promjer ljevano-željeznog poklopca (nosivost za teški promet xy). Konusni je završetak (KBS Z konusni) visine 68 cm, dok je ravni završetak (KBS Z ravni) visine 31 cm. Oba su elementa izrađena od betona C 30/37. Revizijsko okno uz obaveznu upotrebu gumenih brtvi za vertikalno spajanje elemenata (baza, prsten, završetak) osigurava potpuno vodonepropusan kanalizacijski sustav. Udovoljava uvjetima norme HRN EN 1917:2005. Obračun po komadu gotovog okna. Obračun se vrši po komadu kompletno izvedenog revizionog okna, uključivo ugradnju RDS prstena za prolaz PVC cijevi kroz betonski zid okna, oplatu zidova i ploča sa podupiranjem, te sve prenose.
Dimenzije: 1000
Dubina kanala: do 2,5 m
Priključci za cijevi: od DN150 do DN400
Razred opterećenja: prema mjestu ugradnje</t>
  </si>
  <si>
    <t>207.090.00105</t>
  </si>
  <si>
    <t>- Lijevano željezni poklopac di600, nosivosti D400</t>
  </si>
  <si>
    <t>Nabava, doprema i montaža okruglih ljevano željeznih poklopaca svijetlog otvora Ø 563 mm sa okvirom za pješačku zonu nosivosti D400 kN (HRN-EN 124). Obračun se vrši po komadu kompletno montiranog poklopca sa okvirom.</t>
  </si>
  <si>
    <t>kom.</t>
  </si>
  <si>
    <t>207.100</t>
  </si>
  <si>
    <t>207.110</t>
  </si>
  <si>
    <t>Sustavi za razdvajanje</t>
  </si>
  <si>
    <t>207.110.00100</t>
  </si>
  <si>
    <t>x... SKA1 - koalescentni separator NS 10/100</t>
  </si>
  <si>
    <t>Separator lakih tekućina s mimotokom 100. Dobava i ugradnja separatora lakih tekućina s bypassom. Separator mora biti konstruiran, izrađen i testiran prema HRN EN 858, što se dokazuje izjavom o svojstvima i pripadajućim izvještajem laboratorijskog ispitivanja učinkovitosti (za dani protok separatora). Separator nazivne veličine NS10 (protok kroz separator 10 l/s) dok je ukupni protok Qmax=100 l/s. Separator mora imati učinkovitosti izdvajanja lakih tekućina klase I - lakih tekućina u izlaznoj vodi do 5mg/l.</t>
  </si>
  <si>
    <t>Stk.</t>
  </si>
  <si>
    <t>207.110.00101</t>
  </si>
  <si>
    <t>Separator masti - mastolov</t>
  </si>
  <si>
    <t>Nabava, dobava i ugradnja separatora masti biljnog i životinjskog porijekla iz centrifugalno lijevanog polietilena. Separator mora biti konstruiran, izrađen i testiran prema HRN EN 1825 nazivne veličine NSx. Separator treba biti siguran od djelovanja sila uzgona do visine podzemne vode do 1m ispod poklopca separatora. Unutarnji elementi separatora trebaju biti izrađeni iz PEHD-a (otpornos na masne kiseline). Separator mora imati Integriranu taložnicu zapremnine najmanje xy litara, dok ukupni volumen ne smije biti veći od xyz lit. Za ugradnju separatora nisu potrebni nikakvi radovi betoniranja. Sve kao ACO LIPUMAX P-B NSx STxyz. Kontrola i pražnjenje separatora se vrši preko poklopca. Pristup u separator treba biti u skladu s HRN EN 476. Priključak uljeva treba biti DN100 utični spoj s kliznom brtvom. Dubina uljevne cijevi, mjereno od kote poklopca do kote dna cijevi uljeva T= xyz m. Separator se treba isporučivati s plinotijesnim poklopcem klase nosivosti xzy, svijetlog otvora promjera 600mm s natpisom "SEPARATOR". Obračun se vrši po kompletno montiranom separatoru masti do pune funkcije.</t>
  </si>
  <si>
    <t>207.120</t>
  </si>
  <si>
    <t>Sustavi za podizanje</t>
  </si>
  <si>
    <t>207.120.00100</t>
  </si>
  <si>
    <t>Hidrostanica povišenje i održavanje tlaka - protupožarna hidrostanica</t>
  </si>
  <si>
    <t>Nabava, doprema i montaža hidrostanice za povišenje i održavanje tlaka za vanjsku i unutarnju hidrantsku mrežu. Hidrostanica se priključuje na spremnik vode. Protupožarna hidrostanica karakteristika:
Radna točka 1 :
Q=2,5 l/s, H= 43 m
Režim rada – 1 radna crpka
Radna točka 2 :
Q=30 l/s, H= 43 m
Režim rada – 3 radne crpke + 1 rezervna crpka
Protupožarna hidrostanica GRUNDFOS HYDRO MPC-E 4 CRIE32-2 LOW NPSH s četri paralelno spojene crpke tipa CRIE32-2 LOW NPSH sa pojačanom usisnom visinom montirane na zajednički okvir, ulaznim i izlaznim kolektorom DN150 (sve od nehrđajućeg čelika EN/DIN 1.4571/ AISI 316 TI), armaturom, ormarićem za upravljanje GRUNDFOS CONTROL MPC sa ugrađenom mikroprocesorom kontroliranom jedinicom GRUNDFOS CU352 s LCD zaslonom, mogućnošću automatske kaskadne kontrole crpki, frekventnom regulacijom, automatskom samokontrolom crpki te funkcijama zaštite i monitoringa crpki.
Ugrađene crpke su vertikalne, in line crpke s patronskim mehaničkim brtvama, frekventno reguliranim motorima klase energetske efikasnosti IE5 i ugrađenom termičkom zaštitom, izrađene iz nehrđajućeg čelika AISI 304.
Nepovratni ventili moraju biti ugrađeni na usisnim stranama crpki.
Indeks minimalne efikasnosti MEI ≥0,70.
Hidrostanica osim u reżimu konstantnog tlaka mora raditi i u reżimu proporcionalnog tlaka.
Sa hidrostanicom isporučiti i membranski spremnik kapaciteta 100 lit, PN10 bar te plovak za zaštitu od rada na suho.
Puštanje u pogon hidrostanice treba biti izvedeno od strane servisa ovlaštenog od proizvođača GRUNDFOS.
Obračun se vrši po kompletu kompletno montirane hidrostanice, ispitane sa pribavljenim Uvjerenjima do pune funkcije.</t>
  </si>
  <si>
    <t>207.120.00105</t>
  </si>
  <si>
    <t>Prepumpno okno - sanitarno fekalne kanalizacije</t>
  </si>
  <si>
    <t>Nabava, doprema i ugradnja potopne kanalizacijska crpka Grundfos SLV.65.65.11.2.50B
Radna točka :
Q = 4 [l/s]
H = 4,5 [m]
• Jedna radna + jedna rezervna crpka (1+1)
Uronjiva kanalizacijska crpka Grundfos tip SLV.65.65.11.2.50B u mokroj izvedbi. Sljedećih tehničkih karakteristika:
Tip impelera: Vortex
Maksimalna veličina čestica: 65 [mm]
Materijal kućišta crpke: Lijevano željezo EN-GJL-250
Materijal impelera: Lijevano željezo EN-GJS-400-15
Izlaz crpke: DN65
Frekvencija glavne mreže: 50 [Hz]
Nazivni napon: 3 x 400-415 [V]
Ulazna snaga (P1): 1,6 [kW]
Nazivna snaga (P2): 1,1 [kW]
Nazivna struja: 3,1 [A]
Nazivna brzina: 2830 [min-1]
Maks. broj pokretanja po satu: 30
Neto masa: 46,5 [kg]
S crpkom se isporučuje sljedeći prateći pribor:
- 10 [m] kabela
- lanac iz nehrđajućeg čelika
Uška za dizanje, spojni vijci i spona motora crpke su izrađeni od INOX materijala.
Brtvljenje je izvedeno dvostrukom osovinskom brtvom patronskog tipa u uljnoj komori.
Antikorozijska zaštita crpke: kataforetski premaz + epoxy premaz.
Crpka je opremljena termičkom zaštitom i zaštitom od prodora vlage.
Uz pumpe u stavci uključena i armatura te fazonski komadi kao i sav spojni i brtveni materijal prema detalju nacrta prepumpnog okna, te puštanje u pogon.</t>
  </si>
  <si>
    <t>207.120.00110</t>
  </si>
  <si>
    <t>Upravljački ormar prepumpne stanice</t>
  </si>
  <si>
    <t>Upravljački ormarić za unutarnju ugradnju Grundfos tip LC 231 za dvije crpke s regulacijskom jedinicom i sljedećim mogućnostima:
- mogućnost automatskog izmjeničnog rada crpki,
- regulacija rada dviju crpki na osnovi analognog signala (hidrostatska sonda; 0-5 V, 0.5-3.5 V, 0-10 V, 0-20 mA, 4-20 mA) ili digitalnog (plovka),
- podržava odabir do 5 kontrolnih razina pomoću analogne hidrostatske sonde ili plovka,
- omogućava i jednostavnu regulaciju preko samo jednog plovka,
- moguća konfiguracija ulazno/izlaznih signala na stezaljkama koji mogu biti digitalni ili analogni ( PT100/PT1000 ) prilagođeno potrebnoj aplikaciji,
- prevencija preopterećenja mreže kada se više crpnih stanica pokreće u isto vrijeme pomoću odgode pokretanja crpki,
- zaštita od hidrauličnog udara odgodom istodobnog pokretanja više crpki, te simultanog pokretanja jedne crpke,
- automatsko restartanje alarma,
- postavljanje odgode gašenja pumpe prema postavljenim uvjetima,
- prikaz razine tekućine,
- prikaz alarma sa zvučnim signalom,
- prikaz alarma za krivi redoslijed faza, preopterećenje, rad na suho, visoku razinu tekućine, pregrijavanje motora, detekciju vlage, kvara u opskrbi strujom, greške senzora, preveliki broj uključenja
Mogućnost nadogradnje kartice za upravljanje i nadzor preko CNUS-a.
Specifikacije ormarića Grundfos tip LC 231
Broj pumpi: 2
Materijal ormarića: Plastika
Raspon temperature okoline: -25 .. 40 °C
Postavljanje ormara: Zidno
Uzemljenje: N, PE
Frekvencija glavne mreže: 50 Hz
Nazivni napon: 3 x 200-460 V
Nazivna struja : 1-9 A
Metoda startanja: Direct-on-line (DOL)
Klasa zaštite (IEC 34-5): IP54</t>
  </si>
  <si>
    <t>207.120.00115</t>
  </si>
  <si>
    <t>Potopna pumpa</t>
  </si>
  <si>
    <t>Nabava, doprema i ugradnja pumpe za prepumpavanje vode iz vodomjernog okna.
Potrebna pumpa sa sljedećim karakteristikama:
Q= 1,00 lit/sek
H= 5,0 m
0,25 kW ( jednofazna)
U cijenu uključiti potrebne fazonse komade i potreban materijal do pune funkcije pumpe. Obračun po komadu montirane pumpe sa svim potrebnim za montažu i provjeru na nepropusnost spojeva.</t>
  </si>
  <si>
    <t>207.130</t>
  </si>
  <si>
    <t>207.130.00100</t>
  </si>
  <si>
    <t>- ispitivanje tlaka odvodnih cijevi</t>
  </si>
  <si>
    <t>Provedba ispitivanja tlaka u svim gore navedenim Odvodnim cijevima s različitim dimenzijama prema državnim tehničkim propisima u dijelovima, uklj. pripremu cijevi i pripadajuću dokumentaciju, za provjeru nepropusnosti.</t>
  </si>
  <si>
    <t>psch</t>
  </si>
  <si>
    <t>207.130.000105</t>
  </si>
  <si>
    <t>- tlačno ispitivanje tlačnih vodova</t>
  </si>
  <si>
    <t>Provedba ispitivanja tlaka u svim gore navedenim Tlačnim cijevima s različitim dimenzijama prema državnim tehničkim propisima u dijelovima, uklj. pripremu cijevi i pripadajuću dokumentaciju, za provjeru nepropusnosti.</t>
  </si>
  <si>
    <t>208</t>
  </si>
  <si>
    <t>Betonski i armirano betonski radovi</t>
  </si>
  <si>
    <t>208.000</t>
  </si>
  <si>
    <t>Vidljive betonske površine</t>
  </si>
  <si>
    <t>Za vidljive betonske površine vrijede sljedeći uvjeti:
Razred vidljivog betona SB1:
- Betonske površine s niskim dizajnerskim zahtjevima
- Tektura: Većinski zatvorena površina od cementnog ljepila odnosno žbuke, dopušta se prodiranje cementnog ljepila/fine žbuke u oplate do širine od ca. 20 mm i dubine od ca. 10 mm, dopušten je otisak okvira oplate
- Poroznost: Udio od maks. 3.000 mm2 pora s promjerom unutar granica 2 mm &lt; d &lt; 15 mm (po ispitanoj površini veličine 500 mm x 500 mm)
- Jednolikost boje: Dozvoljene su svjetle/tamne mrlje, mrlje od rđe i prljavštine nisu dozvoljene
- Ravnost: Zahtjevi ravnosti površine prema DIN 18202, tablici 3, retku 5 (neobrađeni zidovi i donje strane grubih stropova)
- Fuge na radnim površinama i oplatama: Razmak između dvaju betonskih dijelova do ca. 10 mm je dopušten
- Razred oplata SHK1: Bušene rupe zatvoriti plastičnim čepovima, rupe od čavala i vijaka su dopuštene, oštećenja na oplatama od vibratora za beton su dopuštena, ogrebotine su dopuštene, ostaci betona u procjepima (rupama od čavala, udubinama, itd.) su dopušteni, bez zalijepljenih komada, tragovi cementa su dopušteni, savijanje oplate u području vijaka i čavala je dopušteno, popravci su dopušteni
Razred oplata SB2:
- Betonske površine s normalnim dizajnerskim zahtjevima
- Tektura: Zatvorena i većinski jednolika betonska površina, dopušta se prodiranje cementnog ljepila/fine žbuke u oplate do širine od ca. 10 mm i dubine od ca. 5 mm, pomak na mjestu spajanja elemenata dopušten je do ca. 5 mm, dopuštena je visina preostalog spoja do ca. 5 mm, otisak okvira oplate je dopušten
- Poroznost: Udio od maks. 2.250 mm2 pora s promjerom unutar granica 2 mm &lt; d &lt; 15 mm (po ispitanoj površini veličine 500 mm x 500 mm)
- Jednolikost boje: Jednolike, velike svijetle/tamne mrlje su dopuštene, korištenje različitih vrsta i načina predobrade oplata te materijala različitih vrsta i podrijetla nije dopušteno
- Ravnost: Zahtjevi ravnosti površine prema DIN 18202, tablici 3, retku 5 (neobrađeni zidovi i donje strane grubih stropova)
- Fuge na radnim površinama i oplatama: Razmak između dvaju betonskih dijelova do ca. 10 mm je dopušten, ostaci fine žbuke na prethodnom betonskom dijelu trebaju se pravovremeno ukloniti, preporučuje se trapezna letva ili slično
- Razred oplata SHK2: Bušene rupe su dopuštene kod popravka, rupe od čavala i vijaka bez oštećenja su dopuštene, oštećenja na oplatama od vibratora za beton nisu dopuštena, ogrebotine su dopuštene kod popravka, ostaci betona nisu dopušteni, tragovi cementa su dopušteni, savijanje oplate u području vijaka i čavala nije dopušteno, popravci su dopušteni
Razred vidljivog betona SB3:
- Betonske površine s visokim dizajnerskim zahtjevima
- Tektura: Zatvorena i većinski jednolika betonska površina, dopušta se prodiranje cementnog ljepila/fine žbuke u oplate do širine od ca. 10 mm i dubine od ca. 5 mm, pomak na mjestu spajanja elemenata dopušten je do ca. 5 mm, dopuštena je visina preostalog spoja do ca. 5 mm, otisak okvira oplate je dopušten
- Poroznost: Udio od maks. 1.500 mm2 pora s promjerom unutar granica 2 mm &lt; d &lt; 15 mm (po ispitanoj površini veličine 500 mm x 500 mm)
- Jednolikost boje: Jednolike, velike svijetle/tamne mrlje su dopuštene, korištenje različitih vrsta i načina predobrade oplata te materijala različitih vrsta i podrijetla nije dopušteno
- Ravnost: Zahtjevi ravnosti površine prema DIN 18202, tablici 3, retku 6 (obrađeni zidovi i donje strane stropova)
- Fuge na radnim površinama i oplatama: Razmak između dvaju betonskih dijelova do ca. 5 mm je dopušten, ostaci fine žbuke na prethodnom betonskom dijelu trebaju se pravovremeno ukloniti, preporučuje se trapezna letva ili slično
- Razred oplata SHK2: Bušene rupe su dopuštene kod popravka, rupe od čavala i vijaka bez oštećenja su dopuštene, oštećenja na oplatama od vibratora za beton nisu dopuštena, ogrebotine su dopuštene kod popravka, ostaci betona nisu dopušteni, tragovi cementa su dopušteni, savijanje oplate u području vijaka i čavala nije dopušteno, popravci su dopušteni</t>
  </si>
  <si>
    <t>Razlikovanje betonskih i armiranobetonskih radova</t>
  </si>
  <si>
    <t>U sljedećim pozicijama potrebno je uzeti u obzir i uračunati sljedeće usluge, čak i ako nisu izričito navedene:
- Mjerenje i niveliranje usluga od zadanih mjernih točaka odnosno osi
- Sve ugradbene dijelove, sitne dijelove, međuslojeve i sredstva za pričvršćivanje koja su potrebna za spajanje i pričvršćivanje elemenata od armiranog betona. Jednako vrijedi i za sve komponente koje su potrebne za montažu.
- Ugradbeni dijelovi koji su potrebni za druge radove, opisani su u poglavlju Pojačanja i ugradbeni elementi.
- Fuge kod oplata na vidljivim betonskim površinama trebaju se uskladiti s naručiteljem. Po potrebi treba predvidjeti prividne fuge.
- Izrada odnosno zatvaranje fugama uključuje nanošenje žbuke i trajno elastično brtvljenje pomoću konopa ili PU mase za fugiranje.
- stručna provedba svih potrebnih naknadnih obrada
- eventualna oštećenja na površini i / ili oštećenja betonske konstrukcije treba poravnati i brusiti za ličenje
- Izrada primjernih uzoraka za procjenu površine (od SB3)
- Zaštite na rubovima, zaštite od pada i propadanja u sklopu usluga, i nakon završetka montaže</t>
  </si>
  <si>
    <t>208.010</t>
  </si>
  <si>
    <t>Armatura i ugradbeni elementi</t>
  </si>
  <si>
    <t>208.010.00100</t>
  </si>
  <si>
    <t>-  rebrasta armatura</t>
  </si>
  <si>
    <t>Dobava, rezanje, savijanje i ugradnja bruto rebraste armature B500 B različitih promjera i dimenzija uključivo i distancere a sve prema planovima savijanja armature.
Vrsta čelika: B500 B</t>
  </si>
  <si>
    <t>kg</t>
  </si>
  <si>
    <t>208.010.00105</t>
  </si>
  <si>
    <t>- armaturne mreže</t>
  </si>
  <si>
    <t>Dobava, rezanje, savijanje i ugradnja bruto mrežaste armature B500 B različitih tipova uključivo i distancere a sve prema planovima savijanja armature.
Vrsta čelika: B500 A/B</t>
  </si>
  <si>
    <t>208.010.00110</t>
  </si>
  <si>
    <t>- ugradbeni dijelovi od pocinčanog čelika</t>
  </si>
  <si>
    <t>Dobava i ugradnja u konstrukcijske svrhe u vruće cinčanoj izvedbi čelične anker pločevine i druge razne čelične ploče dimenzija prema projektu konstrukcija. Pločevine ugraditi u beteonske elemente prema pozicijama iz projekta.
Vrsta čelika: S235
Dimenzije pločevina i čeličnih elemenata: prema projektu</t>
  </si>
  <si>
    <t>208.010.00115</t>
  </si>
  <si>
    <t>- tipski elementi HTU, HTA šine</t>
  </si>
  <si>
    <t>Dobava i postava u monolitnu betonsku konstrukciju tipske HTA ili HTU šine proizvođača HALFEN ili jednako vrijedno, za ugradnju sekundarnih elemenata. Izvedva do gotove funkcionalnosti sa svim spojnim priborom.</t>
  </si>
  <si>
    <t>208.020</t>
  </si>
  <si>
    <t>Zaštitni i podložni beton</t>
  </si>
  <si>
    <t>208.020.00100</t>
  </si>
  <si>
    <t>- Podloga za reviziona okna i separator</t>
  </si>
  <si>
    <t>Betoniranje podloge za reviziona okna i separator, debljine 15 cm, betonom C 12/15. Obračun po m3 pripravljenog betona sa potrebnim prijevozom i prenosima.</t>
  </si>
  <si>
    <t>208.030</t>
  </si>
  <si>
    <t>Temelji</t>
  </si>
  <si>
    <t>208.030.00100</t>
  </si>
  <si>
    <t>- Oplata za temelje</t>
  </si>
  <si>
    <t>Dobava i postava glatke vanjske oplate za sve vrste temeljnih konstruktivnih elemenata raznih dimenzija.
Konstruktivni elementi: Temeljne stope, temeljne trake, temeljne vezne grede, nadtemeljni zid pretovarnog mosta.</t>
  </si>
  <si>
    <t>208.030.00105</t>
  </si>
  <si>
    <t>- Betonski temelji na licu mjesta-temeljne stope</t>
  </si>
  <si>
    <t>Dobava i strojna ugradnja svježeg betona prema DIN EN 206-1 za sve vrste armirano betonskih temeljnih stopa elemenata dimenzija prema projektu konstrukcije.
Razred čvrstoće: [C30/37]
Razredi izloženosti: [XC2, XF1]
Konstruktivni elementi: Temeljne stope.
Armatura i oplata se obračunavaju u zasebnim pozicijama.</t>
  </si>
  <si>
    <t>208.030.00110</t>
  </si>
  <si>
    <t>- Temeljna čašica</t>
  </si>
  <si>
    <t>Dobava i strojna ugradnja svježeg betona prema DIN EN 206-1 za izradu temeljnih čašica. Vanjska i unutarnja oplata u cijeni. Vanjska oplata glatka. Unutarnja oplata po izboru izvođača (metalna/drvena) s vodoravnim profiliranjem prema projektu konstrukcije.
Razred čvrstoće: [C30/37]
Razredi izloženosti: [XC2, XF1]
Vanjska dimenzija čašice: do [1,30/1,30] m
Unutarnja dimenzija čašice: do [0,70/0,70] m
Debljina: [0,30 dno/0,25 vrh] m
Visina čašice: do [1,20] m
Oplata: vanjska strana 245 m2; unutarnja strana 130 m2.
Armatura se obračunava u zasebnim pozicijama.</t>
  </si>
  <si>
    <t>208.030.00115</t>
  </si>
  <si>
    <t>U svemu kao stavka 208.030.00110 samo:
Vanjska dimenzija čašice: do [1,40/1,40] m
Debljina: [0,35 dno/0,30 vrh] m</t>
  </si>
  <si>
    <t>208.030.00120</t>
  </si>
  <si>
    <t>- Betonski temelji na licu mjesta-temeljne trake</t>
  </si>
  <si>
    <t>Betoniranje AB temeljnih traka
u dvostranoj glatkoj oplati prema statičkom proračunu i nacrtima, betonom C 30/37, razreda izloženosti XC2.
Potrebna armatura je posebno obračunata, zasebna stavka ove grupe radova (armatura).
Ispod svih temeljnih traka izvodi se podložni beton klase C12/15 debljine 5 cm. U svemu prema detaljnim nacrtima.
NAPOMENA: Podložni beton i oplata nisu uključeni u cijenu stavke, zasebne stavke ovog troškovnika.
Cijena uključuje beton, sav potreban glavni i pomoćni materijal, rad i transporte, sve do potpune gotovosti, uključivo i njegu betona.
Betoniranje i sve prateće radnje moraju biti u skladu s izrađenim i odobrenim projektom betonske konstrukcije te prema uputi statičara-nadzora.
Prije betoniranja potrebno je postaviti kutije za sve eventualne instalacione prodore. U cijeni oplate sadržana su sva potrebna podupiranja i ugradbe kutija za sve instalacione prodore. Naknadna probijanja se neće obračunati.</t>
  </si>
  <si>
    <t>208.030.00125</t>
  </si>
  <si>
    <t>- Betonski temelji na licu mjesta-temeljne vezne grede</t>
  </si>
  <si>
    <t>Betoniranje AB temeljnih veznih greda
u dvostranoj glatkoj oplati prema statičkom proračunu i nacrtima, betonom C 30/37, razreda izloženosti XC2. Stavkom obuhvaćen kompletan element (temeljni dio širine 30 cm i sokl širine 16 cm).
Potrebna armatura je posebno obračunata, zasebna stavka ove grupe radova (armatura).
Ispod svih veznih greda izvodi se podložni beton klase C12/15 debljine 5 cm. U svemu prema detaljnim nacrtima.
NAPOMENA: Podložni beton i oplata nisu uključeni u cijenu stavke, zasebne stavke ovog troškovnika.
Cijena uključuje beton, sav potreban glavni i pomoćni materijal, rad i transporte, sve do potpune gotovosti, uključivo i njegu betona.
Betoniranje i sve prateće radnje moraju biti u skladu s izrađenim i odobrenim projektom betonske konstrukcije te prema uputi statičara-nadzora.
Prije betoniranja potrebno je postaviti kutije za sve eventualne instalacione prodore. U cijeni oplate sadržana su sva potrebna podupiranja i ugradbe kutija za sve instalacione prodore. Naknadna probijanja se neće obračunati.</t>
  </si>
  <si>
    <t>208.030.00130</t>
  </si>
  <si>
    <t>- temelji za predgotovljeni fasadni sokl-rubnjak po obodu zgrade</t>
  </si>
  <si>
    <t>Betoniranje temelja za predgotovljeni fasadni sokl-rubnjak po obodu zgrade
Dobava materijala i betoniranje betonskih temelja (nosač) za predgotovljeni fasadni sokl-rubnjak po obodu zgrade (širine 18 cm i visine 30 cm), betona klase C30/37 i razreda izloženosti XC2.
NAPOMENA: Temelj se izvodi kao nearmiran.
Cijena uključuje beton, oplatu, sav potreban glavni i pomoćni materijal, rad i transporte, sve do potpune gotovosti, uključivo i njegu betona.
Betoniranje i sve prateće radnje moraju biti u skladu s izrađenim i odobrenim projektom betonske konstrukcije te prema uputi statičara-nadzora.
Prije betoniranja potrebno je postaviti kutije za sve eventualne instalacione prodore. U cijeni oplate sadržana su sva potrebna podupiranja i ugradbe kutija za sve instalacione prodore. Naknadna probijanja se neće obračunati.
Ponuditi sve prema projektu konstrukcije i ostaloj projektnoj dokumentaciji koja je sastavni dio troškovnika.
Oplata 98,0 m2.</t>
  </si>
  <si>
    <t>208.030.00135</t>
  </si>
  <si>
    <t>- montaža predgotovljenog fasadnog sokla-rubnjaka po obodu zgrade</t>
  </si>
  <si>
    <t>Montaža predgotovljenog fasadnog sokla-rubnjaka po obodu zgrade
Stavka obuhvaća samo montažu armiranobetonskog predgotovljenog fasadnog sokla-rubnjaka po obodu zgrade.
NAPOMENA: Prethodno će bit izrađeni kao predgotovljeni elementi, doveženi na gradilište, stavljanji na raspolaganje te izvršena formalna primopredaja izvođaču građevinsko-obrtničkih radova (sve prema stavci 209.030.00105 iz troškovnika predgotovljene konstrukcije).
Rubnjak se oslanja na monolitni armiranobetonski temelj (nosač), sve prema stavci 208.030.01300.
U svemu prema detaljnim nacrtima i projektu kronstrukcije.
Stavka uključuje sustavom uvjetovane ugradne dijelove i sredstva za pričvršćivanje, spojna sredstvate te brtvljenje spojnica, uključivo kit i vrpcu.
Kitanje trajnoelastičnim kitom te priprema za impregnaciju odgovarajućim sredstvima za bolju prionljivost.
-vertikalno brtvljenje reški između građevnih dijelova i elemenata u cijeni: kitanje trajnoelastičnim kitom uz primjenu kanapa (šnura) za rešku i elastičnog materijala za brtvljenje. Širina reške: 1 cm; Dubina reške: 3 cm; Baza veznog sredstva: Thiokol (polisulfidni kaučuk).
Fasadni sokl - rubnjak 8/50/99 cm - ravni: kom 145
Fasadni sokl - grupa rubnjaka 8/50/&lt;80 cm - ravni: kom 8
Fasadni sokl - grupa rubnjaka 8/50/80-130 cm - ravni: kom 33
Fasadni sokl - grupa rubnjaka 8/50/≥130 cm - ravni: kom 33
Fasadni sokl - rubnjak 8/50 - "U" oblika: kom 12</t>
  </si>
  <si>
    <t>208.030.00140</t>
  </si>
  <si>
    <t>- Nadtemeljni zidovi pretovarnog mosta</t>
  </si>
  <si>
    <t>Betoniranje nadtemeljnih zidova pretovarnog mosta
Dobava materijala i betoniranje armirano-betonskih nadtemeljnih zidova u dvostranoj glatkoj oplati prema statičkom proračunu i nacrtima (debljina zida 25 cm i visine 95 cm), betona klase C35/45 i razreda izloženosti XC4, XD3 i XF4.
Površina: Vidljivi beton kvalitete (SB2).
Cijena uključuje beton i oplatu, sav potreban glavni i pomoćni materijal, rad i transporte, sve do potpune gotovosti, uključivo i njegu betona.
Betoniranje i sve prateće radnje moraju biti u skladu s izrađenim i odobrenim projektom betonske konstrukcije te prema uputi statičara-nadzora.
Prije betoniranja potrebno je postaviti kutije za sve eventualne instalacione prodore. U cijeni oplate sadržana su sva potrebna podupiranja i ugradbe kutija za sve instalacione prodore. Naknadna probijanja se neće obračunati.
Potrebna armatura je posebno obračunata.</t>
  </si>
  <si>
    <t>208.030.00145</t>
  </si>
  <si>
    <t>x..UW2..x - pojedinačni temelj za znak Kaufland vanjske reklame (TOTEM 6 m)</t>
  </si>
  <si>
    <t>Pojedinačni temelj za Kauflandov znak, oplate izraditi prema odabiru izvođača, armaturu ugraditi prema armaturnom planu, svježi beton prema DIN EN 206-1 isporučiti, pravilno ugraditi, zatvoriti i poravnati površinu, uklj. spajanje šupljih cijevi izvana prema sredini temelja, ugradbeni dijelovi za pojačavanje znaka, vidljivi rubovi nakošeni.
Dobava i strojna ugradnja svježeg betona prema DIN EN 206-1 za izradu temelja vanjske reklame. Vanjska oplata glatka sa vidljivim nakošenim rubovima u cijeni stavke. Kroz sredinu temelja ostaviti bužir za prolaz instalacija. Ugradnja i dobava anker pločevina u cijeni stavke.
Dimenzije temelja: [2,80/2,80/0,60] m
Anker pločevina: [0,46/0,46 m] komada [2]
Razred čvrstoće: [C30/37 LP]
Razredi izloženosti: [XC2, XF2]
Armatura se obračunava u zasebnim pozicijama.</t>
  </si>
  <si>
    <t>208.030.00150</t>
  </si>
  <si>
    <t>- AB ploča za kučicu za kolica</t>
  </si>
  <si>
    <t>Dobava i strojna ugradnja svježeg betona prema DIN EN 206-1 za izradu AB ploče za kučicu kolica. Vanjska oplata glatka sa vidljivim nakošenim rubovima u cijeni stavke.
Dimenzije temelja: [0,30/0,60/20,4] m
Dimenzije podne ploče: [5,0/5,20/0,2] m
Razred čvrstoće: [C25/30 LP]
Razredi izloženosti: [XC2, XF2]
Armatura se obračunava u zasebnim pozicijama.</t>
  </si>
  <si>
    <t>208.030.00155</t>
  </si>
  <si>
    <t>x..WA6..x - Temelj za pilon Kaufland</t>
  </si>
  <si>
    <t>Dobava i strojna ugradnja svježeg betona prema DIN EN 206-1 za izradu temelja vanjskog reklamnog panoa. Vanjska oplata glatka sa vidljivim nakošenim rubovima u cijeni stavke. Kroz sredinu temelja ostaviti bužir za prolaz instalacija. Ugradnja i dobava anker pločevina u cijeni stavke.
Dimenzije temelja: [5,0/5,00/1,50] m
Anker pločevina: [prema nacrtu] komada [1]
Razred čvrstoće: [C30/37 LP]
Razredi izloženosti: [XC2, XF2]
Armatura se obračunava u zasebnim pozicijama.</t>
  </si>
  <si>
    <t>208.030.00165</t>
  </si>
  <si>
    <t>- betonska postolja</t>
  </si>
  <si>
    <t>Dobava i ugradnja unutar zgrade svježeg betona prema DIN EN 206-1 za izradu betonskog postolja za smještaj strojarske opreme i regala. Oplata glatka sa vidljivim nakošenim rubovima u cijeni stavke.
Dimenzije postolja: DEA [3,3/1,1] m; spremnici goriva [0,80/1,3] m + [1,0/2,0] m
Visina postolja: [0,3] m
Razred čvrstoće: [C25/30]
Razredi izloženosti: [XC1]</t>
  </si>
  <si>
    <t>208.030.00170</t>
  </si>
  <si>
    <t>- antivibracijska ploča</t>
  </si>
  <si>
    <t>Dobava i postava antivibracijske ploče ispod strojarske opreme na predhodno opisana betonska postolja za sprečavanje širenja vibracija na podnu ploču.
Debljina izolacije: [10] mm
Proizvod/tip: MAFUND ili jednako vrijedno</t>
  </si>
  <si>
    <t>208.030.00175</t>
  </si>
  <si>
    <t>- temelji rasvjetnog stupa</t>
  </si>
  <si>
    <t>Betoniranje AB temelja (temeljnih stopa) rasvjetnih stupova
u četverostranoj oplati prema nacrtima, betonom C 30/37.
Ispod svih temeljnih stopa izvodi se podložni beton klase C12/15 debljine 5 cm. U svemu prema detaljnim nacrtima.
Prilikom izrade temelja ubetonirati dvije fleksibilne cijevi promjera 63 mm za uvlačenje kabela. Ubetonirati vijke pomoću šablone, a iste međusobno povezati varenjem pri gornjem i pri donjem dijelu. Temelj pri vrhu izravnati i idealno vodoravno zagladiti 3 cm šire od temeljne ploče zbog dosjeda temeljne ploče stupa, te skositi prema rubovima ukupno visine do 5 cm. Ugraditi 4 kom vruće pocinčana sidrena vijka M24/1200, komplet sa šablonom. Dimenzije temelja 1,0x1,0x1,0m. Temelj se izvodi sa gornje strane četverostrešno (sve prema nacrtima).
Cijena uključuje beton i oplatu, sav potreban glavni i pomoćni materijal, rad i transporte, sve do potpune gotovosti, uključivo i njegu betona.
Potrebna armatura je posebno obračunata, zasebna stavka ove grupe radova (armatura).
Betoniranje i sve prateće radnje moraju biti u skladu s izrađenim i odobrenim projektom betonske konstrukcije te prema uputi statičara-nadzora.
Prije betoniranja potrebno je postaviti kutije za sve eventualne instalacione prodore. U cijeni oplate sadržana su sva potrebna podupiranja i ugradbe kutija za sve instalacione prodore. Naknadna probijanja se neće obračunati.
Stavka uključuje i ugradnju gromobranske instalacije.
beton-temeljne stope rasvjetnih stupova: beton C30/37
oplata-temeljne stope rasvjetnih stupova
podložni beton-temeljne stope rasvjetnih stupova: beton C12/15</t>
  </si>
  <si>
    <t>208.030.00180</t>
  </si>
  <si>
    <t>- betonska ojačanja cjevovoda vanjskog vodovoda</t>
  </si>
  <si>
    <t>Dobava i ugradnja unutar zgrade svježeg betona prema DIN EN 206-1 za izradu osiguranja vijevovoda vodovoda i hidrantske mreže, postolja ormarića nadzemnih hidranata i sl.. Oplata glatka sa vidljivim nakošenim rubovima u cijeni stavke.
Razred čvrstoće: [C25/30]
Razredi izloženosti: [XC1]</t>
  </si>
  <si>
    <t>208.040</t>
  </si>
  <si>
    <t>Podne ploče</t>
  </si>
  <si>
    <t>208.040.00100</t>
  </si>
  <si>
    <t>- Razdvojni sloj, PE folija, 2-slojni</t>
  </si>
  <si>
    <t>Dobava i postava PE folije u dva sloja na podlogu ispod podnih ploča s preklopima na spojevima.
Debljina: [0,2] mm
Obračun: izmjera prema tlocrtnoj površini postavljene površine.
Na spoju PE foliju povući prema gore iznad gotove obloge u obliku korita. U cijenu uključena izrada, doprema na gradilište te kompletna ugradnja u dva sloja. Količina u stavci navedena kao tlocrtna površina (samo jedan sloj i to bez preklopa). U cijenu stavke uključiti dva sloja i potrebne preklope.</t>
  </si>
  <si>
    <t>208.040.00105</t>
  </si>
  <si>
    <t>- Podne ploče od armiranog betona čeličnih vlakana, debljina [18] cm</t>
  </si>
  <si>
    <t>Dobava i strojna ugradba betona armiran čeličnim vlaknima, odnosno potrebno je od strane izvođača podne betonske ploče armirane mikrovlaknima priložiti sve potrebne ateste materijala i dokaze da je nosivost takve ploče istovjetna nosivosti ab podne ploče iz projekta konstrukcije. Površine zaglađene, pripremljene za postavljanje završne podne obloge. Naknadno zarezivanje ploče u cijeni. Ugradnja te doziranje prema tehničkom uputstvu proizvođača vlakna.
Debljina: [18] cm
Udio vlakana: [25] kg/m3
Proizvod/tip vlakana: Dramix 3D 80/60BG]
Razred čvrstoće: [C35/45]
Razredi izloženosti: [XC2, XM3, WF]
Širina pukotina: maks. 0,4 mm
Zahtjevi za ravnoću: DIN 18202, tablica 3, stupac 2 (neobrađene površine s većim zahtjevima)</t>
  </si>
  <si>
    <t>208.040.00110</t>
  </si>
  <si>
    <t>- Industrijska podna ploča debljina [20] cm</t>
  </si>
  <si>
    <t>Izvedba industrijske podne ploče klasa A3 sa svim pripadajućim elementima.
Beton mora imati minimalnu čvrstoću na savijanje fctm, fl&gt;3,4N/mm2 i maksimalno zrno agregata dmax=16mm. Stavka obuhvača:
- beton; obradu helikopterom; posip od čvrstih materijala (Korund); kitanje svih spojeva ploče s drugim elementima (trajno el.kit); rezanje fuge i njihovo zapunjavanje te njega zaglađene površine Sikafloor premazom za skladišne prostore. Njega zaglađene betonske površine izvodi se pokrivanjem PE folijom min.7 dana uz dodatnu zaštitu svih otvora na objektu kako ne bi došlo do propuha. Dilatiranje podne ploče od zidova izvesti od tvrde mineralne vune ili spužvice (10mm uz zidove i 20mm uz stupove) u cijeloj debljini ploče +3cm iznad gornje kote ploče (u cijeni betona). Nakon očvrsnuća ploče, potrebno je zarezati obodne trake te zazor ispuniti PU trakom i trajnoelastičnim kitom u cijeni betona. Naknadno rezane fuge izvode se unutar 24h od betoniranja, dubina reza 1/4 debljine ploče. Rezne fuge u cijeni betona. U cijeni i definiranje potpunih dilatacija prema uputi tehnologa te sav rad i materijal kako bi se iste izvele.
Debljina: [20] cm
Razred čvrstoće: [C30/37]
Razredi izloženosti: [XC2]
Potrebno opterećenje koje pod mora zadovoljiti u površinskom sloju: [30] kN/m2
Zahtjevi za ravnoću: DIN 18202, tablica 3, stupac 2 (neobrađene površine s većim zahtjevima)
Armatura se obračunava u zasebnim pozicijama.</t>
  </si>
  <si>
    <t>208.040.00115</t>
  </si>
  <si>
    <t>- Industrijska podna ploča debljina [25] cm-kod pretovarnog mosta</t>
  </si>
  <si>
    <t>U svemu kao stavka 208.040.00700 samo:
Debljina: [25] cm
Ploča se izvodi sa podupiranjem.
Oplata: podupiranje 4 m2.</t>
  </si>
  <si>
    <t>208.040.00120</t>
  </si>
  <si>
    <t>- podne ploče od armiranog betona, debljina 20 cm - kućica za EKW</t>
  </si>
  <si>
    <t>Dobava i ugradnja svježeg betona prema DIN EN 206-1 za izradu podnih ploča od armiranog betona. Izrada reznih fuga u cijeni izvedbe ploče prema pravilu struke, odnosno prema uputama projektanta konstrukcije.
Debljina: 20 cm
Razred čvrstoće: C25/30
Razredi izloženosti: XC2, WF
Zahtjevi za ravnoću: DIN 18202, tablica 3, stupac 2 (neobrađene površine s većim zahtjevima). Gornja površina ploče mora biti fino strojno zaglađena (helikopter), glatka i poravnata kao priprema za nanos završnog sloja.
Mjesto izvedbe: kućica za potrošačka kolica
Armatura i oplata se obračunavaju u zasebnim pozicijama.</t>
  </si>
  <si>
    <t>208.040.00125</t>
  </si>
  <si>
    <t>x..FH7..x - podne ploče od armiranog betona, debljina [20] cm-ploča dostavne rampe</t>
  </si>
  <si>
    <t>Dobava i strojna ugradnja betona u podnu armiranobetonsku ploču dostavne rampe. Betonska ploča otporan na smrzavanje od drobljenih mineralnih materijala 0/45, Ev2 &gt;/= 120 MN/m2, DPr 103%. Podna ploča betonirana na mjestu, otporna na tlak, površina sa strukturom učinjenom metlom, otporna na habanje, za ekstremno opterećenje. U cijeni i naknadno zarezivanje ab ploče. Fuge propisno obraditi elastičnom masom u boji betona.
Debljina: [20] cm
Razred čvrstoće: [C35/45]
Razredi izloženosti: [XC4, XD3, XF4]
Zahtjevi za ravnoću: DIN 18202, tablica 3, stupac 3 (podovi s gotovim površinama)
U cijenu stavke uključiti i obodne temelje predmetne ploče.
Armatura i oplata se obračunavaju u zasebnim pozicijama.</t>
  </si>
  <si>
    <t>208.040.00130</t>
  </si>
  <si>
    <t>- podne ploče od armiranog betona-ispod pretovarnog mosta, debljina [25-30] cm</t>
  </si>
  <si>
    <t>Podna ploča ispod pretovarnog mosta (na -1.20 m)
Dobava i strojna ugradba betona u betonsku podnu ploču debljine 25-30 cm (dio gornje plohe u nagibu od 2%), konstrukcija malog presjeka. Podna ploča će se armirati klasično, šipke i mreže B500B. Potrebno ostaviti vezu sa AB nadtemeljnim zidovima.
Ploča mora biti otporna na mraz, sol i habanje.
Ploča se izvodi na podlozi od termoizolacije (XPS) i PE folije. Potrebna armatura je posebno obračunata.
Ploča se ravna/obrađuje strojno - helikopterom nakon čega se ploča metla da se u što većoj mjeri spriječi habanje, prašenje te osigura protukliznost. Površinska obrada tzv.”četkani (metlani) beton”.
Nakon završne obrade na betonsku ploču se postavlja zaštitna p.e. folija debljine 0,2mm kako se nebi oštetila postignuta struktura. P.E. folija se drži od početka otvrdnjivanja min. 7 dana.
Debljina: [25-30] cm
Razred čvrstoće: [C35/45]
Razredi izloženosti: [XC4, XD3, XF4]
Zahtjevi za ravnoću: DIN 18202, tablica 3, stupac 3 (podovi s gotovim površinama)
Količina betona: 5,20 m3.
Armatura i oplata se obračunavaju u zasebnim pozicijama.</t>
  </si>
  <si>
    <t>208.040.00135</t>
  </si>
  <si>
    <t>oplata podnih ploča</t>
  </si>
  <si>
    <t>Dobava, izrada i postava čeonih glatkih oplata različitih debljina ploče.
Visina oplata: do 30 cm</t>
  </si>
  <si>
    <t>208.050</t>
  </si>
  <si>
    <t>Vanjski i unutarnji zidovi</t>
  </si>
  <si>
    <t>208.050.00100</t>
  </si>
  <si>
    <t>- zidovi od armiranog betona, debljina [25] cm</t>
  </si>
  <si>
    <t>Dobava i ugradnja betona za izradu zidova od armiranog betona. Svježi beton prema DIN EN 206-1. Zidove izvesti u glatkoj oplati s pravilno vidljivim stikovima i mjestima za čavle; betonske neravnine i srh izbrusiti.
Debljina zida: [25] cm
Visina zida: do 6,50 m
Razred čvrstoće: [C25/30]
Razredi izloženosti: [XC1]
Površina: kvaliteta vidnog betona SB2
Armatura i oplata se obračunavaju u zasebnim pozicijama.</t>
  </si>
  <si>
    <t>208.050.00105</t>
  </si>
  <si>
    <t>- oplata zidovi</t>
  </si>
  <si>
    <t>Dvostrana glatka oplata od neapsorbirajućih ploča za oplatu s pravilnim stikovima i mjestima za čavle, uključujući skošene ivice pomoću trobridne letvice, za zidove od vidnog betona SB2. U cijeni sav rad i materijal kako bi se stavka izvela do gotove funkcionalnosti.</t>
  </si>
  <si>
    <t>208.050.00110</t>
  </si>
  <si>
    <t>- potporni zid od armiranog betona, ravan, SB2</t>
  </si>
  <si>
    <t>Dobava i ugradnja betona za izradu potpornih zidova od armiranog betona. Svježi beton prema DIN EN 206-1. Zidove i temelje izvesti u glatkoj oplati s pravilno vidljivim stikovima i mjestima za čavle; betonske neravnine i srh izbrusiti.
Dimenzije/presjek stope potpornog zida: prema projektu
Dimenzije/presjek potpornog zida: prema projektu
Razred čvrstoće: [C25/30 LP]
Razredi izloženosti: [XC2, XF2, WF]
Površina: kvaliteta vidnog betona (SB2)
Armatura i oplata se obračunavaju u zasebnim pozicijama.</t>
  </si>
  <si>
    <t>208.050.00115</t>
  </si>
  <si>
    <t>- oplata potpornog zida</t>
  </si>
  <si>
    <t>Dvostrana/četverostana glatka oplata od neapsorbirajućih ploča za oplatu zidova i stopa potpornog zida s pravilnim stikovima i mjestima za čavle, uključujući skošene ivice pomoću trobridne letvice, za zidove od vidnog betona SB2. U cijeni sav rad i materijal kako bi se stavka izvela do gotove funkcionalnosti.</t>
  </si>
  <si>
    <t>208.050.00120</t>
  </si>
  <si>
    <t>- konzola na zidovima</t>
  </si>
  <si>
    <t>Dobava i ugradnja svježeg betona prema DIN EN 206-1 za izradu konzola na zidovima za prihvat konstruktivnih elemenata. Oplata glatka sa vidljivim nakošenim rubovima u cijeni stavke.
Dimenzije: prema projektu konstrukcije
Armatura se obračunava u zasebnim pozicijama.</t>
  </si>
  <si>
    <t>208.050.00125</t>
  </si>
  <si>
    <t>- linijska konzola na zidovima</t>
  </si>
  <si>
    <t>Dobava i ugradnja svježeg betona prema DIN EN 206-1 za izradu linijskih konzola na zidovima za prihvat konstruktivnih elemenata. Oplata glatka sa vidljivim nakošenim rubovima u cijeni stavke.
Dimenzije/presjek: prema projektu konstrukcije
Armatura se obračunava u zasebnim pozicijama.</t>
  </si>
  <si>
    <t>208.050.00130</t>
  </si>
  <si>
    <t>x..UF5.1..x - stanica ventila za okružujući alarm</t>
  </si>
  <si>
    <t>Dobava i ugradnja svježeg betona prema DIN EN 206-1 za izradu korita u centrali sprinklera unutar objekta. Oplata glatka sa vidljivim nakošenim rubovima u cijeni stavke. Armatura i oplata u cijeni stavke.
Dimenzije/presjek: 0,2/0,6 m
Površina: Vidljivi beton s normalnim dizajnerskim zahtjevima (SB2)</t>
  </si>
  <si>
    <t>208.060</t>
  </si>
  <si>
    <t>Stupovi</t>
  </si>
  <si>
    <t>208.060.00100</t>
  </si>
  <si>
    <t>- stupovi od armiranog betona, dimenzije [0,60 / 0,60] m; stup S14</t>
  </si>
  <si>
    <t>Dobava i ugradba betona za izvedbu armirano betonskih stupova. Svježi beton prema DIN EN 206-1. Površina glatka zbog primjene glatke neapsorbirajuće oplate s pravilno vidljivim stikovima i mjestima za čavle; betonske neravnine i srh izbrusiti.
Stup: S14
Dimenzije/presjek: [0,60/0,60] m
Visina potpornja: do [6,5] m
Razred čvrstoće: [C25/30]
Razredi izloženosti: [XC1]
Površina: kvaliteta vidnog betona SB2
Armatura i oplata se obračunavaju u zasebnim pozicijama.</t>
  </si>
  <si>
    <t>208.060.00105</t>
  </si>
  <si>
    <t>- oplata stupova</t>
  </si>
  <si>
    <t>Dobava, izrada i postava oplate armirano betonskih stupova. Oplata je glatka četverostrana (iskazana razvijena površina oplate).</t>
  </si>
  <si>
    <t>208.070</t>
  </si>
  <si>
    <t>Grede/nadvoji/atika</t>
  </si>
  <si>
    <t>208.070.00100</t>
  </si>
  <si>
    <t>- grede / nadvoji, dimenzije [0,55 / 2,08] m-L oblika; greda G111</t>
  </si>
  <si>
    <t>Dobava i ugradba betona za izvedbu armirano betonskih greda/nadvoja različitih dimenzija. Svježi beton prema DIN EN 206-1. Površina glatka zbog primjene glatke neapsorbirajuće oplate s pravilno vidljivim stikovima i mjestima za čavle; betonske neravnine i srh izbrusiti.
Greda: G111
Dimenzije/presjek: [0,55/2,08] m; L oblika
Razred čvrstoće: [C25/30]
Razredi izloženosti: [XC1]
Površina: kvaliteta vidnog betona (SB2)
Armatura i oplata se obračunavaju u zasebnim pozicijama.</t>
  </si>
  <si>
    <t>208.070.00105</t>
  </si>
  <si>
    <t>- grede / nadvoji, dimenzije [0,80 / 1,20] m-T oblika; greda G202</t>
  </si>
  <si>
    <t>Dobava i ugradba betona za izvedbu armirano betonskih greda/nadvoja različitih dimenzija. Svježi beton prema DIN EN 206-1. Površina glatka zbog primjene glatke neapsorbirajuće oplate s pravilno vidljivim stikovima i mjestima za čavle; betonske neravnine i srh izbrusiti.
Greda: G202
Dimenzije/presjek: [0,80/1,20] m; T oblika
Razred čvrstoće: [C25/30]
Razredi izloženosti: [XC1]
Površina: kvaliteta vidnog betona (SB2)
Armatura i oplata se obračunavaju u zasebnim pozicijama.</t>
  </si>
  <si>
    <t>208.070.00110</t>
  </si>
  <si>
    <t>- oplata grede/nadvoji</t>
  </si>
  <si>
    <t>Dobava, izrada i postava oplate armirano betonske grede i nadvoje. Oplata je glatka trostrana sa podupiranjem sa vidljivim nakošenim rubovima (iskazana razvijena površina oplate).
Visina podupiranja: do [4.10] m</t>
  </si>
  <si>
    <t>208.080</t>
  </si>
  <si>
    <t>Stropovi</t>
  </si>
  <si>
    <t>208.080.00100</t>
  </si>
  <si>
    <t>- armiranobetonski stropovi, debljina [20] cm</t>
  </si>
  <si>
    <t>Dobava i strojna ugradba betona prema DIN EN 206-1 za izvedbu stropnih ploča, konstrukcija malog presjeka. Površine zaglađene. U cijeni sav rad i materijal kako bi se stavka izvela do gotove funkcionalnost.
Debljina stropa: [20] cm
Razred čvrstoće: [C25/30]
Razredi izloženosti: [XC1]
Površina: kvaliteta vidnog betona (SB2)
Zahtjevi za ravnoću: DIN 18202, tablica 3, stupac 2 (neobrađene površine s većim zahtjevima)
Mjesto izvedbe: kosa krovna ploča stubišne jezgre, sa padom od 3%.
Armatura i oplata se obračunavaju u zasebnim pozicijama.</t>
  </si>
  <si>
    <t>208.080.00105</t>
  </si>
  <si>
    <t>- oplata stropa - podgled</t>
  </si>
  <si>
    <t>Izrada stropne oplate sa podupiranjem. U cijeni sav rad i materijal kako bi se stavka izvela do gotove funkcionalnost.
Visina podupiranja: [425] cm
Mjesto izvedbe: kosa krovna ploča stubišne jezgre, sa padom od 3%.</t>
  </si>
  <si>
    <t>208.080.00110</t>
  </si>
  <si>
    <t>- oplata stropa - rubna</t>
  </si>
  <si>
    <t>Izrada rubne oplate stropa. U cijeni sav rad i materijal kako bi se stavka izvela do gotove funkcionalnost.
Visina: [20] cm
Mjesto izvedbe: kosa krovna ploča stubišne jezgre, sa padom od 3%.</t>
  </si>
  <si>
    <t>208.080.00115</t>
  </si>
  <si>
    <t>- monolitizacija stropnih ošupljenih ploča</t>
  </si>
  <si>
    <t>Izrada i ugradnja betona prema DIN EN 206-1 za izvedbu tlačne ploče radi monolitizacije ošupljenih stropnih ploča. Izvedba do gotove funkcionalnosti prema pravilu struke uključivo i potrebnu rubnu oplatu.
Debljina tlačne ploče: varijabilna od [8] cm u polju, do 28 cm na rubovima
Razred čvrstoće: [C25/30]
Razredi izloženosti: [XC1]
Količina betona potrebna za monolitizaciju: 19,2 m3.
Armatura se obračunava u zasebnim pozicijama.</t>
  </si>
  <si>
    <t>208.090</t>
  </si>
  <si>
    <t>šahtovi i okna</t>
  </si>
  <si>
    <t>208.090.00100</t>
  </si>
  <si>
    <t>- Prepumpno okno</t>
  </si>
  <si>
    <t>Betoniranje prepumpnog okna svijetlog otvora vel. 220x150 cm, svijetle visine 280cm.
Betoniranje izvesti C 25/30 s dodatkom sredstva za vodonepropusnost 4,2 betacementola, izvedba u dvostranoj glatkoj oplati dubine prema potrebnoj koti dna okna.
Dno i stijenke okna su 30 cm. Unutarnje stijenke i dno ožbukati cem. mortom 1:2 do crnog sjaja. Okno je pokriveno arm. bet. pločom debljine 20 cm.
Ulaz je izveden preko ulaznog okna.
U okna se ugrađuju ljevano-željezne penjalice težine 3,5 kg na razmaku od 30 cm i ljevano-željezni poklopci sa pripadajućim okvirom dim. 600/600 mm x3 za teški promet klase C250 (250 kN).
Potrebno izvesti kinetu u prepumpnom oknu betonom C 25/30 i armiranu rabic mrežom.
Obračun se vrši po komadu kompletno izvedenog prepumpnog okna (prema detalju).</t>
  </si>
  <si>
    <t>komplet</t>
  </si>
  <si>
    <t>208.090.00105</t>
  </si>
  <si>
    <t>- revizijski šaht cestovne oborinske odvodnje DN 800</t>
  </si>
  <si>
    <t>Dobava, doprema, raznošenje duž rovova i ugradba prefabriciranih PE montažnih revizijskih okna profila DN 800. Okna mogu biti jednodjelna ili sastavljena od više dijelova, industrijski proizvedena, uključujući sidreni betonski prsten, tvornički ugrađene stube, te poklopac. Visina okana prema uzdužnom profilu. Profili kanala su DN ,300,400, a kineta, u dnu je bez kaskade. Obračun po komadu kompletno isporučenog PEHD montažnog revizijskog okna, uključujući konstrukciju gornje ploče (betonski sidreni i kompenzacijski prsteni), brtvljenja i okrugli poklopac nosivosti 400 kN.</t>
  </si>
  <si>
    <t>208.090.00110</t>
  </si>
  <si>
    <t>- revizijski šaht cestovne oborinske odvodnje DN 1000</t>
  </si>
  <si>
    <t>Dobava, doprema, raznošenje duž rovova i ugradba prefabriciranih PE montažnih revizijskih okna profila DN 1000. Okna mogu biti jednodjelna ili sastavljena od više dijelova, industrijski proizvedena, uključujući sidreni betonski prsten, tvornički ugrađene stube, te poklopac. Visina okana prema uzdužnom profilu. Profili kanala su DN ,300,400, a kineta, u dnu je bez kaskade. Obračun po komadu kompletno isporučenog PEHD montažnog revizijskog okna, uključujući konstrukciju gornje ploče (betonski sidreni i kompenzacijski prsteni), brtvljenja i okrugli poklopac nosivosti 400 kN.</t>
  </si>
  <si>
    <t>208.090.00115</t>
  </si>
  <si>
    <t>- Vodomjerno okno</t>
  </si>
  <si>
    <t>Izrada vodomjernog okna svijetle veličine 550/200 cm i svijetle visine 180 cm, s otvorom za pumpu dimenzija 60x60x60 cm. Dno i stijenke okna debljine 20 cm, beton C 25/30. Monolitna armiranobetonska ploča debljine 20 cm, beton C 25/30. Konstruktivno armirati stijenke mrežom SQ257 dvostrano.
Prije betoniranja obavezno provjeriti dimenzije vodomjernog okna sa nadležnim komunalnim poduzećem (VIO).
Beton razreda čvstoće 25/30 s dodatkom aditiva za vodonepropusnost u svostranoj glatkoj oplati. Prodor cijevi kroz zidove izvesti vodonepropusno. Cijevi obložiti katraniziranim užetom od kudelje na mjestima prolaza kroz zidove. Unutarnje stijenke obraditi vodonepropusnim premazom kao SIKALASTIC-152. Prije betoniranja, a osobito za ljetnih vrućih dana, treba drvenu oplatu i tlo obilno politi vodom da ne upijaju vodu iz betona. Dobava i montaža lijevano-željezih poklopaca. Poklopci se veličine 60/60 cm, nosivosti D400 prema EN 124:1994. U vodomjerno okno ugraditi lijevano željezne stupaljke na razmacima 30 cm. Obračun se vrši po komadu kompletno izvedenog vodomjernog okna, uključivo i oplatu zidova i ploča, sa podupiranjem, te sve prenose.
U stavku je uključena priprema i montaža rasvjetnog mjesta sukladno KaBa 2024 sa potopnom pumpom i lijevano željeznom rešetokom 400x400m do potpune funkcionalnosti.</t>
  </si>
  <si>
    <t>208.100</t>
  </si>
  <si>
    <t>Stubište (podesti, međupodesti i krakovi)</t>
  </si>
  <si>
    <t>208.100.00100</t>
  </si>
  <si>
    <t>- Stubište od armiranog betona</t>
  </si>
  <si>
    <t>Dobava i strojna ugradba betona prema DIN EN 206-1 za izvedbu podesta, međupodesta i krakova, konstrukcija malog presjeka. Površine zaglađene. U cijeni sav rad i materijal kako bi se stavka izvela do gotove funkcionalnost.
Debljina stropa podesta/međupodesta: [20] cm
Debljina stubišnog kraka: [15] cm
Širina stubišnog kraka: [120] cm
Dimenzije gazišta: [17,3/28] cm
Razred čvrstoće: [C25/30]
Razredi izloženosti: [XC1]
Zahtjevi za ravnoću: DIN 18202, tablica 3, stupac 2 (neobrađene površine s većim zahtjevima)
Površina: kvaliteta vidnog betona (SB2)
Armatura i oplata se obračunavaju u zasebnim pozicijama.</t>
  </si>
  <si>
    <t>208.100.00105</t>
  </si>
  <si>
    <t>- oplata stubišta, podgled podesta, međupodesta i krakova, rubna oplata i oplata gazišta</t>
  </si>
  <si>
    <t>Dobava, izrada i postava oplate podgleda podesta, međupodesta i krakova stubišta u glatkoj oplati s pravilnim stikovima i mjestima za čavle, uključujući skošene rubove. U cijeni sva razupiranja i podupiranja. Izvedba do gotove funkcionalnosti.
Dobava, izrada i postava rubne oplate podesta, međupodesta i krakova te oplate gazišta u glatkoj oplati s pravilnim stikovima i mjestima za čavle, uključujući skošene rubove. U cijeni sva razupiranja i podupiranja. Izvedba do gotove funkcionalnosti.</t>
  </si>
  <si>
    <t>208.110</t>
  </si>
  <si>
    <t>Spremnik vode za sprinkler</t>
  </si>
  <si>
    <t>208.110.00100</t>
  </si>
  <si>
    <t>x..WSP1..x - betonske podloge od nearmiranog betona, debljina [8] cm</t>
  </si>
  <si>
    <t>Izrada betonske podloge od nearmiranog betona ispod temeljne ploče. Zaglađivanje gornjeg sloja.
Debljina: 8 cm
Razred čvrstoće: C12/15</t>
  </si>
  <si>
    <t>208.110.00105</t>
  </si>
  <si>
    <t>x..WSP1..x - armiranobetonska podna ploča, debljina [50] cm</t>
  </si>
  <si>
    <t>Dobava i strojna ugradnja armiranog betona sa dodatkom za vodonepropusnost u temeljnu ploču sprinkler bazena. Svježi beton prema DIN EN 206-1.
Debljina: [50] cm
Razred čvrstoće: C30/37
Razredi izloženosti: XC2
Razredi izloženosti: [XC3, WU, WF]
WU razred uporabe: B (dopuštena su vlažna mjesta)
WU razred opterećenja: 2 (vlažnost tla, procjedna voda se ne zadržava na površini)
Zahtjevi za ravnoću: DIN 18202, tablica 3, stupac 2 (neobrađene površine s većim zahtjevima)
Armatura i oplata se obračunavaju u zasebnim pozicijama.</t>
  </si>
  <si>
    <t>208.110.00110</t>
  </si>
  <si>
    <t>x..WSP1..x - armiranobetonski zidovi, debljine [30] cm</t>
  </si>
  <si>
    <t>Dobava i strojna ugradnja armiranog betona sa dodatkom za vodonepropusnost u zidove sprinkler bazena. Svježi beton prema DIN EN 206-1.
Debljina: [30] cm
Razred čvrstoće: [C30/37]
Razredi izloženosti: [XC3, WU, WF]
WU razred uporabe: B (dopuštena su vlažna mjesta)
WU razred opterećenja: 2 (vlažnost tla, procjedna voda se ne zadržava na površini)
Površina: kvaliteta vidnog betona (SB1)
Armatura i oplata se obračunavaju u zasebnim pozicijama.</t>
  </si>
  <si>
    <t>208.110.00115</t>
  </si>
  <si>
    <t>x..WSP1..x - armiranobetonski stupovi, dimenzije [0,5 / 0,5] m</t>
  </si>
  <si>
    <t>Dobava i strojna ugradnja armiranog betona sa dodatkom za vodonepropusnost u stupove sprinkler bazena. Svježi beton prema DIN EN 206-1.
Dimenzije/presjek: [0,5/0,5] m
Razred čvrstoće: [C30/37]
Razredi izloženosti: [XC3, WU, WF]
WU razred uporabe: B (dopuštena su vlažna mjesta)
WU razred opterećenja: 2 (vlažnost tla, procjedna voda se ne zadržava na površini)
Površina: kvaliteta vidnog betona (SB1)
Armatura i oplata se obračunavaju u zasebnim pozicijama.</t>
  </si>
  <si>
    <t>208.110.00120</t>
  </si>
  <si>
    <t>x..WSP1..x - armiranobetonske grede, dimenzija [0,72 / 0,40] m</t>
  </si>
  <si>
    <t>Dobava i strojna ugradnja armiranog betona sa dodatkom za vodonepropusnost u grede sprinkler bazena. Svježi beton prema DIN EN 206-1.
Dimenzije/presjek: [0,72/0,40] m
Razred čvrstoće: [C30/37]
Razredi izloženosti: [XC3, WU, WF]
WU razred uporabe: B (dopuštena su vlažna mjesta)
WU razred opterećenja: 2 (vlažnost tla, procjedna voda se ne zadržava na površini)
Površina: kvaliteta vidnog betona (SB1)
Armatura i oplata se obračunavaju u zasebnim pozicijama.</t>
  </si>
  <si>
    <t>208.110.00125</t>
  </si>
  <si>
    <t>x..WSP1..x - armiranobetonski strop, debljina [30] cm</t>
  </si>
  <si>
    <t>Dobava i strojna ugradnja armiranog betona sa dodatkom za vodonepropusnost u strop sprinkler bazena. Svježi beton prema DIN EN 206-1.
Debljina: [30] cm
Razred čvrstoće: [C30/37]
Razredi izloženosti: [XC3, WU, WF]
WU razred uporabe: B (dopuštena su vlažna mjesta)
WU razred opterećenja: 2 (vlažnost tla, procjedna voda se ne zadržava na površini)
Površina: kvaliteta vidnog betona (SB1)
Armatura i oplata se obračunavaju u zasebnim pozicijama.</t>
  </si>
  <si>
    <t>208.110.00130</t>
  </si>
  <si>
    <t>x..WSP1..x - okno potopne pumpe</t>
  </si>
  <si>
    <t>Dobava materijala i izvedba armiranobetonskog okna potopne pumpe. Konstruktivni elementi od kojih se sastoji izvedba:
- podna temeljna ploča
- zidovi
Svijetle dimenzije okna: [1,50/3,70] m
Svijetla dubina okna: [0,90] m
Debljina zida: [0,30] m
Debljina temeljne ploče: [0,50] m
Površina: kvaliteta vidnog betona (SB1)
Armatura se obračunava u zasebnim pozicijama.
Radovi koje je potrebno obuhvatiti stavkom do gotove funkcionalnosti:
- beton: dobava i strojna ugradba prema DIN EN 206-1 sa dodatkom za vodonepropusnost (temeljna ploča; zidovi) V=[xxx] m3
Razred čvrstoće: [C30/37]
Razredi izloženosti: [XC2, WF]
- rubna oplata, rubovi nakošeni P= [6,0] m2
- dvostrana oplata zidova, rubovi nakošeni P=[11,0] m2</t>
  </si>
  <si>
    <t>208.110.00135</t>
  </si>
  <si>
    <t>x..WSP1..x - ulazna šahta</t>
  </si>
  <si>
    <t>Dobava materijala i izvedba ulaznog šahta u sprinkler bazen.
Svijetle dimenzije: [0,80/0,80] m
Svijetla visina: [0,55] m
Debljina zida: [0,15] m
Razred čvrstoće: [C30/37]
Razredi izloženosti: [XC3]
WU razred uporabe: B (dopuštena su vlažna mjesta)
WU razred opterećenja: 2 (vlažnost tla, procjedna voda se ne zadržava na površini)
Radovi koje je potrebno obuhvatiti stavkom do gotove funkcionalnosti:
- beton: dobava i strojna ugradba prema DIN EN 206-1 sa dodatkom za vodonepropusnost (zidovi) V=[xxx] m3
Razred čvrstoće: [C25/30]
Razredi izloženosti: [XC2, WF]
- dvostrana oplata zidova, rubovi nakošeni P=[4,50] m2
- poklopac 90x90cm, razred D, vodonepropusna izvedba: [2] kom</t>
  </si>
  <si>
    <t>208.110.00140</t>
  </si>
  <si>
    <t>x..WSP1..x - armiranobetonska temeljna ploča-oplata, debljina [50] cm</t>
  </si>
  <si>
    <t>Dobava, izrada i postava oplate temeljne ploče sprinkler bazena. Debljina ploče 30cm. U cijeni sav rad, materijal kako bi se stavka izvela do gotove funkcionalnosti.</t>
  </si>
  <si>
    <t>208.110.00145</t>
  </si>
  <si>
    <t>x..WSP1..x - armiranobetonski zidovi i stupovi-oplata, debljina [30] cm</t>
  </si>
  <si>
    <t>Dobava, izrada i postava oplate za zidove i stupova sprinkler bazena u glatkoj dvostranoj i četverostranoj oplati uključivo i zidove šahte ulaza. U cijeni sva razupiranja i podupiranja. U cijeni sav rad, materijal kako bi se stavka izvela do gotove funkcionalnosti.</t>
  </si>
  <si>
    <t>208.110.00150</t>
  </si>
  <si>
    <t>x..WSP1..x - armiranobetonske grede-oplata, debljina [40] cm</t>
  </si>
  <si>
    <t>Dobava, izrada i postava oplate greda sprinkler bazena Debljina ploče 30cm. U cijeni sav rad, materijal kako bi se stavka izvela do gotove funkcionalnosti.</t>
  </si>
  <si>
    <t>208.110.00155</t>
  </si>
  <si>
    <t>x..WSP1..x - armiranobetonska stropna ploča-oplata sa podupiranjem, debljina [30] cm</t>
  </si>
  <si>
    <t>Dobava, izrada i postava oplate stropne ploče sprinkler bazena. U cijeni sav rad, materijal kako bi se stavka izvela do gotove funkcionalnosti.
_oplata sa podupiranjem na visini do 2,50 m</t>
  </si>
  <si>
    <t>208.110.00160</t>
  </si>
  <si>
    <t>x..WSP1..x - beton za pad iznad ploče sprinkler bazena, debljina [5-10] cm</t>
  </si>
  <si>
    <t>Izvedba betona za pad debljine 5-10cm iznad ab ploče sprinkler bazena. U cijenu uključena oplata i sav materijal i rad da se stavka izvede do funkcionalne gotovosti.</t>
  </si>
  <si>
    <t>208.110.00165</t>
  </si>
  <si>
    <t>x... WSP1 - Ispitnivanje spremnika vode za sprinkler uz max punjenje 2 tjedna</t>
  </si>
  <si>
    <t>Ispitivanje nepropusnosti spremnika uz maksimalno punjenje tijekom 2 tjedna, uklj. prethodno čišćenje spremnika, dovod vode i prvo punjenje.</t>
  </si>
  <si>
    <t>208.110.00170</t>
  </si>
  <si>
    <t>x..WSP1..x - Provodi cijevi sprinkler bazena</t>
  </si>
  <si>
    <t>Provodi cijevi sprinkler bazena za sve potrebne priključke kroz zidove i stropove,uključujući potrebne mjere brtvljenja. NAPOMENA: u cijenu uključiti naknadno bušenje zida te brtvu ROXTEC brtveni elementi.
_PEHD Ø150</t>
  </si>
  <si>
    <t>208.110.00175</t>
  </si>
  <si>
    <t>Sve isto kao i stavka 208.110.00170 samo cijev Ø20 (kabelska cijev)</t>
  </si>
  <si>
    <t>208.110.00180</t>
  </si>
  <si>
    <t>Sve isto kao i stavka 208.110.00170 samo cijev Ø80</t>
  </si>
  <si>
    <t>208.110.00185</t>
  </si>
  <si>
    <t>Sve isto kao i stavka 208.110.00170 samo cijev Ø150</t>
  </si>
  <si>
    <t>208.120</t>
  </si>
  <si>
    <t>Konstrukcijska ojačanja</t>
  </si>
  <si>
    <t>208.130</t>
  </si>
  <si>
    <t>Obnova betona i fuga</t>
  </si>
  <si>
    <t>208.140</t>
  </si>
  <si>
    <t>Izolacije i brtve</t>
  </si>
  <si>
    <t>208.140.00100</t>
  </si>
  <si>
    <t>- Izolacija na zidovima, debljina [120] mm, XPS</t>
  </si>
  <si>
    <t>Dobava i postava izolacije u zemlji na zidovima i temeljima od XPS tvrde pjene (ekstrudirani polistirol) prema DIN EN 13164 sa preklopom. Ugradnja prema uputama proizvođača. Izvedba do gotove funkcionalnosti.
Debljina izolacije: [120] mm
Toplinska vodljivost: [0,030] W/mK
Mjesto oblaganja: fasadni sokl po obodu objekta</t>
  </si>
  <si>
    <t>208.140.00105</t>
  </si>
  <si>
    <t>- Izolacija na zidovima, debljina [80] mm, XPS</t>
  </si>
  <si>
    <t>U svemu kao stavka 208.140.00100 samo:
Debljina izolacije: [80] mm
Toplinska vodljivost: [0,030] W/mK
Mjesto oblaganja: vertikalno oblaganja zidova (strana prema tlu) pretovarnog mosta</t>
  </si>
  <si>
    <t>208.140.00110</t>
  </si>
  <si>
    <t>- Izolacija od negorivog materijala A1 iza fasadne obloge (monijerke)</t>
  </si>
  <si>
    <t>Dobava i postava izolacijske obloge iza fasadne obloge (monijerke). Izolacija postavljena tiplanjem i ljepljenem na zid prema pravilu struke, odnosno uputama proizvođača. Izvedba do potpune gotovosti sa svim elementima.
Reakcija na požar: A1
Toplinska izolacija: [120] mm, [ tip kao Rockwool Fixrock 33VF].
Mjesto oblaganja: fasadni sokl po obodu objekta</t>
  </si>
  <si>
    <t>208.140.00115</t>
  </si>
  <si>
    <t>- Izolacija ispod podnih ploča, debljina [80] mm, XPS</t>
  </si>
  <si>
    <t>Dobava i postava izolacije u zemlji, ispod podnih ploča od XPS tvrde pjene (ekstrudirani polistirol) prema DIN EN 13164 sa preklopom. Ugradnja prema uputama proizvođača. Izvedba do gotove funkcionalnosti.
Debljina izolacije: [80] mm
Toplinska vodljivost: [0,030] W/mK
Mjesto oblaganja: ispod podnih ploča
XPS se izvodi u širini od 5 m po vanjskom obodu podne ploče.</t>
  </si>
  <si>
    <t>208.140.00120</t>
  </si>
  <si>
    <t>x..WSP1..x - Brtvljenje radnih prekida sprinkler bazena</t>
  </si>
  <si>
    <t>Brtvljenje radnih prekida - spojeva AB temeljne ploče i vanjskih AB zidova sprinkler bazena i šahte niskog napona.
Brtvljenje vršiti ugradnjom DRACO WATERSTOP 500 trake. Traka se sastoji od 75% prirodnog natrijevog bentonita i 25% butil gume, presjeka 25 x 20 mm. Waterstop traka se mehanički pričvršćuje za podlogu preko pocinčane mrežice. Waterstop traka treba biti pokrivena s najmanje 7,5 cm zdravog betona sa svake strane.
Svi detalji se izvode prema uputstvima proizvođača. Postava i izrada prema uputama proizvođača do gotove funkcionalnosti i prema pravilu struke. Obračun po m1 ugrađene trake.</t>
  </si>
  <si>
    <t>m1</t>
  </si>
  <si>
    <t>208.140.00125</t>
  </si>
  <si>
    <t>x..WSP1..x - unutarnja hidroizolacija sprinkler bazena</t>
  </si>
  <si>
    <t>Dobava materijala i izvođenje unutarnje hidroizolacije sprinkler bazena dvokomponentnim polimercementnim hidroizolacijskim premazom DRACO LASTIC 150 uključivo i korito u sprinkler stanici. Proizvod se nanosi na čistu i čvrstu podlogu betona u dva sloja u svemu prema uputstvu proizvođača. Premaz se izvodi u dva sloja s ukupnim utroškom od 4,0 kg/m2. Izolira se pod sa zidom prema projektu. Hidroizolacija se uz zidove podiže u visini od 10cm iznad kote najvišeg nivoa vode.</t>
  </si>
  <si>
    <t>208.140.00130</t>
  </si>
  <si>
    <t>x..WSP1..x - Brtvljenje spojeva sprinkler bazena</t>
  </si>
  <si>
    <t>Brtvljenje spojeva između horizontalnih i vertikalnih površina te na sudaru (zid-zid; zid-pod) sprinkler bazena ugradnjom brtvene trake od pletenog poliestera u sredini ojačanog sa gumenom trakom DRACO BAND 100. Postava i izrada prema uputama proizvođača do gotove funkcionalnosti i prema pravilu struke.</t>
  </si>
  <si>
    <t>208.150</t>
  </si>
  <si>
    <t>Ostalo</t>
  </si>
  <si>
    <t>208.150.00100</t>
  </si>
  <si>
    <t>- otvori za vrata do 1,17 / 2,16 m</t>
  </si>
  <si>
    <t>Otvor u zidu za vrata na gore navedenim zidnim elementima do veličine od 1,17/2,16 m izraditi, uklj. nakošene rubove.</t>
  </si>
  <si>
    <t>208.150.00105</t>
  </si>
  <si>
    <t>- otvori za prozore do 0,6 / 3,0 m ili 3,0 / 0,6 m</t>
  </si>
  <si>
    <t>Otvor u zidu za prozore na gore navedenim zidnim elementima do veličine od 0,6/3,0 m ili 3,0/0,6 m izraditi, uklj. nakošene rubove.</t>
  </si>
  <si>
    <t>208.150.00110</t>
  </si>
  <si>
    <t>- otvori poda do 0,05 m2</t>
  </si>
  <si>
    <t>Otvore u podu za gore navedene Podne ploče do veličine od 0,05 m2 izraditi, uklj. zatvaranje otvora nakon dovršene instalacije.</t>
  </si>
  <si>
    <t>208.150.00115</t>
  </si>
  <si>
    <t>- otvori poda do 0,25 m2</t>
  </si>
  <si>
    <t>Otvore u podu za gore navedene Podne ploče do veličine od 0,25 m2 izraditi, uklj. zatvaranje otvora nakon dovršene instalacije.</t>
  </si>
  <si>
    <t>208.150.00120</t>
  </si>
  <si>
    <t>- otvori poda do 1,0 m2</t>
  </si>
  <si>
    <t>Otvore u podu za gore navedene Podne ploče do veličine od 1,0 m2 izraditi, uklj. zatvaranje otvora nakon dovršene instalacije.</t>
  </si>
  <si>
    <t>208.150.00125</t>
  </si>
  <si>
    <t>- otvori zida do 0,05 m2</t>
  </si>
  <si>
    <t>Otvore u zidu za gore navedene zidne elemente do veličine od 0,05 m2 izraditi, uklj. zatvaranje otvora nakon dovršene instalacije.</t>
  </si>
  <si>
    <t>208.150.00130</t>
  </si>
  <si>
    <t>- otvori zida do 0,25 m2</t>
  </si>
  <si>
    <t>Otvore u zidu za gore navedene zidne elemente do veličine od 0,25 m2 izraditi, uklj. zatvaranje otvora nakon dovršene instalacije.</t>
  </si>
  <si>
    <t>208.150.00135</t>
  </si>
  <si>
    <t>- otvori zida do 1,0 m2</t>
  </si>
  <si>
    <t>Otvore u zidu za gore navedene zidne elemente do veličine od 1,0 m2 izraditi, uklj. zatvaranje otvora nakon dovršene instalacije.</t>
  </si>
  <si>
    <t>208.150.00140</t>
  </si>
  <si>
    <t>- otvori stropa do 0,05 m2</t>
  </si>
  <si>
    <t>Otvore u stropu za gore navedene stropne elemente do veličine od 0,05 m2 izraditi, uklj. zatvaranje otvora nakon dovršene instalacije.</t>
  </si>
  <si>
    <t>208.150.00145</t>
  </si>
  <si>
    <t>- otvori stropa do 0,25 m2</t>
  </si>
  <si>
    <t>Otvore u stropu za gore navedene stropne elemente do veličine od 0,25 m2 izraditi, uklj. zatvaranje otvora nakon dovršene instalacije.</t>
  </si>
  <si>
    <t>208.150.00150</t>
  </si>
  <si>
    <t>- otvori stropa do 1,0 m2</t>
  </si>
  <si>
    <t>Otvore u stropu za gore navedene stropne elemente do veličine od 1,0 m2 izraditi, uklj. zatvaranje otvora nakon dovršene instalacije.</t>
  </si>
  <si>
    <t>208.150.00160</t>
  </si>
  <si>
    <t>x... BS1 - prag od armiranog betona, duljina do 2,5 m</t>
  </si>
  <si>
    <t>Prag od armiranog betona, oplate izraditi prema odabiru izvođača na unutarnjim stranama vrata, armaturu konstrukcije i spojnu armaturu isporučiti i ugraditi, svježi beton prema DIN EN 206-1 isporučiti, pravilno ugraditi, zabrtviti i poravnati površinu, uklj. glatke oplate za vidljive površine, nakošene rubove.
Debljina: prema mjestu ugradnje
Dužina: do 2,5 m
Visina od neobrađenog poda ili stropa: ca. 0,2 m (10 cm iznad gotovog poda)</t>
  </si>
  <si>
    <t>208.150.00170</t>
  </si>
  <si>
    <t>- trafostanica</t>
  </si>
  <si>
    <t>Dobava i postava trafostanice TS TIP DTS 12(24)-2x630(1000)kVA-KK,a sve prema građevinskom projektu trafostanice. Izvedba do gotove funkcionalnosti. Cijenom obuhvatiti:
1. Betoniranje betonske podloge betonom C12/15 prosječne debljine 10 cm ispod temeljne ploče. Količina: 2,60m3
2. Dobava i ugradnja betonskih ploča 40/40/4 cm u sloju pjeska deblj. 4 cm, oko objekta na pripremljen isplaniran sloj šljunka. Reške zaliti cem. mortom. Količina: 13,10m2
3. Betoniranje arm. bet. montažnog temelja – korita, Sastavljenog iz dva dijela, vodonepropusnim betonom C30/37 uključivo zavarenu armaturu i glatku oplatu. Tlocrtna veličina dna 494x474 cm, debljine10 cm. Obodni zidovi su visine 80cm, debljine 10-7 cm, a pregradni zid visine 30 cm. Uračunata izrada otvora za uvod kablova, interni transport i sve potrebno do potpune dovršenosti. Količina: 1kpl
4. Betoniranje montažnih armirano betonskih elemenata kućišta trafostanice vodonepropusnim betonom C30/37, uključivo potrebnu glatku oplatu, svu armaturu međusobno varenu, te ugradnju svih potrebnih bravarskih elemenata varenjem na armaturu. Uključeni svi interni transporti, pomoćne radne platforme, te sve potrebno za montažu elemenata u dovršeno kućište, spremno za transport. Oblik i veličina elemenata prema nacrtima, a u sastav arm.bet. kućišta ulaze: podna ploča vel. 474 x 494 x 12 cm, iz dva dijela, stropna ploča vel. 512 x 532 cm, debljine 7-13 cm, sa rubnom gredom, fasadni zidovi debljine 8 cm, 2 komada vel. 496 x 246 cm, 2 komada 468 x 246 cm, te pregradni zidovi vel. 460 x 245 cm i 220 x 245 cm. Obrada vanjske plohe zidova je prani kulir ugrađen u fazi betoniranja, a sve ostale plohe glatki beton. Zaštitni sloj na svim vanjskim plohama izvesti min. 2,5 cm Količina: 1kpl
5. Utovar, transport na lokaciju, te istovar i montaža Trafostanice na pripremljen podložni beton. Količina: paušal
6. Izrada i ugradnja finog cementnog morta omjera 1:3 u rešku između zida temeljnog korita i podne ploče trafostanice, te fugiranje nakon položenog kućišta. Zid debljine 7 cm. Količina: 27,40m1
7. Pripomoć kod ugradnje aluminijske bravarije: dovratnici 155 x 220 cm, 2 komada, 100 x 220 cm, 1 komad, te fiksna rebrenica 160x 60 cm. Količina: paušal
8. Izrada premaza krovne ploče u dva sloja „RENOFLEX“-om, ili sličnim materijalom, sa svim pomoćnim radovima, u svemu prema uputstvu proizvođača Količina: 27,30m2
9. Montaža armiranobetonskih elemenata građevine na gradilištu, uključivo međusobno spajanje varenjem čeličnih sidrenih elemenata, te sve pomoćne radove i materijal. Količina: paušal
10. Izrada vodonepropusnog spoja reške između elemenata temeljnog korita kod otvora, te krovnih elemenata, ugradnjom BITRAX trake i trajnoelastičnog kita Količina: 8,0m1
11. Izrada i montaža opšava ruba sljemena aluminijumskim limom razvijene širine 25/20 cm i debljine d = 1 mm. Rubove potkitati trajnoelastičnim kitom i učvrstiti pocinčanim vijcima sa plastičnom podloškom. Količina: 5,20 m.
12. Izrada, dostava i montaža dvokrilnih vrata od eloksiranog aluminija proizvodne mjere 154x219,5 cm, ( svijetla mjera 143x214 cm ), sa ventilacionim rebrenicama visine 60 cm, uz donji i gornji rub vratnih krila. Prag je čelični, antikorozivno zaštićen kutnik 40x40x4 mm, ugrađen kod betoniranja, varenjem za armaturu. Ispuna krila je dvostruki, međusobno poliuretanom kaširan, eloksirani aluminijski lim. Na rebrenice, s unutarnje strane, ugraditi aluminijsku zaštitnu mrežicu s otvorima 3 mm. Ugradnja vruće pocinčanim vijcima za čelična ubetonirana sidra. Brava je cilindrična, sa mogućnošću otvaranja iznutra bez ključa. Sav okov i pomoćni pribor mora biti kompatibilan sa eloksiranim aluminijem, ili zaštićen na kontaktnim plohama radi sprečavanja korozije izazvane razlikom potencijala materijala u vlažnoj atmosferi. ( Poz. 1 ) - 1kom
13. Kao stavka 12., samo jednokrilna vrata od eloksiranog aluminija, proizvodne mjere 99x219,5 cm, svijetla mjera 88x214 cm. Ugraditi okov za fiksiranje vratnog krila u otvorenom položaju. ( Poz. 2. ) - 3kom
14. Izrada, dostava i montaža ventilacione rebrenice od eloksiranog aluminija proizvodne mjere 159x59 cm, sa zaštitnom aluminijumskom mrežicom iznutra. Ugradnja vruće pocinčanim vijcima na čelična cjevasta, ubetonirana sidra. ( Poz. 3 ) - 2kom
15. Izrada, dostava i montaža ventilacione mreže od aluminijumskog istegnutog lima „Z“ oblika, razvijene širine 25 cm, ugradnja na otvoru visine 15 cm, između stropne ploče i zidova pričvršćenjem vijcima na cjevasta ubetonirana sidra. Otvori mreže 3 mm. Spoj pojedinih elemenata preklopom na mjestu učvršćenja. Dodirno mjesto između aluminija i pocinčanog željeza zaštititi nakon učvršćenja, temeljnom bojom i slojem laka. Količina: 9,0m
16. Izrada, dostava i montaža poklopca montažnog otvora od rebrastog čeličnog lima debljine 5 mm, sa okvirom od kutnika 40x40x3 m i privarenim ležajnim kutnikom 15x15x3 mm. Ugradnja okvira kod betoniranja Učvršćivanjem, vareno za armaturu. Otvor veličine 70x197 cm, a poklopac izraditi u dva jednaka dijela, sa otvorima za podizanje. Sve kompletno antikorozivno obraditi. Količina: 2,0kom
17. Izrada i montaža poklopca veličine 20x20 cm, za zatvaranje mjernog otvora od aluminijumskog lima debljine 3 mm, sa povinutim rubom radi nalijeganja na plohu fasade. S unutarnje strane predviđena je traka plosnatog pocinčanog željeza 40x4 ... 250 mm. Učvrščenje pocinčanim vijkom kroz otvore u sredini pokrovnog lima i plosnatog profila, pritezanjem s unutarnje strane leptir-maticom ( prema detalju ). Količina: 1,0kom
18. Izrada i montaža varenjem na armaturu, prije betoniranja, potpora nosača transformatora od UPN 80, dužine 180 cm. Uračunata antikorozivna zaštita. Količina: 4,0kom
19. Izrada nosača transformatora od UPN 100, dužine 220 cm, zajedno sa priborom za učvršćenje na ubetoniranim potporama. Uračunata antikorozivna zaštita. Količina: 4,0kom
20. Izrada i ugradnja elemenata za uzemljenje, od pocinčane željezne trake 4x40 mm, dužine prema nacrtu. Ugradnja po dva komada u dijagonalnim uglovima podne ploče i temeljne kade, varenjem za armaturu, te dva komada u temeljnoj kadi pri dnu, kod revizionog otvora, tako da sa vanjske i unutarnje strane ostane slobodan dio, prema nacrtu. Količina: 6,50 m.
21. Izrada i ugradnja čeličnih sidrenih elemenata za međusobne spojeve betonskih elemenata varenjem za armaturu, te međusobno spajanje varenjem. Izrada prema detaljima. Uračunata antikorozivna zaštita vidljivih dijelova. Količina: 140 kg.
22. Izrada i ugradnja držača kabela od vruće pocinčanog plosnog željeza 5x40 mm, razvijene dužine 60,5 cm, sa priborom za učvršćenje, kojeg čine vijci sa pločicama, ugrađeni u „C“ profile 20x50 mm, ubetonirane u fasadni element na razmaku 50 cm i omogućavaju pomak učvrsnog profila 40 cm, po vertikali. Količina: 1,0 garnitura
23. Izrada i montaža poklopca od rebrastog lima 4-5 mm, veličine 90 x 30cm, sa privarenim odstojnicima na donjoj strani za otvor u betonu širine 25 cm.
Poklopac ugraditi na dijelu kanala za niskonaponski razvod u slučaju kad ormari nisu predviđeni nad cijelom dužinom kanala. Točnu mjeru i broj komada odrediti kod montaže objekta. Količin: 2,0 kom
24. Bojanje unutarnjih ploha betonskih zidova i plafona bijelom disperzivnom bojom sa potrebnim prethodnim predradnjama. Količina: 105,0m2
25. Bojanje ruba krovne ploče fasadnom bojom sa potrebnim predradnjama po uptstvu proizvođača. Količina: 7,0m2
26. Jednokratni premaz temeljnom bojom i lakiranje svih vidljivih dijelova čelične bravarije Količina: 18,0m2
27. Dobava i postava uljne jame od nepropusnih betonskih montažnih korita ispod transformatora HEP-a. Dimenzija uljne jame šire za 20cm po dužini i širini otvoru ispod transformatora. Uljnu jamu je potrebno obraditi odgovarajućim materijalom prema uputi tehnologa kako bi se postigla neppropusnost iste. Količina: 1kpl
28. Izrada, doba i postava fiksne žičane pregrade u prostoriji srednjeg napona visine 2,0m, duljine 2,60m. Okvir izveden od čeličnih pravokutnih ili kadratnih profila koji je ispunjen metalnom mrežom vel.oka 3/3cm, profil žice okrugli dim. 5mm. Količina: 1kpl
29. Podložni beton, debljine 10cm uključiti u cijenu stavke.
Sve prema građevinskom projektu trafostanice (MAPA br. 12-glavni projekt.
NAPOMENA: Stavka obuhvaća sve navedene radove (28 podstavki), zemljani radovi nisu obuhvaćeni ovom stavkom (zasebna stavka ovog troškovnika u sklopu zemljanih radova).</t>
  </si>
  <si>
    <t>kpl</t>
  </si>
  <si>
    <t>209</t>
  </si>
  <si>
    <t>Montažna konstrukcija</t>
  </si>
  <si>
    <t>209.000</t>
  </si>
  <si>
    <t>209.010</t>
  </si>
  <si>
    <t>Armatura i ugradbeni dijelovi</t>
  </si>
  <si>
    <t>209.020</t>
  </si>
  <si>
    <t>209.030</t>
  </si>
  <si>
    <t>Sokl i zidovi</t>
  </si>
  <si>
    <t>209.030.00105</t>
  </si>
  <si>
    <t>x..SFS1..x - Fasadni sokl - rubnjak 8/50/99 cm - ravni</t>
  </si>
  <si>
    <t>UGRADNJA armiranobetonskog fasadnog sokla - rubnjaka (ravni) po obodu zgrade, od gotovih betonskih elemenata, dimenzije prema fasadnom nacrtu. Izvedba do potpune gotovosti sa svim elementima.
Rubnjake staviti na raspolaganje i obavljanje formalne primopredaje izvođaču građevinsko-obrtničkih radova.
Dimenzije: debljine 8,0 cm, visine 50,0 cm i dužine 99cm
Rubnjak: vidni beton gladak, spreman za ličilačku obradu, kvaliteta vidnog betona SB4.
Razred čvrstoće: C30/37
Razredi izloženosti: XC4, XD1, XF1
Mjesto ugradbe: sokl objekta
Rubnjak se oslanja na monolitnu betonsku podlogu izvedenu na nasipu šljunka, drobljenog kamenog materijala i/ili sl. Armatura, oplata, kantiranje, spojni elementi i brtvljenje uračunati u cijenu gotovog montažnog elementa.</t>
  </si>
  <si>
    <t>209.030.00110</t>
  </si>
  <si>
    <t>x..SFS4a..x - Fasadni sokl - grupa rubnjaka 8/50/&lt;80 cm - ravni</t>
  </si>
  <si>
    <t>Stavka uključuje slijedeće rubnjake prema oznaci u grafičkom prilogu u svemu jednake kao stavka 209.030.00105 osim navedene duljine i fuge:
S4.04-59cm
S4.06-69,5cm
S4.15- 53,5cm
S4.17-40,5cm
S4.18-68cm, fuga
S4.19-66cm
S4.26-73cm
S4.38-67cm</t>
  </si>
  <si>
    <t>209.030.00115</t>
  </si>
  <si>
    <t>x..SFS4a..x - Fasadni sokl - grupa rubnjaka 8/50/80-130 cm - ravni</t>
  </si>
  <si>
    <t>Stavka uključuje slijedeće rubnjake prema oznaci u grafičkom prilogu u svemu jednake kao stavka 209.030.00105 osim navedene duljine i fuge:
S2-109,0cm
S4.03-124cm, fuga
S4.05-83,5cm
S4.07-113,5cm, fuga
S4.11-80cm, fuga
S4.12-87,5cm
S4.13-86,5cm
S4.14-122,5cm, fuga
S4.20-86cm
S4.22-86cm
S4.24-93cm
S4.28-89,5cm
S4.30-86cm
S4.32-92cm
S4.34-88cm
S4.36-96,5cm
S4.39-127cm, fuga
S4.40-121,5cm, fuga</t>
  </si>
  <si>
    <t>209.030.00120</t>
  </si>
  <si>
    <t>x..SFS4a..x - Fasadni sokl - grupa rubnjaka 8/50/≥130 cm - ravni</t>
  </si>
  <si>
    <t>Stavka uključuje slijedeće rubnjake prema oznaci u grafičkom prilogu u svemu jednake kao stavka 209.030.00105 osim navedene duljine i postojanja fuge:
S4.01-132,5cm, fuga
S4.02-135cm, fuga
S4.10-143,5cm, fuga
S4.16-180cm, fuga
S4.21-141,5cm, fuga
S4.23-140cm, fuga
S4.25-134cm, fuga
S4.27-130cm, fuga
S4.29-137,5cm, fuga
S4.31-141cm, fuga
S4.33-135cm, fuga
S4.35-141cm, fuga
S4.37-134,5cm, fuga</t>
  </si>
  <si>
    <t>209.030.00125</t>
  </si>
  <si>
    <t>x..SFS1..x - Fasadni sokl - rubnjak 8/50 - "U" oblika</t>
  </si>
  <si>
    <t>UGRADNJA armiranobetonskog fasadnog sokla - rubnjaka "U" oblika na mjestu fasadnih stupova (osa F), od gotovih betonskih elemenata, dimenzije prema fasadnom nacrtu. Izvedba do potpune gotovosti sa svim elementima.
Rubnjake staviti na raspolaganje i obavljanje formalne primopredaje izvođaču građevinsko-obrtničkih radova.
Dimenzije: debljine 8,0 cm, visine 50,0 cm
širina/dužina "C U" oblika 104/44 cm
Rubnjak: vidni beton gladak, spreman za ličilačku obradu, kvaliteta vidnog betona SB4.
Razred čvrstoće: C30/37
Razredi izloženosti: XC4, XD1, XF1
Mjesto ugradbe: sokl objekta
Rubnjak se oslanja na monolitnu betonsku podlogu izvedenu na nasipu šljunka, drobljenog kamenog materijala i/ili sl. Armatura, oplata, kantiranje, spojni elementi i brtvljenje uračunati u cijenu gotovog montažnog elementa.
Ponuditi sve prema projektu konstrukcije i ostaloj projektnoj dokumentaciji koja je sastavni dio troškovnika.</t>
  </si>
  <si>
    <t>209.030.00130</t>
  </si>
  <si>
    <t>'x..SFS1..x- sendvič fasada od gotovih betonskih elemenata, debljine 38 cm, oznake S5.02</t>
  </si>
  <si>
    <t>UGRADNJA fasadnih sendvič ploča od gotovih betonskih elemenata, dimenzije prema fasadnom nacrtu. Izvedba do potpune gotovosti sa svim elementima.
Sastav:
Nosivi dio: 16cm, fina rukom zaglađena,kvaliteta vidnog betona SB2
Toplinska izolacija : XPS 14cm
Prednja vidljiva strana: 8cm, vidni beton gladak, kvaliteta vidnog betona SB4.
Spoj sa ostatkom konstrukcije: AB sendvič panel dijelom se oslanja na temeljne trake a dijelom na temeljne stope AB stupova te je potrebno osigurati spojnu armaturu s istim. Stavka uključuje sredstva za pričvršćivanje, spojna sredstva i sidra za pričvršćenje.
Ukupna debljina: 38 cm
Ukupna duljina elementa: 440cm
Ukupna visina elementa: 202cm
oznaka u grafičkom prikazu fasade: S5.02
Reakcija na požar: B-d1(klasificiran sustav)
Razred čvrstoće: [C35/45]
Razredi izloženosti: [XC4, XF4, XD3]
Mjesto ugradnje: fasada, pored otvora za pretovarni most u osi A</t>
  </si>
  <si>
    <t>209.030.00135</t>
  </si>
  <si>
    <t>'x..SFS1..x- sendvič fasada od gotovih betonskih elemenata, debljine 38 cm, oznake S5.01</t>
  </si>
  <si>
    <t>UGRADNJA fasadnih sendvič ploča od gotovih betonskih elemenata, dimenzije prema fasadnom nacrtu. Izvedba do potpune gotovosti sa svim elementima.
Sastav:
Nosivi dio: 16cm, fina rukom zaglađena,kvaliteta vidnog betona SB2
Toplinska izolacija : XPS 14cm
Prednja vidljiva strana: 8cm, vidni beton gladak, kvaliteta vidnog betona SB4.
Spoj sa ostatkom konstrukcije: AB sendvič panel dijelom se oslanja na temeljne trake a dijelom na temeljne stope AB stupova te je potrebno osigurati spojnu armaturu s istim. Stavka uključuje sredstva za pričvršćivanje, spojna sredstva i sidra za pričvršćenje.
Ukupna debljina: 38 cm
Ukupna duljina elementa: 922cm
Ukupna visina elementa: 202cm
oznaka u grafičkom prikazu fasade: S5.01
Reakcija na požar: B-d1(klasificiran sustav)
Razred čvrstoće: [C35/45]
Razredi izloženosti: [XC4, XF4, XD3]
Mjesto ugradnje: fasada, pored otvora za pretovarni most u osi A</t>
  </si>
  <si>
    <t>209.030.00140</t>
  </si>
  <si>
    <t>Fasadna obloga-monijerka S4.08</t>
  </si>
  <si>
    <t>UGRADNJA fasadne obloge "MONIJERKE" od gotovih betonskih elemenata, dimenzije 560,0 x 165cm. Izvedba do potpune gotovosti sa svim elementima.
Fasadna obloga: 8cm, vidni beton gladak, kvaliteta vidnog betona SB4.
Razred čvrstoće: [C30/37]
Razredi izloženosti: [XC4, XF1]
Spoj sa monolitnom konstrukcijom: monijerke se oslanjaju na čelični L profil preko gornjeg AB zuba u svojoj geometriji
Mjesto ugradnje: fasada
oznaka u grafičkom prikazu fasade: S4.08</t>
  </si>
  <si>
    <t>209.030.00145</t>
  </si>
  <si>
    <t>Fasadna obloga-monijerka S4.09</t>
  </si>
  <si>
    <t>UGRADNJA fasadne obloge "MONIJERKE" od gotovih betonskih elemenata, dimenzije 607,5x165cm. Izvedba do potpune gotovosti sa svim elementima.
Fasadna obloga: 8cm, vidni beton gladak, kvaliteta vidnog betona SB4.
Razred čvrstoće: [C30/37]
Razredi izloženosti: [XC4, XF1]
Spoj sa monolitnom konstrukcijom: monijerke se oslanjaju na čelični L profil preko gornjeg AB zuba u svojoj geometriji
Mjesto ugradnje: fasada
oznaka u grafičkom prikazu fasade: S4.09</t>
  </si>
  <si>
    <t>209.040</t>
  </si>
  <si>
    <t>Aerirani beton</t>
  </si>
  <si>
    <t>209.050</t>
  </si>
  <si>
    <t>209.050.00100</t>
  </si>
  <si>
    <t>- betonski stupić za zaštitu od udara na ulazu</t>
  </si>
  <si>
    <t>Stupići za zaštitu od udara, od pocinčane čelične cijevi debljine 2mm sa zatvorenom čeonom pločom. Ukupne duljine 120cm (40cm utemeljeno, 80 cm vani), širine 18-20 cm ovisno o proizvođaču. Stupić iznutra betoniran, usidren u temelj samac dimenzija 60 x 60 x 60cm, beton C12/15. U stavku ulaze svi troškovi nabave materijala i ugradnje , prijevoz, oprema i sve ostalo što je potrebno za izvođenje radova sukladno projektu.</t>
  </si>
  <si>
    <t>209.060</t>
  </si>
  <si>
    <t>Nosači i grede</t>
  </si>
  <si>
    <t>209.070</t>
  </si>
  <si>
    <t>209.080</t>
  </si>
  <si>
    <t>Okna</t>
  </si>
  <si>
    <t>209.090</t>
  </si>
  <si>
    <t>Stubište</t>
  </si>
  <si>
    <t>209.100</t>
  </si>
  <si>
    <t>Sprinkler bazen</t>
  </si>
  <si>
    <t>209.110</t>
  </si>
  <si>
    <t>210</t>
  </si>
  <si>
    <t>Zidarstvo</t>
  </si>
  <si>
    <t>210.000</t>
  </si>
  <si>
    <t>Zidarske usluge</t>
  </si>
  <si>
    <t>U sljedećim pozicijama potrebno je uzeti u obzir i uračunati sljedeće usluge, čak i ako nisu izričito navedene:
- nabava svih potrebnih materijala (mort, zidni elementi), doprema do mjesta ugradnje, zidanje, odvoz preostalih materijala i čišćenje radilišta od nečistoća nastalih zidanjem
- Formiranje i zatvaranje žljebova za instalacije u zidovima rabic -mrežom ili na drugi način se ne naplaćuje posebno (ukoliko troškovnikom nije posebno opisano).
- izvedba prodora i zatvaranje rupa u zidovima nakon prolaza instalacija
- hidroizolacija ispod zida
- dilatacijski stiropor xps
- skela
- razna zidarska pripomoć, zidarske ugradbe na monolitnoj, montažnoj i limenoj konstrukciji
- zidarska pripomoć kod ugradnje vanjske bravarije
- sve troškove oko dobivanja atesta (uključivi i utrošak svih potrebnih materijala za uzorke)</t>
  </si>
  <si>
    <t>210.010</t>
  </si>
  <si>
    <t>Unutarnji zidovi</t>
  </si>
  <si>
    <t>210.010.00100</t>
  </si>
  <si>
    <t>- pregradni zid d=20cm-YTONG</t>
  </si>
  <si>
    <t>YTONG pregradni zid, d=20 cm
Zidanje unutarnjih porobetonskih pregradnih zidova YTONG blokovima. COMPACT ploče, debljine 12,5 cm, grupe proizvoda (marke) 3,0/0,40 (N/mm2/t/m3) prema HRN EN 771-4. Svi blokovi moraju bit I razreda kakvoće i zidani tankoslojnim YTONG bijelim mortom marke M10 prema HRN EN 998-2.
Prvi red blokova potrebno je postaviti na idealno ravan (u oba smijera) sloj vapneno-cementnog morta (1:2:8) debljine 1-3 cm, ovisno o točnosti izvedbe podloge. Sve ostale horizontalne i vertikalne spojnice (fuge) potrebno je ispuniti po cijeloj površini tankoslojnim mortom max debljine 3 mm.
Prilikom zidanja nije dozvoljeno preklapanje vertikalnih sljubnica. Min razmak između vertikalnih sljubnica dva susjedna reda smije biti 10 cm.
Povezivanje pregradnog zida i nosive konstrukcije potrebno je izvesti mehaničkim spojnim sredstvima-elastičnim ankerima, a vertikanu fugu debljine 1cm i horizontalnu fugu između zida i stropne ploče debljine 2cm potrebno popuniti PUR pjenom.
U cijeni ukjučiti sav rad i materijal po uputi proizvođača do potpune gotovosti. U cijeni uključena potrebna skela, elastični ankeri, PUR pjena i čišćenje radnog mjesta nakon završetka radova.
Debljina zida: 20 cm
Visina zida: do [4,20] m
Mjesto ugradnje: Terasa na katu.</t>
  </si>
  <si>
    <t>210.010.00105</t>
  </si>
  <si>
    <t>- beton - vertikalni i horizontalni serklaži</t>
  </si>
  <si>
    <t>Dobava i ugradnja betona za izvedbu horizontalnih i vertikalnih serklaža, pravokutnog poprečnog presjeka.
Horizontalni serklaži - izvode se kao završetak gornjeg ruba nosivih zidova.
Vertikalni serklaži - izvode se na sudaru pregradnih i nosivih zidova (uglovi prostorija)
Izvedba do gotove funkcionalnosti uključivo sav rad, materijal, ugradnja i potrebna skela.
Razred čvrstoće: [C25/30]
Razredi izloženosti: [XC1]
Površina: vidljive površine od vidljivog betona s zahtjevima (SB2)
Mjesto ugradnje: Terasa na katu.
Armatura i oplata se obračunavaju u zasebnim pozicijama.</t>
  </si>
  <si>
    <t>210.010.00110</t>
  </si>
  <si>
    <t>- beton - nadvoji</t>
  </si>
  <si>
    <t>Dobava i ugradnja betona za izvedbu nadvoja, pravokutnog poprečnog presjeka.
Izvedba do gotove funkcionalnosti uključivo sav rad, materijal, ugradnja i potrebna skela.
Razred čvrstoće: [C25/30]
Razredi izloženosti: [XC1]
Površina: vidljive površine od vidljivog betona s zahtjevima (SB2)
Mjesto ugradnje: Terasa na katu.
Armatura i oplata se obračunavaju u zasebnim pozicijama.</t>
  </si>
  <si>
    <t>210.010.00115</t>
  </si>
  <si>
    <t>- oplata - vertikalni i horizontalni serklaži i nadvoji</t>
  </si>
  <si>
    <t>Dobava i postava dvostrane i trostrane neapsorbirajuće oplate s pravilno vidljivim stikovima i mjestima za čavle; betonske neravnine i srh izbrusiti. U cijenu uključen sav potreban materijal, rad i skela kako bi se stavka izvela do gotove funkcionalnosti.
horizontalni serklaži (dvostrana oplata) - [5,00] m2
vertikalni serklaži (dvostrana i trostrana oplata) - [5,50] m2
nadvoji (trostrana oplata) - [7,00] m2</t>
  </si>
  <si>
    <t>210.020</t>
  </si>
  <si>
    <t>Vanjski zidovi</t>
  </si>
  <si>
    <t>210.030</t>
  </si>
  <si>
    <t>Okrenuti i izloženi zidovi</t>
  </si>
  <si>
    <t>210.040</t>
  </si>
  <si>
    <t>211</t>
  </si>
  <si>
    <t>Radovi na čeličnoj konstrukciji</t>
  </si>
  <si>
    <t>211.000</t>
  </si>
  <si>
    <t>211.010</t>
  </si>
  <si>
    <t>Čelični nosači</t>
  </si>
  <si>
    <t>211.020</t>
  </si>
  <si>
    <t>Čelična greda</t>
  </si>
  <si>
    <t>211.030</t>
  </si>
  <si>
    <t>Zavarene konstrukcije od čelika</t>
  </si>
  <si>
    <t>211.040</t>
  </si>
  <si>
    <t>Učvršćivači</t>
  </si>
  <si>
    <t>211.050</t>
  </si>
  <si>
    <t>211.060</t>
  </si>
  <si>
    <t>212</t>
  </si>
  <si>
    <t>Stolarija i drvena konstrukcija</t>
  </si>
  <si>
    <t>212.000</t>
  </si>
  <si>
    <t>212.010</t>
  </si>
  <si>
    <t>zidovi</t>
  </si>
  <si>
    <t>212.020</t>
  </si>
  <si>
    <t>Krovna konstrukcija od punog drveta</t>
  </si>
  <si>
    <t>212.030</t>
  </si>
  <si>
    <t>Krovna konstrukcija lijepljene drvene grede</t>
  </si>
  <si>
    <t>212.040</t>
  </si>
  <si>
    <t>212.050</t>
  </si>
  <si>
    <t>Nadgrađe i uređaji</t>
  </si>
  <si>
    <t>212.060</t>
  </si>
  <si>
    <t>Sredstva za pričvršćivanje i spajanje</t>
  </si>
  <si>
    <t>212.070</t>
  </si>
  <si>
    <t>213</t>
  </si>
  <si>
    <t>Parkiralište / parkirna garaža u izgradnji sustava</t>
  </si>
  <si>
    <t>213.000</t>
  </si>
  <si>
    <t>213.010</t>
  </si>
  <si>
    <t>Struktura i razine parkiranja</t>
  </si>
  <si>
    <t>213.020</t>
  </si>
  <si>
    <t>Krovovi i fasade</t>
  </si>
  <si>
    <t>213.030</t>
  </si>
  <si>
    <t>Stubišta i dizala</t>
  </si>
  <si>
    <t>213.040</t>
  </si>
  <si>
    <t>Tehnička građevinska oprema i sustavi</t>
  </si>
  <si>
    <t>213.050</t>
  </si>
  <si>
    <t>Oprema, natpisi i oznake</t>
  </si>
  <si>
    <t>213.060</t>
  </si>
  <si>
    <t>213.070</t>
  </si>
  <si>
    <t>Prijem / puštanje u rad</t>
  </si>
  <si>
    <t>213.080</t>
  </si>
  <si>
    <t>održavanje</t>
  </si>
  <si>
    <t>300</t>
  </si>
  <si>
    <t>Omotnica i završna obrada zgrade</t>
  </si>
  <si>
    <t>301</t>
  </si>
  <si>
    <t>Radovi na skelama</t>
  </si>
  <si>
    <t>301.000</t>
  </si>
  <si>
    <t>301.010</t>
  </si>
  <si>
    <t>Fasadne skele</t>
  </si>
  <si>
    <t>301.020</t>
  </si>
  <si>
    <t>Unutarnji okvir</t>
  </si>
  <si>
    <t>301.030</t>
  </si>
  <si>
    <t>Konzola i nosač skele</t>
  </si>
  <si>
    <t>301.040</t>
  </si>
  <si>
    <t>Sigurnosne mreže</t>
  </si>
  <si>
    <t>301.050</t>
  </si>
  <si>
    <t>302</t>
  </si>
  <si>
    <t>Radovi na krovovima</t>
  </si>
  <si>
    <t>302.000</t>
  </si>
  <si>
    <t>Opseg usluga za krovne radove</t>
  </si>
  <si>
    <t>U sljedećim pozicijama potrebno je uzeti u obzir i uračunati sljedeće usluge, čak i ako nisu izričito navedene:
- eventualna oštećenja na površini i / ili slojevima pravilno ukloniti
- Dijelovi lima s pojačanjima do promjera 300 mm ili dimenzija 300/300 mm (bez statičke zamjene)</t>
  </si>
  <si>
    <t>302.010</t>
  </si>
  <si>
    <t>Trapezni limovi</t>
  </si>
  <si>
    <t>302.010.00100</t>
  </si>
  <si>
    <t>- dobava trapeznog čeličnog lima [T150], debljina [1,0] mm</t>
  </si>
  <si>
    <t>Dobava vruće pocinčanog trapeznog čeličnog lima, obostrano plastificiran za ravne krovove nagiba do 3%.
Unutarnja strana: 15 µm poliester, RAL 9010 čisto bijelo
Vanjska strana: 12 µm poliester/RSL, slično RAL 9002 (sivo-bijelo)
Profil: [T150]
Debljina lima: [1,0] mm
Statički sustav: postava na pozitivnu stranu, višepoljni nosač (kroz dva ili više polja) ili kontinuirano</t>
  </si>
  <si>
    <t>302.010.00105</t>
  </si>
  <si>
    <t>- postava trapeznog čeličnog lima [T150], debljina [1,0] mm</t>
  </si>
  <si>
    <t>Postava vruće pocinčanog trapeznog čeličnog lima, obostrano plastificiran za ravne krovove nagiba do 3%. U cijenu uključena montaža, spojna sredstva, sav ostali rad i ostali sitni materijal te ostale usluge kako bi se stavka izvela do gotove funkcionalnosti.
Unutarnja strana: 15 µm poliester, RAL 9010 čisto bijelo
Vanjska strana: 12 µm poliester/RSL, slično RAL 9002 (sivo-bijelo)
Profil: [T150]
Debljina lima: [1,0] mm
Statički sustav: postava na pozitivnu stranu, višepoljni nosač (kroz dva ili više polja) ili kontinuirano
Prihvat limova: u prethodno ugrađene tipske šine samoreznim vijcima ili vijcima za beton za krovnu konstrukciju</t>
  </si>
  <si>
    <t>302.010.00110</t>
  </si>
  <si>
    <t>- kutni lim, veza trapeznog lima i atike na zabatima</t>
  </si>
  <si>
    <t>Isporučiti i montirati čel. lim vruće pocinčan, uključujući sav potreban materijal za montažu na betonsku konstrukciju. Lim saviti u obliku slova "L" profila veličine 350/150 mm. Debljina lima 1 mm. Polaže se uz zabatni krovni nadozid i trapezasti lim za ukrućenje ruba krova.</t>
  </si>
  <si>
    <t>302.010.00115</t>
  </si>
  <si>
    <t>- otvori do 0,3 / 0,3 m</t>
  </si>
  <si>
    <t>Izrada otvora u krovnom trapeznom limu za prolaz instalacija ili građevinskih elemenata. Ojačanje oko izrezanog otvora izvesti od čeličnog pocinčanog plastificiranog lima. Izrezani materijal pravilno zbrinuti. Izvedba do gotove funkcionalnosti uključivo sav rad i materijal.
Boja plastifikacije lima za ojačanje: 12 µm poliester/RSL, slično RAL 9002 (sivo-bijelo)
Dimenzija otvora: do 0,30/0,30 m
Debljina lima za ojačanje: 0,60/0,60 m
Debljina lima: ≥ tN 1.5 x tN (trapezni lim)</t>
  </si>
  <si>
    <t>302.010.00120</t>
  </si>
  <si>
    <t>- otvori veći od 0,3 / 0,3 m</t>
  </si>
  <si>
    <t>Izrada otvora u krovnom trapeznom limu za prolaz instalacija ili građevinskih elemenata. Ojačanje oko izrezanog otvora izvesti iz čeličnih profila definiranih statičkim proračunom. Izrezani materijal pravilno zbrinuti. Izvedba do gotove funkcionalnosti uključivo sav rad i materijal.
Dimenzija otvora: veći [0,30/0,30] m
Čelično ojačanje se obračunava u zasebnoj poziciji.</t>
  </si>
  <si>
    <t>302.010.00125</t>
  </si>
  <si>
    <t>- Požarna konzola, zapunjavanje žljebova izolacijom A1</t>
  </si>
  <si>
    <t>Dobava i postava u žljebove trapeznog lima na mjestu izvedbe požarne konzole izolaciju od kamene vune reakcije na požar A1. Izvedba do gotove funkcionalnosti uključivo sav rad i materijal te potrebna skela za ugradnju za rad na visini do 7m.
Visina vala: [0,15] m
Širina gornjeg/donjeg ruba žljeba: [13,6/5,6] mm</t>
  </si>
  <si>
    <t>302.020</t>
  </si>
  <si>
    <t>Sendvič elementi</t>
  </si>
  <si>
    <t>302.030</t>
  </si>
  <si>
    <t>metal</t>
  </si>
  <si>
    <t>302.040</t>
  </si>
  <si>
    <t>Opeka i betonski crijep</t>
  </si>
  <si>
    <t>302.050</t>
  </si>
  <si>
    <t>Vlaknasti cement</t>
  </si>
  <si>
    <t>302.060</t>
  </si>
  <si>
    <t>302.060.00105</t>
  </si>
  <si>
    <t>-Zaštićena površina od betonskih nogostupnih ploča na krovnom izlazu</t>
  </si>
  <si>
    <t>Zaštićena površina od betonskih nogostupnih ploča na krovnom izlazu
na površini od cca. 2,0 x 2,0 m
Dimenzije ploče: 0,5/0,5 m
položene na zaštitni sloj i drenažne podloge (uključeno u cijenu stavke)</t>
  </si>
  <si>
    <t>303</t>
  </si>
  <si>
    <t>Betonska konstrukcija za krovno parkiranje</t>
  </si>
  <si>
    <t>303.000</t>
  </si>
  <si>
    <t>303.010</t>
  </si>
  <si>
    <t>pečat</t>
  </si>
  <si>
    <t>303.020</t>
  </si>
  <si>
    <t>izolacija</t>
  </si>
  <si>
    <t>303.030</t>
  </si>
  <si>
    <t>Preljevi</t>
  </si>
  <si>
    <t>303.040</t>
  </si>
  <si>
    <t>Spojevi i veze</t>
  </si>
  <si>
    <t>303.050</t>
  </si>
  <si>
    <t>303.060</t>
  </si>
  <si>
    <t>304</t>
  </si>
  <si>
    <t>Hidroizolacija krova</t>
  </si>
  <si>
    <t>304.000</t>
  </si>
  <si>
    <t>Hidroizolacija krova za razgraničenje izvedbe</t>
  </si>
  <si>
    <t>U sljedećim pozicijama potrebno je uzeti u obzir i uračunati sljedeće usluge, čak i ako nisu izričito navedene:
- Projektiranje i dimenzioniranje naprava za pričvršćivanje krova, po potrebi izrada izolacijskih planova za nagibe
- potrebna zavarivanja i lijepljenja na šavovima, spojevima i priključcima
- potrebne mehaničke naprave za pričvršćivanje, uklj. sredstva za pričvršćivanje, spojne limove, itd.
- potrebne izrade fuga
- Izolaciju postaviti bez razmaka, sve otvore zatvoriti, dijelove zalijepiti s preklapanjem
- Provođenje brtvenog sustava preko spojeva, ugradbenih i nadgradnih elemenata i prolaza
- Mjere za preventivnu protupožarnu zaštitu kod otvora i prolaza u krovu koje sprječavaju širenje požara
- Izvedbu na nakošenim površinama ili površinama pod nagibom
- Izradu parnih brana kao brtveni sustav
- potrebne separacijske i zaštitne slojeve
- korištene drvene dijelove sa solnom impregnacijom protiv gljivica, truleži i insekata</t>
  </si>
  <si>
    <t>304.010</t>
  </si>
  <si>
    <t>PVC hidroizolacija krova</t>
  </si>
  <si>
    <t>304.010.00100</t>
  </si>
  <si>
    <t>- Krovni sustav objekta - dobava materijala, parna brana</t>
  </si>
  <si>
    <t>304.010.00105</t>
  </si>
  <si>
    <t>- Krovni sustav objekta - dobava materijala, izolacija krova</t>
  </si>
  <si>
    <t>304.010.00110</t>
  </si>
  <si>
    <t>304.010.00115</t>
  </si>
  <si>
    <t>- Krovni sustav objekta - izolacija krova, ukupna debljina [ 160 ] mm, ugradnja</t>
  </si>
  <si>
    <t>Postava materijala za izvedbu sustava ravnog krova. Sve radove izvesti prema pravilu struke, uključena montaža, spojna sredstva, sav ostali rad i ostali sitni materijal kako bi se stavka izvela do gotove funkcionalnosti. Krov se sastoji od:
Parna brana: reakcija na požar F od polietilenske folije ojačane mrežicom u svrhu povećanja čvrstoće , debljine 0,2 mm, s jednim slojem, s preklapanjem i lijepljenim spojevima
Toplinska izolacija: ploče od kamene vune dvoslojne gustoće ROCKWOOL HARDROCK 1000, reakcije na požar razred A1 prema HRN EN 13501-1 ugrađene prema uputama proizvođača.
Debljina izolacije: [ 160 ] mm - jedan sloj
Brtvene trake za krov: brvljenje krova od mekog Polivinilklorida s pojačanjem o sintetičkih vlakana debljine 1,8mm reakcije na požar B(krov)t1, šavni spoj zavarivanjem toplim zrakom ili toplim plinom. Ugradnja prema uputama proizvođača uključivo sav rad i materijal kako bi se izolacija izvela do gotove funkcionalnosti
Podloga: Trapezni lim</t>
  </si>
  <si>
    <t>304.010.00120</t>
  </si>
  <si>
    <t>- izolacija atike</t>
  </si>
  <si>
    <t>Dobava i postava krovne hidroizolacije atike od mekog Polivinilklorida s pojačanjem o sintetičkih vlakana debljine 1,8mm reakcije na požar B(krov)t1, šavni spoj zavarivanjem toplim zrakom ili toplim plinom. Izolacija završava na kaširani lim sa PU kitom u dvije zone. Ugradnja prema uputama proizvođača uključivo sav rad i materijal kako bi se izolacija izvela do gotove funkcionalnosti. Posebno obratit pažnju na ljepljenje - brtvljenje spoja izolacije sa nadozidom kako vjetar ne bi propuhao ili nadigao izolaciju.
Podloga: limeni sendvič panel ili izolacija od kamene vune</t>
  </si>
  <si>
    <t>304.010.00125</t>
  </si>
  <si>
    <t>x..ATK1..x - lim za prihvat izolacije atike</t>
  </si>
  <si>
    <t>Dobava i postava pocinčanog lima debljine 1mm za prihvat izolacije atike. Lim prihvatiti za zid atke izveden od limenoh panela odgovarajućim spojnim sredstvima. Izvedba do gotove funkcionalnosti.
Razvijena širina lima: [0,40] m
Širina zida atike: [0,14] m</t>
  </si>
  <si>
    <t>304.010.00130</t>
  </si>
  <si>
    <t>- hodna staza</t>
  </si>
  <si>
    <t>Polaganje hodne protuklizne trake na krovu objekta u širini 100 cm, od materijala sukladno sistemu hidroizolacije krova s protukliznom površinom. Izvedba do gotove funkcionalnosti.</t>
  </si>
  <si>
    <t>304.010.00135</t>
  </si>
  <si>
    <t>- padovi ravnog krova</t>
  </si>
  <si>
    <t>Izvedba padova ravnog krova s Rockfall tipskim elementima kamene vune velike gustoće. Dobava i ugradnja elemnata za odvodnju ravnih krovova. Postava gotovih ploča od kamene vune s nagibom u dva smjera od 2% i 8% za postizanje točkaste odvodnje. Elementi se postavljaju na osnovnu toplinsku izolaciju ravnog krova.
Tehničke karakteristike proizvoda:
• reakcija na požar razred A1 prema HRN EN 13501-1
• deklarirana toplinska provodljivost ʎd ≤ 0,040 W/mK prema HRN EN 12667
• Tlačna čvrstoća CS(10) | σ10= 70 kPa HRN EN 826
• Točkasto opterećenje PL(5) | Fp =600 N | HRN EN 12430
Pričvršćivanje: prema uputi proizvođača
U cijeni sav rad, materijal kako bi se stavka izvela do gotove funkcionalnosti.
Potrebna površina za izvest u padu: 150 m2.
- Rockfall elementi 0,5*1,0 m za točkastu odvodnju 2 i 8 %: [300] kom
- Rockfall elementi 0,5*1,0 m za nadvišenje d= 80 mm: [250] kom</t>
  </si>
  <si>
    <t>304.020</t>
  </si>
  <si>
    <t>Hidroizolacija krova FPO (Polyolefin)</t>
  </si>
  <si>
    <t>304.030</t>
  </si>
  <si>
    <t>Bitumenska hidroizolacija krova</t>
  </si>
  <si>
    <t>304.040</t>
  </si>
  <si>
    <t>Hidroizolacija terase</t>
  </si>
  <si>
    <t>304.040.00100</t>
  </si>
  <si>
    <t>x..FB10.1..x - izolacijski sustav terasa na katu</t>
  </si>
  <si>
    <t>Dobava i postava materijala za izvedbu sustava izolacije poda terasa na katu. Sve radove izvesti prema uputama proizvođača i do gotove funkcionalnosti. Pod se sastoji od:
Parna brana d=3mm: na bazi destiliranog polimer-bitumena sa AL slojem i finim posipom sa gornje strane tipa kao SikaShield VB P21 T , proizvođača Sika AG ili jednakovrijedno. Ojačana je mrežicom od staklenih vlakana sa uzdužnim pletivom i kaširana sa aluminijskom folijom, koja ima ulogu parne brane ili barijere za kondenzat sa podloge.
Toplinska izolacija d= [20] mm, toplinska vodljivost [xxx] W/mK: ekstrudirani PoliStiren s preklopom, razred E prema DIN EN 13501.
Hidroizolacija: sintetičke membrane na bazi FPO-a, uključivo i nadvišenje te ojačanje na na kutevima. Membrana armirana staklenim pletivom, bež boje, UV stabilna, debljine d= 2,0 mm, prema EN 13967 tipa kao Sarnafil TG 66-20 ili jednkovrijedo. Membrane se slobodno polažu te obodno mehanički fiksiraju za podlogu. Spojevi se obrađuju vrućim zrakom sa širinom vara od min. 3 cm, preklop 8 cm, u skladu s propisanom tehnologijom od strane proizvođača membrane.
Zaštita hidroizolacije: zaštitni geotekstil 300 g/m2 na bazi polipropilena (PP,termo fiksirani) s preklopom od 10 cm u svrhu zaštite hidroizolacijske membrane, tipa kao Sika geotekstil 300PP ili jednakovrijedan.
Podloga: Beton</t>
  </si>
  <si>
    <t>304.040.00105</t>
  </si>
  <si>
    <t>x..FB10.1..x - izolacijski sustav; prijelazne trake</t>
  </si>
  <si>
    <t>Dobava i postave te izrada detalja završetka H.I. membrane ugradnjom prijelazne FPO trake tipa kao Sarnafil Dilatec ER 300, r.š. 30,0cm , koja se jednim dijelom lijepi za podlogu ( epoksidim mortom Sikadur 31+) , a drugim dijelom vari na FPO membranu u polju. Detalj primijeniti na svim spojevima tj. završecima FPO membrane gdje nije moguće ostvariti vertikalni završetak folije na visini od min. 15,0cm od kote završne obloge ( parapetni obodni zidovi , podštok stolarije, metalna konstrukcija ograde i sl.) . Podlogu prije aplikacije trake potrebno odmastiti i pripremiti za prihvat trake. Ugradnja prema teh.listu proizvoda.</t>
  </si>
  <si>
    <t>304.040.00110</t>
  </si>
  <si>
    <t>x..FB10.1..x - izolacijski sustav; kaširani lim</t>
  </si>
  <si>
    <t>Dobava i postava specijalnih profila od galvaniziranog čeličnog lima 0,6mm laminiranog sa slojem FPO membrane 1,1mm, iz sustava proizvođača HI membrane tipa kaoa Sarnafil TPO lim ilijednakovrijedno. Kontakt lima i podloge dodatno brtviti trajnoelastičnim kitom na bazi poliuretana , odgovarajućim temeljnim premazom i PE ispunom za fuge.
donji kutni i gornji završni kaširani lim r.š. 7,0cm</t>
  </si>
  <si>
    <t>304.040.00115</t>
  </si>
  <si>
    <t>x..FB10.1..x - izolacijski sustav; obrada prodora cijevi</t>
  </si>
  <si>
    <t>Obrada prodora cijevi kroz hidroizolacijsku membranu ugradnjom nearmirane hidroizolacijske membrane na bazi mekog TPO-a tipa kao SARNAFIL TG 66-15D ili jednakovrijednog .
Spoj sa postojećom hidroizolacijom iz polja se termozavaruje, dok se spoj membrane sa cijevima ispunjava PU kitom kao SikaHyflex 250 Facade ili sl. i priteže metalnim obujmicama traženog promjera.
prodora promjera ø: [75] mm</t>
  </si>
  <si>
    <t>304.040.00125</t>
  </si>
  <si>
    <t>- polimer-cementna hidroizolacija</t>
  </si>
  <si>
    <t>Dobava i ugradnja dvokomponentnog mikroarmiranog polimer-cementnog premaza tipa kao Sikalastic-152 proizvođača Sika AG ili jednkovrijedno, sa visokim modulom elastičnosti, na bazi cementa sa specijalnim alkalno otpornim polimerima, i sadržajem sitnog agregata, prema HRN EN 14891:2012 klasa CMO2P i EN 1504-9 (Principi 1, 2 i 8) . Proizvod se na podlogu nanosi postupkom špricanja / ručno u ukupnoj suhoj debljini min. 2mm. Na mjestima dilatacija fuga, spojeva između vodoravnih i okomitih površina te odvoda, potrebno je ugraditi specijalnu traku, širine 120mm, na bazi termoplastičnog elastomera (TPE) obostrano kaširana sa polipropilenskim geotekstilom. Na mjestima prodora ugraditi gotove manžete iz sustava. Mort se izvodi u minimalno dva sloja na pravilno dilatirani estrih. Polimercemntnu hidroizolaciju aplicirati i vertikalno po zidu u visini od min.15,0cm. Potrošnja hidroizolacijskog premaza za minimalno 2 sloja je cca 4,0 kg/m2.</t>
  </si>
  <si>
    <t>304.040.00130</t>
  </si>
  <si>
    <t>- polimer-cementna hidroizolacija; obrada kutnih spojeva</t>
  </si>
  <si>
    <t>Brtvljenje kuteva i dilatacija u estrihu sa kutnom trakom tipa kao Sika Seal tape F (termoplastični elastomer) ili jednakovrijedno.Traka je široka 12,0 cm te se aplicira u kuteve i dilatacije utapanjem u sviježi sloj hidroizolacijskog premaza.Trake se prekrivaju istim materijalom po cijeloj izloženoj površini.</t>
  </si>
  <si>
    <t>304.050</t>
  </si>
  <si>
    <t>304.050.00100</t>
  </si>
  <si>
    <t>x..NÜ1..x - Preljev</t>
  </si>
  <si>
    <t>Dobava i postava tipskog preljeva za slučajeve nužde (rigalica) od tvrde plastike, siva boja ili boja materijala fasade. Postava u fasadi(atici) iznad vanjskog sloja krova, pravokutnog oblika s neznatno nakošenim izljevom (5°), otporan na hladnoću do minimalno-40°C i otporan na ultraljubičasto zračenje, s prirubnicom od PVC-a ili polipropilena za priključivanje plastičnih krovnih traka od polivinilklorida (PVC) ili fleksibilnog poliolefina (FPO).
Dimenzije: do 100/300 mm
Dužina odvoda: do 600 mm
Brtvena traka za krov: [PVC]</t>
  </si>
  <si>
    <t>304.050.00105</t>
  </si>
  <si>
    <t>- Brtvljenje prodora kroz krov; okrugle cijevi</t>
  </si>
  <si>
    <t>Obrada prodora instalacija kroz brtveni sustav krova različitih dimenzija okruglog presjeka prema uputama tehnologa proizvođača postavljenog sustava. Cijenom uključiti sve spojne limove, prirubnice, toplinsku izolaciju, hidroizolaciju te sav ostali rad i materijal kako bi se stavka izvela do gotove funkcionalnosti.
Dimenzije prodora: do DN [300]
Brtvena traka za krov: [PVC]</t>
  </si>
  <si>
    <t>304.050.00110</t>
  </si>
  <si>
    <t>- Brtvljenje prodora kroz krov; pravokutne ili kvadratne cijevi</t>
  </si>
  <si>
    <t>Obrada prodora instalacija kroz brtveni sustav krova različitih dimenzija kvadratnoh ili pravokutnog presjeka prema uputama tehnologa proizvođača postavljenog sustava. Cijenom uključiti sve spojne limove, prirubnice, toplinsku izolaciju, hidroizolaciju te sav ostali rad i materijal kako bi se stavka izvela do gotove funkcionalnosti.
Dimenzije prodora: [200/200] mm
Brtvena traka za krov: [PVC]</t>
  </si>
  <si>
    <t>304.050.00115</t>
  </si>
  <si>
    <t>- Brtvljenje prodora kroz krov; čelična potkonstrukcija nepravilnog oblika</t>
  </si>
  <si>
    <t>Obrada prodora čelične potkonstrukcije nepravilnog oblika/presjeka kroz brtveni sustav krova različitih dimenzija prema uputama tehnologa proizvođača postavljenog sustava. Cijenom uključiti sve spojne limove, toplinsku izolaciju, hidroizolaciju te sav ostali rad i materijal kako bi se stavka izvela do gotove funkcionalnosti.
Dimenzije prodora: prema projektu
Brtvena traka za krov: [PVC]</t>
  </si>
  <si>
    <t>304.050.00120</t>
  </si>
  <si>
    <t>- prihvat plastičnih podložaka gromobranske instalacije</t>
  </si>
  <si>
    <t>Prihvat postavljenih tipskih plastičnih podložaka gromobranske instalacije za PVC krovnu hidroizolaciju.</t>
  </si>
  <si>
    <t>304.050.00125</t>
  </si>
  <si>
    <t>- brtvljenje sekuranata</t>
  </si>
  <si>
    <t>Obrada prodora stupića zaštitnih sidara kao zaštita od pada s ravnog krova za PVC krovnu hidroizolaciju. Obrada prodora prema uputama tehnologa ugrađene hidroizolacije sa svim potrebnim radom i materijalom kako bi se stavka izvela do gotove funkcionalnosti.</t>
  </si>
  <si>
    <t>304.050.00130</t>
  </si>
  <si>
    <t>- Brtvljenje prodora oko slivnika</t>
  </si>
  <si>
    <t>304.060</t>
  </si>
  <si>
    <t>Zaštita od pada</t>
  </si>
  <si>
    <t>304.060.00100</t>
  </si>
  <si>
    <t>- isporuka i ugradnja zaštitnih sidra kao zaštita od pada, trapezni lim</t>
  </si>
  <si>
    <t>304.060.00105</t>
  </si>
  <si>
    <t>- isporuka i ugradnja sustava za spašavanje, trapezni lim</t>
  </si>
  <si>
    <t>304.060.00110</t>
  </si>
  <si>
    <t>- Osobna zaštitna oprema</t>
  </si>
  <si>
    <t>Osobna zaštitna oprema za osiguravanje kod radova na krovovima s točkama prihvata odnosno sustavom za sigurnosno uže uključuje:
- Zatezno uže prema DIN-EN 795 razred C za vodoravno spajanje pojedinačnih točaka prihvata, dužine 16 m, kao privremeni način prihvata
- Sigurnosno uže s pratećim uređajem za prihvat i ublaživačem pada prema EN 353-2, prikladno za vodoravnu primjenu, dužina užeta 5 m
- Pojas za spašavanje i hvatanje prema EN 361
- Zidni metalni ormar, s premazom u prahu, bijeli, dimenzije ca. 600/700/250 mm za odlaganje gore navedene Osobne zaštitne opreme</t>
  </si>
  <si>
    <t>304.070</t>
  </si>
  <si>
    <t>Hidroizolacijski radovi</t>
  </si>
  <si>
    <t>304.070.00100</t>
  </si>
  <si>
    <t>- Dodatak brtvenom sustavu, ugradnja klinova od XPS tvrde pjene, dim 50/50mm</t>
  </si>
  <si>
    <t>Dodatak za gore Navedeni brtveni sustav, za ugradnju klinova od ekstrudirane polistirolske tvrde pjene (XPS), u različitim pojedinačnim dužinama, dimenzije ca. 50/50 mm, isporučiti i montirati na sve unutarnje kutove.</t>
  </si>
  <si>
    <t>304.080</t>
  </si>
  <si>
    <t>304.080.00105</t>
  </si>
  <si>
    <t>- Ispitivanje nepropusnosti prema smjernicama</t>
  </si>
  <si>
    <t>Ispitivanje nepropusnosti i pretraživanje pukotina pomoću elektropulsne metode, uklj. dokumentaciju.</t>
  </si>
  <si>
    <t>304.080.00110</t>
  </si>
  <si>
    <t>- zaštitna površina od betonskih ploča 50/50cm</t>
  </si>
  <si>
    <t>Zaštitnu površinu, dimenzija do 2,0/2,0 m, od betonskih ploča 50/50 cm, debljine 4 cm, uklj. zaštitni sloj, isporučiti i ugraditi na brtveni sustav.</t>
  </si>
  <si>
    <t>304.080.00115</t>
  </si>
  <si>
    <t>- zaštitne površine izrađene od gumenih granulatnih ploča debljine 10mm</t>
  </si>
  <si>
    <t>Zaštitne površine, u različitim pojedinačnim dimenzijama, od gumenog granulata, debljine 10 mm, isporčiti, postaviti i pričvrstiti na brtvenu traku krova.</t>
  </si>
  <si>
    <t>305</t>
  </si>
  <si>
    <t>Krovni svjetlosni sustavi</t>
  </si>
  <si>
    <t>305.000</t>
  </si>
  <si>
    <t>305.010</t>
  </si>
  <si>
    <t>Krovni prozori</t>
  </si>
  <si>
    <t>305.020</t>
  </si>
  <si>
    <t>Lagane trake</t>
  </si>
  <si>
    <t>305.030</t>
  </si>
  <si>
    <t>Prozor ravnog krova</t>
  </si>
  <si>
    <t>305.040</t>
  </si>
  <si>
    <t>305.050</t>
  </si>
  <si>
    <t>305.060</t>
  </si>
  <si>
    <t>306</t>
  </si>
  <si>
    <t>Zeleni krov</t>
  </si>
  <si>
    <t>306.000</t>
  </si>
  <si>
    <t>306.010</t>
  </si>
  <si>
    <t>Opsežni zeleni krovovi</t>
  </si>
  <si>
    <t>306.020</t>
  </si>
  <si>
    <t>Intenzivni zeleni krovovi</t>
  </si>
  <si>
    <t>306.030</t>
  </si>
  <si>
    <t>307</t>
  </si>
  <si>
    <t>Fasada</t>
  </si>
  <si>
    <t>307.000</t>
  </si>
  <si>
    <t>Radovi koje je potrebno obuhvatiti jediničnom cijenom</t>
  </si>
  <si>
    <t>U sljedećim pozicijama potrebno je uzeti u obzir i uračunati sljedeće usluge, čak i ako nisu izričito navedene:
- Sredstva za pričvršćivanje od nehrđajućeg čelika
- Trodimenzionalno podesive podkonstrukcije
- obojane limove i pravokutne dijelove za priključke, krajeve i prijelaze
- eventualna oštećenja na površini i / ili slojevima pravilno ukloniti
- potrebna pojačanja uslijed povećanog utjecaja vjetra
- Prihvate za fuge na građevinama i promjene dužina uslijed temperaturnih varijacija
- kontrolirano odvođenje kišnice i kišnice nošene vjetrom
- Jednoliko i ravnomjerno postavljanje fuga i vijaka prema planu ili u dogovoru s naručiteljem</t>
  </si>
  <si>
    <t>307.010</t>
  </si>
  <si>
    <t>Fasadni profilirani lim</t>
  </si>
  <si>
    <t>307.020</t>
  </si>
  <si>
    <t>Fasadni sendvič paneli</t>
  </si>
  <si>
    <t>- Fasadni sendvič elementi-poliuretanska pjena (PIR)</t>
  </si>
  <si>
    <t>TERMOIZOLACIJSKI FASADNI PANELI
Dobava i postava fasade od sendvić panela dijelom sa jezgrom od poliuretanske pjene (PIR) i dijelom o mineralne vune, debljine 14cm. Izvedba do gotove funkcionalnosti prema detaljima proizvođača i isporučitelja panela. U cijeni sav rad, materijal, spojni pribor, kompletno oblikovanje te skela.
Vanjska strana panela:
• Pokrovni lim s laganim profiliranjem (mikroliniran), prema seriji proizvođača
debljina lima za panel od poliuretanske pjene (PIR) 0,63 mm
debljina lima za panel od mineralne vune 0,63 mm
• Premazivanje bojom: poliesterski premaz, debljina sloja 25 μm
• Ton boje slično RAL 7047/ RAL7016 odn. prema projektno specifičnom dizajnu fasade i uzorku
Unutrašnja strana panela:
• glatki pokrovni limovi
debljina lima za panel od poliuretanske pjene (PIR) 0,40 mm
debljina lima za panel od mineralne vune 0,50 mm
• Premazivanje bojom: poliesterski premaz, ton boje slično RAL 7047 telegrau 4 ili slično RAL 9002 grauweiß odn. prema uzorku
Oblikovani dijelovi
• od porubljenih limova prema planu fasade i smjernicama proizvođača ploče:
• donji završeci fasade s odgovarajućim okapnim profilom, od porubljenih limova
• Bočni završeci fasade oko bravarije (završeci iznad opšava)
• Kutovi i rubovi zgrade
• toplinska izolacija na spojevima
NAPOMENA: Opšavi oko prozora i vrata obrađeni u zasebnoj stavci.
Smjer polaganja: vertikalno
Visina montaže panela od ±0.00 do vrha atike (+10.0)
širina panela 100 cm (sve prema nacrtima)</t>
  </si>
  <si>
    <t>- Fasadni sendvič elementi-poliuretanska pjena (PIR)-nastavak stavke 307.020.00100</t>
  </si>
  <si>
    <t>Pričvršćenje pri dnu:
Panel se pričvršćuje za "HALFEN HTU 60/22/3" šine samoureznim vijcima (3 kom/m').
"HALFEN HTU 60/22/3" šine iskazane zasebnom stavkom ove grupe radova-ostali betonski i AB radovi i ugrađeni su potporne fasadne zidove po obodu objekta.
U cijenu stavke uključit dvije EPDM trake na spoju sa ab fasadnim parapetnim zidom.
Svi pričvrsni dijelovi kao i limovi (potrebni za izradu ovog detalja) iskazani posebnom stavkom.
Pričvršćenje pri vrhu:
Panel se pričvršćuje za čelične profile 60×80×3 mm (zasebna stavka ove grupe radova (čelična konstrukcija) prethodno pričvršćene za krovne rubne nosače (grede).
Potrebne vijke kao i pločice (za izradu skrivenog spoja) za prijenos sile uključiti u cijeni stavke.
Sva pričvršćenja u svemu prema detaljnim nacrtima i statičkom proračunu.
Učvršćenje nehrđajućim samonareznim brtvenim vijcima iz visokokvalitenog čelika, s navulkaniziranim neoprenskim brtvilom, pričvrsni elementi u istoj boji kao i lim. Ploče postavljene vertikalno, nevidljivo pričvršćene, trake za brtvljenje između ploča. Svi prodori, za vrata, prozore i ventilacijske reške, kao i svi unutrašnji i vanjski uglovi moraju se izvesti s kutnim profilima i tipskim elementima.
U cijenu uključeno: isporuka i ugradnja ugaonih elemenata, detalj vertikalnog spoja, proračun pričvršćenja, detalj prihvata na potporne fasadne zidove po obodu objekta i na AB krovne rubne nosače (grede), detalj kape atike, detalj kuteva, detalj opšivanja otvora vrata, detalj opšivanja otvora prozora, izrada prodora bravarski stavki, prodora rasvjete, sve navedeno sa vanjske, unutarnje i bočne strane.</t>
  </si>
  <si>
    <t>307.020.00110</t>
  </si>
  <si>
    <t>Obavezna je primjena svih propisa za montažu od strane proizvođača.
Površine otvora nisu odbijane iz količine, a prodori su uključeni u cijenu.
NAPOMENA: Obrada gornjeg završetka panela (atika), donjeg završetak panela (sokl), tipski elamenati za špalete prozora i vrata tipski elamenati za oblogu kuta fasade, spoj sa objektom tehničkih prostroija i spoj sa alucobond fasadom iskazano posebnom stavkom.
Sve ostale prodore i obrade koje nisu navedene (iskazane posebnom stavkom) uključit u cijenu izrade stavke.
Kod obrade prodora uključiti u stavku opšavne limove u boji fasade (zatvaranje otvora oko prodora + brtvljenje PU pjenom + trajnoelastični kit u boji fasade).
Izvođač je dužan sa davanjem ponude dostaviti traženi uzorak sa pratećim tehničkim listom te potpisanim pismom namjere sa proizvođačem panela da će se ugraditi navedeni panel navedenog proizvođača. Čelična podkonstrukcija nije predmet ove pozicije. Sve izvesti i ponuditi u skladu s opisom gradnje KaBa, općim napomenama i opisu stavke.
PANEL SA JEZGROM OD POLIURETANSKE PJENE (PIR)
Svojstva panela:
koeficijent prolaza topline U=0,161 W/m2k
reakcija na požar B-s1, d0
zvučna izolacija 25dB
gustoća ispune 38kg/m3</t>
  </si>
  <si>
    <t>307.020.00115</t>
  </si>
  <si>
    <t>- Fasadni sendvič elementi-jezgra od mineralne vune</t>
  </si>
  <si>
    <t>U svemu kao stavka 307.020.00110 samo:
PANEL SA JEZGROM OD MINERALNE VUNE
Svojstva panela:
koeficijent prolaza topline U=0,34 W/m2k
reakcija na požar A2-s1, d0
zvučna izolacija 31dB
gustoća ispune 140kg/m3</t>
  </si>
  <si>
    <t>307.020.00120</t>
  </si>
  <si>
    <t>- Fasadni sendvič elementi-Tipski elamenati za špalete prozora i vrata</t>
  </si>
  <si>
    <t>Tipski elamenati za špalete prozora i vrata
Izrada, dobava te postava tipskih elamenata za špalete prozora i vrata, svi opšavni elementi uklopivi sa oblogom od fasadnih panela koji je kao završni sloj pročelja. Elemente za špalete pričvrstiti za panel ili predvidjeti ukoliko je potrebno novu potkonstrukciju oko vrata ili prozora. Učvršćenje nehrđajućim samonareznim brtvenim vijcima iz visokokvalitenog čelika, s navulkaniziranim neoprenskim brtvilom, pričvrsni elementi u istoj boji kao i lim. U cijenu uključena doprema, postava na gradilištu, skela te sav materijal koji je potreban da se stavka izvede do gotove funkcionalnosti. Izvedba elemenata u istoj boji kao što su i paneli na tom dijelu pročelja.
Sve izvesti i ponuditi u skladu s opisom gradnje KaBa, općim napomenama i opisu stavke.</t>
  </si>
  <si>
    <t>307.020.00125</t>
  </si>
  <si>
    <t>- Fasadni sendvič elementi-Tipski elamenati za oblogu kuta fasade</t>
  </si>
  <si>
    <t>Tipski elamenati za oblogu kuta fasade
Izrada, dobava te postava tipskih elamenata za oblogu kuta fasade (unutarnji i vanjski) uklopiv sa oblogom od fasadnog panela koji je kao završni sloj pročelja. Elemente kuta pričvrstiti za panel ili predvidjeti ukoliko je potrebno novu potkonstrukciju. Učvršćenje nehrđajućim samonareznim brtvenim vijcima iz visokokvalitenog čelika, s navulkaniziranim neoprenskim brtvilom, pričvrsni elementi u istoj boji kao i lim. U cijenu uključena doprema, postava na gradilištu, skela te sav materijal koji je potreban da se stavka izvede do gotove funkcionalnosti. Izvedba elemenata u istoj boji kao što su i paneli na tom dijelu pročelja.
Sve izvesti i ponuditi u skladu s opisom gradnje KaBa, općim napomenama i opisu stavke.
NAPOMENA: Količinom stavke obuhvaćeni samo vanjski kutni profili.</t>
  </si>
  <si>
    <t>307.020.00130</t>
  </si>
  <si>
    <t>- Fasadni sendvič elementi-Donji završetak panela</t>
  </si>
  <si>
    <t>Donji završetak panela
Izrada, dobava te postava donjeg završetka panela:
▪ Postava čeličnog L 100/100/4 profila (naslon panela). Pričvršćuje se u ab potporni fasadni zid pripadajućim tiplama.
▪ Konstruktivni lim - čelični pocinčani d=2,50mm, pričvršćuje se na prethodno opisani čelični profil, okvirna razvijena širina 25 cm, služi za donji prihvat okapnog lima, postavlja se kontinuirano.
▪ Kontinuitet toplinske izolacije sa limenog fasadnog panela na oblogu (XPS) ab fasadnog parapetnog zida osigurati PUR pjenom, ili u slučaju požarnog preskoka od negorive (vatrootpore) pjene.
▪ Okapni lim - čelični pocinčani d=1,5mm, obostrano plastificiran u tonu fasade (konačnu potvrdu tona potrebno ishoditi pismeno od investitora) okvirna razvijena širina 20 cm.
Učvršćenje nehrđajućim samonareznim brtvenim vijcima iz visokokvalitenog čelika, s navulkaniziranim neoprenskim brtvilom, pričvrsni elementi u istoj boji kao i lim. U cijenu uključena doprema, postava na gradilištu, brtvene trake, skela te sav materijal koji je potreban da se stavka izvede do gotove funkcionalnosti. Izvedba elemenata u istoj boji kao što su i paneli na tom dijelu pročelja.
Sve izvesti i ponuditi u skladu s opisom gradnje KaBa, općim napomenama i opisu stavke.</t>
  </si>
  <si>
    <t>307.030</t>
  </si>
  <si>
    <t>AluCOBOND fasada</t>
  </si>
  <si>
    <t>307.030.00100</t>
  </si>
  <si>
    <t>x..FAS1, FAS4..x - fasadni sistem ALUCOBOND</t>
  </si>
  <si>
    <t>FASADNI SISTEM - ALUCOBOND (3A Composites)-sistem SZ 20
Izrada vanjske fasade oblogom od ALUCOBOND ploča debljine 4mm na tipskoj potkonstrukciji s nevidljivim pričvršćenjem.
Ukupna debljina fasadnog sustava: [0,14] m
Podjela fasade na pravilne dimenzije (osovinska mjera), fuga 20mm.
Reakcija na požar: najmanje B1, s1-d0
Standardne širine: 1250, 1500mm, dužine: do 8000mm.
Boja: 3A Composites:
boja 201 (slično RAL 3020)
boja 105 (slično RAL 7016)
Da bi se osigurala jednakost tonova boje, po objektu treba koristiti ploče koje su izrađene u jednoj seriji. Kvaliteta boje: PVDF premaz, stupanj sjaja 25 - 40 %. Vodoravne i okomite spojeve (fuge) fasadnih ploča treba izvesti zatvoreno. Zato su iza fuga obrubljeni profili iste boje. Sve kazete na rubovima imaju sistemske profile za stabilnost: Z-profil (Z 44025 ili Z 37773) na gornjem rubu, S-profil (S 44024 ili S 37774) na donjem rubu, kao pojačanje rubova kazete. Zakovice od aluminija promjera 5mm, glava promjera 11mm i trn od nehrđajućeg čelika. Potkonstrukcija ANTICORODAL-050 prema EN AW-6063.
Izvedba završetaka, spoja sa fasadom i svih ostalih sudara i uglova, uključujući mrežice za insekte, okape, i sl. u cijeni fasade.
Sve po uputama proizvođača u fasadnom sistemu. U cijeni sav rad i materijal, skela kako bi se stavka izvela do gotove funkcionalnosti.</t>
  </si>
  <si>
    <t>307.030.00105</t>
  </si>
  <si>
    <t>x..FAS1, FAS4..x - toplinska izolacija</t>
  </si>
  <si>
    <t>Dobava i postava vodootporne kamene vune, klase gorivosti A1 prema DIN 4102.
Kamena vuna je sa površinskom obradom za ventilirana pročelja. Ploče se učvršćuju vijcima sa širokom glavom. Poštivati propise proizvođača. U cijenu uključena doprema, postava na gradilištu, skela te sav spojni materijal.
Toplinska izolacija : d= [ 100 ] mm; [ prema projektu toplinske zaštite ]</t>
  </si>
  <si>
    <t>307.040</t>
  </si>
  <si>
    <t>Fiber cementna fasada</t>
  </si>
  <si>
    <t>307.050</t>
  </si>
  <si>
    <t>Fasadno drvo / drveni proizvod</t>
  </si>
  <si>
    <t>307.060</t>
  </si>
  <si>
    <t>308</t>
  </si>
  <si>
    <t>Vodovodni radovi</t>
  </si>
  <si>
    <t>308.000</t>
  </si>
  <si>
    <t>Razgraničenje vodovodnih radova</t>
  </si>
  <si>
    <t>U sljedećim pozicijama potrebno je uzeti u obzir i uračunati sljedeće usluge, čak i ako nisu izričito navedene:
- eventualna oštećenja na površini i / ili slojevima pravilno ukloniti</t>
  </si>
  <si>
    <t>308.010</t>
  </si>
  <si>
    <t>Oluci / slivnici</t>
  </si>
  <si>
    <t>308.020</t>
  </si>
  <si>
    <t>veze</t>
  </si>
  <si>
    <t>308.030</t>
  </si>
  <si>
    <t>Pokrov</t>
  </si>
  <si>
    <t>308.030.00100</t>
  </si>
  <si>
    <t>x… - Pokrov za atiku od aluminija, debljine 2 mm, s premazom</t>
  </si>
  <si>
    <t>Pokrov za atiku od aluminija, debljine 2 mm, s premazom u prahu i višestruko savijenim rubovima, za debljinu atike/zida do 45 cm, s vidljivom vanjskom stranom širine 10 cm, s min. 3% nagiba prema unutarnjoj strani, s drenažnim rubom, industrijski izrađen kao sustav, u različitim pojedinačnim dužinama, uklj. držač, spojnice, brtve, kutove i krajeve, izraditi, isporučiti, montirati u jednoj liniji i na ispravnoj visini te spojiti tako da ne propušta vodu i kišnicu.
Boja: sukladno Kauflandovoj paleti boja</t>
  </si>
  <si>
    <t>308.030.00105</t>
  </si>
  <si>
    <t>x… - Pokrov vrhova stupova u osi F</t>
  </si>
  <si>
    <t>Pokrov za atiku od aluminija, debljine 2 mm, s premazom u prahu i višestruko savijenim rubovima, za debljinu atike/zida do 60 cm, s vidljivom vanjskom stranom širine 10 cm, s min. 3% nagiba prema unutarnjoj strani, s drenažnim rubom, industrijski izrađen kao sustav, u različitim pojedinačnim dužinama, uklj. držač, spojnice, brtve, kutove i krajeve, izraditi, isporučiti, montirati u jednoj liniji i na ispravnoj visini te spojiti tako da ne propušta vodu i kišnicu.
Boja: sukladno Kauflandovoj paleti boja</t>
  </si>
  <si>
    <t>308.040</t>
  </si>
  <si>
    <t>309</t>
  </si>
  <si>
    <t>Vanjska i unutarnja ALU bravarija</t>
  </si>
  <si>
    <t>309.000</t>
  </si>
  <si>
    <t>Opseg usluga metalne konstrukcije</t>
  </si>
  <si>
    <t>U sljedećim pozicijama potrebno je uzeti u obzir i uračunati sljedeće usluge, čak i ako nisu izričito navedene:
- obojane limove i pravokutne dijelove za priključke, krajeve i prijelaze
- eventualna oštećenja na površini i / ili slojevima pravilno ukloniti
- potrebne podkonstrukcije i pojačanja
- Prihvate za fuge na građevinama i promjene dužina uslijed temperaturnih varijacija
- kontrolirano odvođenje kišnice i kišnice nošene vjetrom
- Zaštitu građevinskih priključaka protiv kišnice s vanjske strane, odnosno pare s unutarnje strane
- interno povezivanje kablovima na prozorima, koristiti profile za prekrivanje kabela
- alternativno za garniture / aluminijske elemente, eloksirani: Nehrđajući čelik, mat
- izvedbu slijepih podnih profila (u razini slojeva poda)
- konzekventnu izvedbu hidroizolacije u podnožju pojedinih stavki
- konzekventnu izvedbu parne brane na svim rubovima pojedinih stavki
- padajuće brtve za vanjska i protupožarne stavke uključena u cijenu</t>
  </si>
  <si>
    <t>309.010</t>
  </si>
  <si>
    <t>PVC staklene stijene</t>
  </si>
  <si>
    <t>309.010.00100</t>
  </si>
  <si>
    <t>x..AF10..x - staklena stijena između boravka i vanjske terase</t>
  </si>
  <si>
    <t>POZ P09
Dobava i postava staklene stijene između boravka i vanjske terase prema trenutno važećim smjernicama KaBa. Stijena se sastoji od fiksnih dijelova rastera 1,25m i jednokrilnih zaokretnih vrata svijetle širine 1,12m.
Građ.dimenzija stijene: [ 2,45/2,70 ] m
Konstrukcija stijene: PVC profil ojačan sa čeličnom jezgrom sa višekomornim sustavom i dvije EPDM brtve. Boja RAL 7016 otporna na ultraljubičasto zračenje. U zoni postave zaštite od sunca izvesti prošireni nadvojni profil visine 200mm.
Dizajn profila: ravno položena krila
Ostakljenje: višeslojnog sigurnosnog 2 izolacijskog stakla koeficijent prolaza topline Uw najmanje 1,3 W/m²K, Ug min 1,3 W/m²K . Zahtijevani koeficijent prolaza topline Uw odnosi se na cijeli prozor i uzima u obzir koeficijent prolaza topline okvira (Uf), ostakljenja (ug) i profila za održavanje razmaka izolacijskog ostakljenja (y-vrijednost).
Zaokretna vrata:
• Antipanik brava na vratima, pripremljena za prolazni profilni cilindar
• Okovi: Eloksirani aluminij ili nehrđajući čelik mat brušen, iznutra kvaka, izvana fiksna ručka, npr. HEWI Serie 11, s dugačkim štitom
• Kontrola: Magnetni kontakt i kontakt na zasunu za kontrolu otvaranja i zatvaranja, VdS razred C, prekriveni
• Ostalo: električni otvarač vrata, otključavanje brave s kliznim vođenjem, 12V DC, radna struja
• Otvarač vrata s mehaničkim otključavanjem zasuna otvarača vrata, s opružnim jezičkom
• Gornji zatvarač vrata
Izvedba prema detaljima proizvođača uključivo sav rad i materijal kako bi se stavka izvela do gotove funkcionalnosti
Spojne reške: PUR-pjena;
Fabrikat: SALAMANDER, GEALAN ili drugi istovrijedni pvc profili
Zidni zaustavljač vrata od mekane plastike, okrugli, promjera ca. 40 mm, s držačem od nehrđajućeg čelika, uklj. sredstva za pričvršćivanje, isporučiti i montirati</t>
  </si>
  <si>
    <t>309.020</t>
  </si>
  <si>
    <t>Aluminijska staklena vrata</t>
  </si>
  <si>
    <t>309.020.00100</t>
  </si>
  <si>
    <t>x..AT3..x - aluminijska evakuacijska dvokrilna vrata s nadsvjetlom  dimenzije 2,26 / 4,15 m</t>
  </si>
  <si>
    <t>POZ A05
Izrada, dobava i postava dvokrilnih staklenih vrata s nadsvjetlom od aluminijskih profila dubine do cca.75mm s prekinutim termičkim mostom s EPDM brtvenim profilima. Ostakljenje od višeslojnog sigurnosnog 2 izolacijskog stakla 2x6mm. Izvedba do gotove funkcionalnosti i prema važećim smjernicama KaBa HR.
Širina vrata: ca. 2,26 m
Visina vrata: ca. 4,15 m (vrata ca. 2,25 m, nadsvjetlo ca 1,9 m)
Izvedba: Zaokretna vrata, 2-krilna, sa smjerom otvaranja ulijevo ili udesno
Okvir: Aluminijski okvir, s premazom u prahu otpornim na ultraljubičasto zračenje, boja RAL 7047
Krilo vrata: okvir od aluminija ravan izvana, s premazom u prahu i staklenom ispunom, s donjim zatvaračem (falc) ca. 15 mm
Koeficijent toplinske provodljivosti: min. 1,3 W/m2K, a stakla min 1,1 W/m2K
Panti: od nehrđajućeg čelika, skriveni
Okov: ručka s vanjske strane, s unutarnje strane potisna poluga na pomičnoj i nepomičnoj strani, od aluminija, s eloksiranom površinom
Brava na pomičnoj strani vrata: Ugradbena brava sa zasunom, objektne kvalitete, pripremljena za profilni cilindar, s panik funkcijom prema EN 1125, sa samostalnim zaključavanjem.
Gornji zatvarač vrata, na obja krila, s usklađenim mehanizmom zatvarnaja.
Neaktivna brava krila: skrivena bravica u obliku kvake u kvaliteti svojstva, s funkcijom panike prema EN 1125
Kontrola: Magnetni kontakti za kontrolu otvorenosti (2 na pomičnoj strani, 1 na nepomičnoj strani), kontrola zatvorenosti integrirana u bravu, kontakt za zatvoreno stanje na pogonskom zasunu, VdS razred C, prekrivena ugradnja
Boje: sukladno Kauflandovoj paleti boja</t>
  </si>
  <si>
    <t>309.020.00105</t>
  </si>
  <si>
    <t>x..AT3..x - aluminijska evakuacijska dvokrilna vrata dimenzije 2,26 / 2,25 m</t>
  </si>
  <si>
    <t>POZ A06
Izrada, dobava i postava dvokrilnih staklenih vrata s nadsvjetlom od aluminijskih profila dubine do cca.75mm s prekinutim termičkim mostom s EPDM brtvenim profilima. Ostakljenje od višeslojnog sigurnosnog 2 izolacijskog stakla 2x6mm. Izvedba do gotove funkcionalnosti i prema važećim smjernicama KaBa HR.
Širina vrata: ca. 2,26 m
Visina vrata: ca. 4,15 m (vrata ca. 2,25 m)
Izvedba: Zaokretna vrata, 2-krilna, sa smjerom otvaranja ulijevo ili udesno
Okvir: Aluminijski okvir, s premazom u prahu otpornim na ultraljubičasto zračenje, boja RAL 7047
Krilo vrata: okvir od aluminija ravan izvana, s premazom u prahu i staklenom ispunom, s donjim zatvaračem (falc) ca. 15 mm
Koeficijent toplinske provodljivosti: min. 1,3 W/m2K, a stakla min 1,1 W/m2K
Panti: od nehrđajućeg čelika, skriveni
Okov: s vanjske strane glatko, bez rozeta, s unutarnje strane potisna poluga na pomičnoj i nepomičnoj strani, od aluminija, s eloksiranom površinom
Brava na pomičnoj strani vrata: Ugradbena brava sa zasunom, objektne kvalitete, pripremljena za profilni cilindar, s panik funkcijom prema EN 1125, sa samostalnim zaključavanjem.
Gornji zatvarač vrata, na obja krila, s usklađenim mehanizmom zatvarnaja.
Neaktivna brava krila: skrivena bravica u obliku kvake u kvaliteti svojstva, s funkcijom panike prema EN 1125
Kontrola: Magnetni kontakti za kontrolu otvorenosti (2 na pomičnoj strani, 1 na nepomičnoj strani), kontrola zatvorenosti integrirana u bravu, kontakt za zatvoreno stanje na pogonskom zasunu, VdS razred C, prekrivena ugradnja
Boje: sukladno Kauflandovoj paleti boja</t>
  </si>
  <si>
    <t>309.020.00110</t>
  </si>
  <si>
    <t>x..AT13..x - aluminijska 1-krilna staklena vrata dimenzije 1,16 / 2,16 m, izlaz u slučaju nužde EN 179</t>
  </si>
  <si>
    <t>POZ F01
Vrata od aluminija i stakla s gornjim prozorom, vanjska vrata kao sustav s cijevnim okvirom i staklenom ispunom, s termički odvojenim šupljim profilima, s dubinom okvira od ca. 75 mm, s ostakljenjem od višeslojne izolacijske površine od laminiranog stakla i EPDM brtvenim profilima, izraditi, isporučiti i montirati.
Širina vrata: ca. 1,16 m
Visina vrata: ca. 2,16 m
Izvedba: Zaokretna vrata, 1-krilna, sa smjerom otvaranja ulijevo ili udesno
Okvir: Aluminijski okvir, s praškastim premazom otpornim na ultraljubičasto zračenje
Krilo vrata: Cijevni okvir od aluminija, s praškastim premazom otpornim na ultraljubičasto zračenje i staklenom ispunom cijelom visinom vrata, s donjim zatvaračem (falc) ca. 15 mm
Koeficijent toplinske provodljivosti: min. 1,3 W/m2K, a stakla min 1,1 W/m2K
Panti: od nehrđajućeg čelika, skriveni
Okov: okov za vrata od plemenitog čelika, unutra kvaka, izvana kugla, izvana dodatno ručka od plemenitog čelika.
Brava: Ugradbena brava sa zasunom, objektne kvalitete, pripremljena za profilni cilindar, s panik funkcijom prema EN 179
Gornji zatvarač: s kliznom šinom s odbojnikom u klizaču, na strani na kojoj se ne nalaze šarke, zatvarač s mogućnosću fiksiranja vrata u otvorenom položaju
Kontrola: Magnetni kontakti za kontrolu otvorenosti (2 na pomičnoj strani), kontakt na zasunu za kontrolu zatvorenosti, VdS razred C, prekrivena ugradnja
Ostalo: blok brava i kodirana brava, električni otvarač vrata, otključavanje brave s kliznim vođenjem, 12V DC, radna struja
Boje: sukladno Kauflandovoj paleti boja</t>
  </si>
  <si>
    <t>309.020.00115</t>
  </si>
  <si>
    <t>x..IT220..x - protupožarna 1-krilna unutarnja aluminijska staklena vrata, dimenzije 1,17 / 2,16 m</t>
  </si>
  <si>
    <t>POZ F13
Dobava i postava požarnih jednokrilnih staklenih vrata od aluminijskih šupljih profila dubine od cca.65mm. Požarno ostakljenje vrata s laminiranim sigurnosnim staklom (VSG). Profili s falcom za staklo s jedne strane i obrubom za staklo na strani nasuprot pantima, staklo izolirano EPDM-brtvama.
Širina vrata: ca. 1,17 m
Visina vrata: ca. 2,16 m
Izvedba: Zaokretna vrata, 1-krilna, sa smjerom otvaranja ulijevo ili udesno
Okvir: Aluminijski okvir, s premazom u prahu
Krilo vrata: Cijevni okvir od aluminija, s premazom u prahu i staklenom ispunom
Panti: skriveni od nehrđajućeg čelika, dvodijelni, trodimenzionalno podesivi
Garnitura: Garnitura kvake i ručke s ovalnim okvirom za kvaku i bravu, od nehrđajućeg čelika, s mat površinom
Brava: Ugradbena brava sa zasunom, objektne kvalitete, pripremljena za profilni cilindar.
Gornji zatvarač: s kliznom šinom, s ograničenim otvaranjem, na strani na kojoj se nalaze šarke
Protupožarni zahtjev: sprječava širenje vatre, nepropusna i sa samostalnim zatvaranjem, EI2 30 Sa C5 prema DIN EN 13501
Boje: sukladno Kauflandovoj paleti boja
Zidni zaustavljač vrata od mekane plastike, okrugli, promjera ca. 40 mm, s držačem od nehrđajućeg čelika, uklj. sredstva za pričvršćivanje, isporučiti i montirati.</t>
  </si>
  <si>
    <t>309.020.00120</t>
  </si>
  <si>
    <t>x..IT220..x - protupožarna 1-krilna unutarnja aluminijska staklena vrata sa kontrolom pristupa, dimenzije 1,17 / 2,16 m</t>
  </si>
  <si>
    <t>POZ F04
Dobava i postava jednokrilnih staklenih vrata od aluminijskih šupljih profila dubine od cca.65mm. Ostakljenje vrata s laminiranim sigurnosnim staklom (VSG). Profili s falcom za staklo s jedne strane i obrubom za staklo na strani nasuprot pantima, staklo izolirano EPDM-brtvama.
Širina vrata: ca. 1,17 m
Visina vrata: ca. 2,16 m
Izvedba: Zaokretna vrata, 1-krilna, sa smjerom otvaranja ulijevo ili udesno
Okvir: Aluminijski okvir, s premazom u prahu
Krilo vrata: Cijevni okvir od aluminija, s premazom u prahu i staklenom ispunom
Panti: skriveni od nehrđajućeg čelika, dvodijelni, trodimenzionalno podesivi
Garnitura: Garnitura kvake i ručke s ovalnim okvirom za kvaku i bravu, od nehrđajućeg čelika, s mat površinom
Brava: Ugradbena brava sa zasunom, objektne kvalitete, pripremljena za profilni cilindar.
Gornji zatvarač: s kliznom šinom, s ograničenim otvaranjem, na strani na kojoj se nalaze šarke
Protupožarni zahtjev: sprječava širenje vatre, nepropusna i sa samostalnim zatvaranjem, EI2 30 Sa C5 prema DIN EN 13501
Kontrola: električni otvarač vrata, s otključavanjem brave s kliznim vođenjem, 12V DC, radnom strujom, integriranim kontaktom za povratni signal, za kontrolu pristupa.
Boje: sukladno Kauflandovoj paleti boja</t>
  </si>
  <si>
    <t>309.030</t>
  </si>
  <si>
    <t>Staklena fasada</t>
  </si>
  <si>
    <t>309.030.00100</t>
  </si>
  <si>
    <t>x..PRF2..x - staklena fasada sa zaštitom od sunca</t>
  </si>
  <si>
    <t>POZ A07
Izrada, dobava i ugradnja ostakljene aluminijske fasadne konstrukcije. Fasadu izraditi od sistema samonosivih plastificiranih aluminijskih horizontalnih i vertikalnih pravokutnih šupljih profila s prekidom toplinskog mosta širine cca.60mm i dubine prema statičkom proračunu. Sve brtve na fasadi od EPDM-a prema DIN 7863. U cijeni stavke uključiti komplet sav potreban rad i materijal prema opisu u troškovniku, kao i sve dodatne radove i materijale potrebne da se izradi kompletna fasada kao oblikovna i funkcionalna cjelina. Svi spojni limovi, opšavi, tolinske izolacije, hidroizolacije i parne brane koje se prema pravilima struke ugrađuju, sastavni su dio ove stavke.
Konstrukcija:
- razmak osi stupova: prema planu fasade
- razmak osi horizontala: prema planu fasade
- osiguranje stakla protiv odvrtanja: npr. kombinacija Secu-Fast vijaka s vijcima s unutarnjim mnogokutom
- pokrovni profili s nevidljivim pričvršćivanjem (stegnuti)
- tip profila: kao Schuco FW 50+ ili jednakovrijedno
- premaz: praškastim premaz otporan na ultraljubičasto zračenje boja RAL7016 ili sukladno Kauflandovoj boji paleta
Ostakljenje:
- Proračun debljine, izradu, obradu i ugradnju stakla izvršiti u skladu s Tehničkim propisom za staklene konstrukcije (NN 153/13, 53/17). Debljine stakla prema potrebi provjeriti od strane ovlaštenog statičara. Kao osiguranje od pucanja kod laminiranog stakla obavezno pobrusiti rubove
- visina ostakljenja: prema planu fasade
- dvoslojno VSG izolacijsko staklo s Low E premaz + ispuna toplinski inertnim plinom argonom (6+16+6) s EPDM brtvenim profilima, odnosno prema statičkom proračunu
- gornji dio stavke (iznad kote spuštenog stropa +3,80m) izvesti u punoj ispuni (sendvič panel)
Koeficijent toplinske provodljivosti (Uw): min. 1,3 W/m2K i odnosi se na cijeli fasadni sustav, dok za ostekljenje vrijedi 1,1 W/m2K
Zaštita od sunca (prema smjernicama iz opisa gradnje KaBa HR):
Vrsta izvedbe 1 - prozirno staklo sa zaštitom od sunca
Prioritet 1
Staklo sa zaštitom od sunca ima prioritet u odnosu na prozirno staklo s roletama.
Preduvjet: Bez zasljepljivanja radnih mjesta zbog sunčevog zračenja!
Aspekti: Smanjenje investicije, montaže i instalacije. Izbjegavanje troškova za čišćenje, održavanje, popravak roleta. Vidljivost je uvijek dana
Karakteristike stakla i kriteriji za prozirno staklo sa zaštitom od sunca
Početak: prozirno staklo sa zaštitom od sunca
Ukupna propusnost energije (g-vrijednost / SHGC - koeficijent solarnog toplinskog prirasta): otpr. 30 - 20 %
Što je niža vrijednost SHGC, manje topline zračenja (sunca) dolazi izvana prema unutra
Propust svjetlosti (TL): približno 62 - 45 %
što je manja propusnost svjetla (TL), manje svjetla dolazi izvana
Staklo sa zaštitom od sunca s nižom propusnošću svjetlosti (TL: pribl. 50-45 %) prikladnije je za fasade s duljim/intenzivnijim sunčevim zračenjem, npr. orijentacije zapad/sjeverozapad.
Moraju se uzeti u obzir mogući efekti refleksije od susjednih zgrada.
Stakla na vrijeme ispitati.</t>
  </si>
  <si>
    <t>309.040</t>
  </si>
  <si>
    <t>Vjetrobran</t>
  </si>
  <si>
    <t>309.040.00100</t>
  </si>
  <si>
    <t>x..AT1..x - vanjska automatska klizna vrata dim. [250/230] m</t>
  </si>
  <si>
    <t>POZ A01
Dobava i ugradnja vanjskih evakucijskih automatskih kliznih vrata u pripremljeni otvor u vanjskoj fasadnoj staklenoj stijeni. Automatska vrata treba konstruirati tako, da ne može doći do gnječenja i uklještenja. Mjesta na kojima može doći do uklještenja trebaju se osigurati mekanim gumenim brtvenim profilima. Na elemente okvira paralelno s unutarnje i vanjske strane treba postaviti staklo. Razmak između sporednih rubova zatvaranja i bočnih površina mora uvijek biti veći od 200 mm.
Izvedba: evakuacijska klizna vrata s 2 krila
Krila vrata: Okvir od aluminija, s praškastim premazom otpornim na ultraljubičasto zračenje i ostakljenje s dvoslojnim VSG izolacijskim staklom s Low E premaz + ispuna toplinski inertnim plinom argonom (6+16+6) s EPDM brtvenim profilima. Klizna vrata u fino uokvirenoj izvedbi, dubina profila cca. 30 - 40 mm,ovisno o proizvođaču.
Pogon: Pogon kliznih vrata s modularnim sastavom i tihom kliznom šinom, brzina otvaranja i zatvaranja 0,5-0,7 m/s po krilima, 80 % širine otvara se unutar 3 sekunde u slučaju nužde
Upravljanje: Mikroprocesorska upravljačka jedinica, s vremenom otvorenosti od 0 do 180 sekundi i sljedećim radnim programima: Isključeno, Automatski, Otvoreno, Izlaz, podesivo pomoću programske sklopke
Sigurnosna oprema: Sigurnosna oprema odabire se prema državnim propisima i direktivama, ali minimalno je potrebna: Samostalna regulacija i nadzor kretnje krila, okretanje smjera u slučaju nailaženja na prepreku, samostalna provjera sigurnosnih uređaja, sklopka za isključivanje u slučaju nužde.
Aktivacija: obostrani kombinirani detektor s radarskim senzorom (za detekciju pokreta) i infracrveni senzor (za nadzor prisutnosti), sklopka s ključem s unutarnje strane
Zaključavanje: Elektromehaničko standardno zaključavanje s ručnim otključavanjem s unutarnje strane, mehaničko zaključavanje putem brave s kukastim zasunom s unutarnje strane
Kontrola: Stanja vrata putem bespotencijalnog kontakta na protuprovalnoj centrali
Zaštita od sunca (ostakljenje) potrebno izvesti identično kao za stavku u koju se ugrađuje kako bi se postigao uejdnačen izgled i svojstvo fasade.</t>
  </si>
  <si>
    <t>309.040.00105</t>
  </si>
  <si>
    <t>x..AT1..x - unutarnja staklena stijena za ugradnju kliznih vrata dim. [ 6,5 / 3,8 ] m</t>
  </si>
  <si>
    <t>POZ A02
Izrada, dobava i ugradnja unutarnje staklene stijene sa nadsvjetlom za ugradnju automatskih kliznih vrata. Fasadu izraditi od sistema samonosivih plastificiranih aluminijskih horizontalnih i vertikalnih pravokutnih šupljih profila s prekidom toplinskog mosta širine cca.60mm i dubine prema statičkom proračunu. Sve brtve na fasadi od EPDM-a prema DIN 7863. U cijeni stavke uključiti komplet sav potreban rad i materijal prema opisu u troškovniku, kao i sve dodatne radove i materijale potrebne da se izradi kompletna fasada kao oblikovna i funkcionalna cjelina.
Konstrukcija:
- razmak osi stupova: prema planu fasade
- visina podjele stijene po horizontali: 2300 mm
- osiguranje stakla protiv odvrtanja: npr. kombinacija Secu-Fast vijaka s vijcima s unutarnjim mnogokutom
- pokrovni profili s nevidljivim pričvršćivanjem (stegnuti)
- tip profila: kao Schuco FW 50+ ili jednakovrijedno
- premaz: praškastim premaz otporan na ultraljubičasto zračenje boja RAL7016 ili sukladno Kauflandovoj boji paleta
- proširenje zadnjeg lijevog ili desnog profila za ugradnju pogonske i upravljačke jedinice
Ostakljenje:
- Proračun debljine, izradu, obradu i ugradnju stakla izvršiti u skladu s Tehničkim propisom za staklene konstrukcije (NN 153/13, 53/17). Debljine stakla prema potrebi provjeriti od strane ovlaštenog statičara. Kao osiguranje od pucanja kod laminiranog stakla obavezno pobrusiti rubove
- visina ostakljenja: prema planu fasade
- jednoslojno VSG izolacijsko staklo 8mm s EPDM brtvenim profilima, odnosno prema statičkom proračunu</t>
  </si>
  <si>
    <t>309.040.00106</t>
  </si>
  <si>
    <t>x..AT1..x - unutarnja automatska klizna vrata dim. [ 2,5 / 2,3 ] m</t>
  </si>
  <si>
    <t>POZ A02
Dobava i ugradnja unutarnjih evakucijskih automatskih kliznih vrata u pripremljeni otvor u unutarnjoj staklenoj stijeni. Automatska vrata treba konstruirati tako, da ne može doći do gnječenja i uklještenja. Mjesta na kojima može doći do uklještenja trebaju se osigurati mekanim gumenim brtvenim profilima. Na elemente okvira paralelno s unutarnje i vanjske strane treba postaviti staklo. Razmak između sporednih rubova zatvaranja i bočnih površina mora uvijek biti veći od 200 mm.
Izvedba: evakuacijska klizna vrata s 2 krila
Krila vrata: Okvir od aluminija, s praškastim premazom otpornim na ultraljubičasto zračenje i ostakljenje s jednoslojnim VSG izolacijskim staklom 8mm s EPDM brtvenim profilima. Klizna vrata u fino uokvirenoj izvedbi, dubina profila cca. 30 - 40 mm,ovisno o proizvođaču.
Pogon: Pogon kliznih vrata s modularnim sastavom i tihom kliznom šinom, brzina otvaranja i zatvaranja 0,5-0,7 m/s po krilima, 80 % širine otvara se unutar 3 sekunde u slučaju nužde
Upravljanje: Mikroprocesorska upravljačka jedinica, s vremenom otvorenosti od 0 do 180 sekundi i sljedećim radnim programima: Isključeno, Automatski, Otvoreno, Izlaz, podesivo pomoću programske sklopke
Sigurnosna oprema: Sigurnosna oprema odabire se prema državnim propisima i direktivama, ali minimalno je potrebna: Samostalna regulacija i nadzor kretnje krila, okretanje smjera u slučaju nailaženja na prepreku, samostalna provjera sigurnosnih uređaja, sklopka za isključivanje u slučaju nužde.
Aktivacija: obostrani kombinirani detektor s radarskim senzorom (za detekciju pokreta) i infracrveni senzor (za nadzor prisutnosti), sklopka s ključem s unutarnje strane
Zaključavanje: Elektromehaničko standardno zaključavanje s ručnim otključavanjem</t>
  </si>
  <si>
    <t>309.040.00110</t>
  </si>
  <si>
    <t>x..AT1..x - satenske trake na kliznim krilima</t>
  </si>
  <si>
    <t>Dobava i postava lijepljenjem na klizna krila automatskih vrata satinirane trake širine 20cm. Postava na visini od 1,5-1,7m mjereno od gotovog poda.
Referentni proizvod: Oracal 8510-90, fino srebro, ili istovjetno</t>
  </si>
  <si>
    <t>309.040.00115</t>
  </si>
  <si>
    <t>x..RS28..x - Zaštita od nehrđajućeg čelika</t>
  </si>
  <si>
    <t>Zaštitu rubova, od nehrđajućeg čelika V4A, s brušenom (240 granulacija) i četkanom površinom, debljine materijala od min. 2 mm, u više dijelova s kutovima različitih dimenzija, pojedinačne dužine 2,3 m, za vanjsku zaštitu dviju vertikalnih unutarnjih površina u otvoru za automatska vrata, izraditi, isporučiti, zalijepiti i po potrebi dodatno mehnički pričvrstiti.
Jedinična cijena po automatskim vratima.</t>
  </si>
  <si>
    <t>309.040.00120</t>
  </si>
  <si>
    <t>x..BS4..x - Podni prag kao razdvojni profil od nehrđajučeg ćelika</t>
  </si>
  <si>
    <t>Podni prag kao razdvojni profil, od nehrđajućeg čelika V4A, debljine materijala od minimalno 3 mm, sa širinom prilagođenom stupovima i automatskim vratima, u U obliku, s blago zaobljenim rubovima, u različitim pojedinačnim dužinama, isporučiti, postaviti u jednoj liniji i na ispravnoj visini ispod automatskih vrata i pričvrstiti.</t>
  </si>
  <si>
    <t>309.050</t>
  </si>
  <si>
    <t>Sustavi izloga</t>
  </si>
  <si>
    <t>309.060</t>
  </si>
  <si>
    <t>Staklene pregrade</t>
  </si>
  <si>
    <t>309.070</t>
  </si>
  <si>
    <t>309.070.00100</t>
  </si>
  <si>
    <t>x... VD2 - stubište sa staklenom nadstrešnicom, dimenzije cca 1,50 / 1,30 m</t>
  </si>
  <si>
    <t>POZ 801
Staklenu nadstrešnicu, slobodno viseću, s podkonstrukcijom od nehrđajućeg čelika V4A, s brušenom (granulacija 240) i četkanom površinom, umetkom od sigurnosnog stakla za zaštitu od propadanja, pričvršćenu pomoću letvi za držanje stakla, za nagibe krove od ca. 5 % na vanjsku stranu, sa slobodnim odvodnjavanjem preko ruba krova, izraditi, isporučiti i montirati.
Širina: 1,50m
Dubina: ca. 1,30 m</t>
  </si>
  <si>
    <t>310</t>
  </si>
  <si>
    <t>Plastični prozori</t>
  </si>
  <si>
    <t>310.000</t>
  </si>
  <si>
    <t>Ostale usluge plastičnih prozora</t>
  </si>
  <si>
    <t>U sljedećim pozicijama potrebno je uzeti u obzir i uračunati sljedeće usluge, čak i ako nisu izričito navedene:
- obojane limove i pravokutne dijelove za priključke, krajeve i prijelaze
- eventualna oštećenja na površini i / ili slojevima pravilno ukloniti
- potrebne podkonstrukcije i pojačanja
- Prihvate za fuge na građevinama i promjene dužina uslijed temperaturnih varijacija
- kontrolirano odvođenje kišnice i kišnice nošene vjetrom
- Zaštitu građevinskih priključaka protiv kišnice s vanjske strane, odnosno pare s unutarnje strane
- interno povezivanje kablovima na prozorima, koristiti profile za prekrivanje kabela
- Pričvršćivanje klupice za prozor s odgovarajućim kutovima, sa zaštitnom folijom za zvučnu izolaciju, brtvom od elastomernog profila te bočnom i donjom trajno elastičnom brtvom na bazi thiokola</t>
  </si>
  <si>
    <t>310.010</t>
  </si>
  <si>
    <t>PVC prozori</t>
  </si>
  <si>
    <t>310.010.00100</t>
  </si>
  <si>
    <t>x..AF1..x - PVC otklopni prozor dim [1,26 / 1,4] m</t>
  </si>
  <si>
    <t>POZ P05
Dobava, izvedba i ugradnja vanjskog otklopnog PVC prozora s višekomornim profilnim sustavom i dvije brtve dubine od cca.70mm. Prošireni nadvojni profil, visina 200 mm (nije iskazan u dimenziji stavke, ali je uključen u cijenu). Okvir pripravljen za spajanje s prozorskom klupicom. Dvoslojno izolacijsko float staklo. U cijeni stavke uključiti komplet sav potreban rad i materijal prema opisu u troškovniku, kao i sve dodatne radove i materijale potrebne da se izradi kompletni prozor kao oblikovna i funkcionalna cjelina.
Izvedba: prozor s otklopnim krilom
Širina prozora: 1,26 m
Visina prozora: 1,4 m
Koeficijent toplinske provodljivosti: min. 1,3 W/m2K. Zahtijevani koeficijent prolaza topline Uw odnosi se na cijeli prozor i uzima u obzir koeficijent prolaza topline okvira (Uf), ostakljenja (Ug min. 1,1 W/m2K) i profila za održavanje razmaka izolacijskog ostakljenja (y-vrijednost).)
Kontrola: Kontakt na zasunu za kombiniranu kontrolu otvaranja i zatvaranja, VdS razred C, skrivena ugradnja
Okovi: Ručka prozora, od aluminija, s eloksiranom površinom. Panti skriveni.
Vanjska klupica za prozor: od ekstrudiranog aluminijskog profila, debljina 2 mm, boja RAL7047 - anthrazitgrau, praškasti premaz. 50 mm izbočena iz fasade, bočno izvučena za spoj sa zidom, sidrenje s podesivim kutnikom za učvršćivanje uglavljenim odozdo, antivibracijska traka.
Boje: sukladno Kauflandovoj paleti boja</t>
  </si>
  <si>
    <t>310.010.00105</t>
  </si>
  <si>
    <t>x..AF1..x - PVC zaokterno otklopni prozor dim [1,26 / 1,7] m</t>
  </si>
  <si>
    <t>POZ P10
Dobava, izvedba i ugradnja vanjskog zaokretno-otklopnog PVC prozora s višekomornim profilnim sustavom i dvije brtve dubine od cca.70mm. Prošireni nadvojni profil, visina 200 mm (nije iskazan u dimenziji stavke, ali je uključen u cijenu). Okvir pripravljen za spajanje s prozorskom klupicom. Dvoslojno izolacijsko float staklo. U cijeni stavke uključiti komplet sav potreban rad i materijal prema opisu u troškovniku, kao i sve dodatne radove i materijale potrebne da se izradi kompletni prozor kao oblikovna i funkcionalna cjelina.
Izvedba: prozor s zaokretno-otklopnim krilom
Širina prozora: 1,26 m
Visina prozora: 1,7 m
Koeficijent toplinske provodljivosti: min. 1,3 W/m2K. Zahtijevani koeficijent prolaza topline Uw odnosi se na cijeli prozor i uzima u obzir koeficijent prolaza topline okvira (Uf), ostakljenja (Ug min. 1,1 W/m2K) i profila za održavanje razmaka izolacijskog ostakljenja (y-vrijednost).)
Kontrola: Kontakt na zasunu za kombiniranu kontrolu otvaranja i zatvaranja, VdS razred C, skrivena ugradnja
Okovi: Ručka prozora, od aluminija, s eloksiranom površinom. Panti skriveni.
Vanjska klupica za prozor: od ekstrudiranog aluminijskog profila, debljina 2 mm, boja RAL 7016 - anthrazitgrau, praškasti premaz. 50 mm izbočena iz fasade, bočno izvučena za spoj sa zidom, sidrenje s podesivim kutnikom za učvršćivanje uglavljenim odozdo, antivibracijska traka.
Boje: sukladno Kauflandovoj paleti boja</t>
  </si>
  <si>
    <t>310.010.00110</t>
  </si>
  <si>
    <t>x..AF1..x - PVC dvodijelni zaokretno otklopni prozor visine 1,7 m</t>
  </si>
  <si>
    <t>POZ P07
Dobava, izvedba i ugradnja vanjskog dvodijelnog zaokretno-otklopnog PVC prozora s višekomornim profilnim sustavom i dvije brtve dubine od cca.70mm. Prošireni nadvojni profil, visina 200 mm (nije iskazan u dimenziji stavke, ali je uključen u cijenu). Okvir pripravljen za spajanje s prozorskom klupicom. Dvoslojno izolacijsko float staklo. U cijeni stavke uključiti komplet sav potreban rad i materijal prema opisu u troškovniku, kao i sve dodatne radove i materijale potrebne da se izradi kompletni prozor kao oblikovna i funkcionalna cjelina.
Izvedba: dvodijelni prozor sa fiksnim ostakljenjem i prozorom sa zaokretnim/otklopnim krilima rastera 1,26 m, uklj. spojne i panel površine
Visina prozora: 1,7 m
Koeficijent toplinske provodljivosti: min. 1,3 W/m2K. Zahtijevani koeficijent prolaza topline Uw odnosi se na cijeli prozor i uzima u obzir koeficijent prolaza topline okvira (Uf), ostakljenja (Ug min. 1,1 W/m2K) i profila za održavanje razmaka izolacijskog ostakljenja (y-vrijednost).)
Kontrola: Kontakt na zasunu za kombiniranu kontrolu otvaranja i zatvaranja, VdS razred C, skrivena ugradnja
Okovi: Ručka prozora, od aluminija, s eloksiranom površinom. Panti skriveni.
Vanjska klupica za prozor: od ekstrudiranog aluminijskog profila, debljina 2 mm, boja RAL 7016 - anthrazitgrau, praškasti premaz. 50 mm izbočena iz fasade, bočno izvučena za spoj sa zidom, sidrenje s podesivim kutnikom za učvršćivanje uglavljenim odozdo, antivibracijska traka.
Boje: sukladno Kauflandovoj paleti boja</t>
  </si>
  <si>
    <t>310.010.00115</t>
  </si>
  <si>
    <t>POZ P15
Dobava, izvedba i ugradnja vanjskog dvodijelnog zaokretno-otklopnog PVC prozora s višekomornim profilnim sustavom i dvije brtve dubine od cca.70mm. Prošireni nadvojni profil, visina 200 mm (nije iskazan u dimenziji stavke, ali je uključen u cijenu). Okvir pripravljen za spajanje s prozorskom klupicom. Dvoslojno izolacijsko float staklo. U cijeni stavke uključiti komplet sav potreban rad i materijal prema opisu u troškovniku, kao i sve dodatne radove i materijale potrebne da se izradi kompletni prozor kao oblikovna i funkcionalna cjelina.
Izvedba: dvodijelni prozor sa fiksnim ostakljenjem i prozorom sa zaokretnim/otklopnim krilima rastera 1,26 m, uklj. spojne i panel površine
Visina prozora: 1,7 m
Koeficijent toplinske provodljivosti: min. 1,3 W/m2K. Zahtijevani koeficijent prolaza topline Uw odnosi se na cijeli prozor i uzima u obzir koeficijent prolaza topline okvira (Uf), ostakljenja (Ug min. 1,1 W/m2K) i profila za održavanje razmaka izolacijskog ostakljenja (y-vrijednost).)
Kontrola: Kontakt na zasunu za kombiniranu kontrolu otvaranja i zatvaranja, VdS razred C, skrivena ugradnja
Okovi: Ručka prozora, od aluminija, s eloksiranom površinom. Panti skriveni.
Vanjska klupica za prozor: od ekstrudiranog aluminijskog profila, debljina 2 mm, boja RAL 7016 - anthrazitgrau, praškasti premaz. 50 mm izbočena iz fasade, bočno izvučena za spoj sa zidom, sidrenje s podesivim kutnikom za učvršćivanje uglavljenim odozdo, antivibracijska traka.
Boje: sukladno Kauflandovoj paleti boja</t>
  </si>
  <si>
    <t>310.010.00120</t>
  </si>
  <si>
    <t>POZ P16
Dobava, izvedba i ugradnja vanjskog dvodijelnog zaokretno-otklopnog PVC prozora s višekomornim profilnim sustavom i dvije brtve dubine od cca.70mm. Prošireni nadvojni profil, visina 200 mm (nije iskazan u dimenziji stavke, ali je uključen u cijenu). Okvir pripravljen za spajanje s prozorskom klupicom. Dvoslojno izolacijsko float staklo. U cijeni stavke uključiti komplet sav potreban rad i materijal prema opisu u troškovniku, kao i sve dodatne radove i materijale potrebne da se izradi kompletni prozor kao oblikovna i funkcionalna cjelina.
Izvedba: dvodijelni uglovni prozor sa fiksnim ostakljenjem i prozorom sa zaokretnim/otklopnim krilima rastera 1,26 m, uklj. spojne i panel površine
Visina prozora: 1,7 m
Koeficijent toplinske provodljivosti: min. 1,3 W/m2K. Zahtijevani koeficijent prolaza topline Uw odnosi se na cijeli prozor i uzima u obzir koeficijent prolaza topline okvira (Uf), ostakljenja (Ug min. 1,1 W/m2K) i profila za održavanje razmaka izolacijskog ostakljenja (y-vrijednost).)
Kontrola: Kontakt na zasunu za kombiniranu kontrolu otvaranja i zatvaranja, VdS razred C, skrivena ugradnja
Okovi: Ručka prozora, od aluminija, s eloksiranom površinom. Panti skriveni.
Vanjska klupica za prozor: od ekstrudiranog aluminijskog profila, debljina 2 mm, boja RAL 7016 - anthrazitgrau, praškasti premaz. 50 mm izbočena iz fasade, bočno izvučena za spoj sa zidom, sidrenje s podesivim kutnikom za učvršćivanje uglavljenim odozdo, antivibracijska traka.
Boje: sukladno Kauflandovoj paleti boja</t>
  </si>
  <si>
    <t>310.010.00125</t>
  </si>
  <si>
    <t>x..AF1..x - PVC  višedijelni zaokretno otklopni prozor visine 1,7 m</t>
  </si>
  <si>
    <t>POZ P08
Dobava, izvedba i ugradnja vanjskog dvodijelnog ili višedijelnog zaokretno-otklopnog PVC prozora s višekomornim profilnim sustavom i dvije brtve dubine od cca.70mm. Prošireni nadvojni profil, visina 200 mm (nije iskazan u dimenziji stavke, ali je uključen u cijenu). Okvir pripravljen za spajanje s prozorskom klupicom. Dvoslojno izolacijsko float staklo. U cijeni stavke uključiti komplet sav potreban rad i materijal prema opisu u troškovniku, kao i sve dodatne radove i materijale potrebne da se izradi kompletni prozor kao oblikovna i funkcionalna cjelina.
Izvedba: prozorska traka s prozorima sa zaokretnim/otklopnim krilima rastera 1,26 m, uklj. spojne i panel površine
Visina prozora: 1,7 m
Koeficijent toplinske provodljivosti: min. 1,3 W/m2K. Zahtijevani koeficijent prolaza topline Uw odnosi se na cijeli prozor i uzima u obzir koeficijent prolaza topline okvira (Uf), ostakljenja (Ug min. 1,1 W/m2K) i profila za održavanje razmaka izolacijskog ostakljenja (y-vrijednost).)
Kontrola: Kontakt na zasunu za kombiniranu kontrolu otvaranja i zatvaranja, VdS razred C, skrivena ugradnja
Okovi: Ručka prozora, od aluminija, s eloksiranom površinom. Panti skriveni.
Vanjska klupica za prozor: od ekstrudiranog aluminijskog profila, debljina 2 mm, boja RAL 7016 - anthrazitgrau, praškasti premaz. 50 mm izbočena iz fasade, bočno izvučena za spoj sa zidom, sidrenje s podesivim kutnikom za učvršćivanje uglavljenim odozdo, antivibracijska traka.
Boje: sukladno Kauflandovoj paleti boja</t>
  </si>
  <si>
    <t>310.010.00130</t>
  </si>
  <si>
    <t>x..AF3..x - PVC otklopni prozor dim [1,01 / 0,6] m</t>
  </si>
  <si>
    <t>POZ P03, POZ P04, POZ P06, POZ P11, POZ P12
Dobava, izvedba i ugradnja vanjskog otklopnog PVC prozora s višekomornim profilnim sustavom i dvije brtve dubine od cca.70mm. Prošireni nadvojni profil, visina 200 mm (nije iskazan u dimenziji stavke, ali je uključen u cijenu). Okvir pripravljen za spajanje s prozorskom klupicom. Dvoslojno izolacijsko neprozirno satinirano float staklo. U cijeni stavke uključiti komplet sav potreban rad i materijal prema opisu u troškovniku, kao i sve dodatne radove i materijale potrebne da se izradi kompletni prozor kao oblikovna i funkcionalna cjelina.
Izvedba: prozor s otklopnim krilom
Širina prozora: 1,01 m
Visina prozora: 0,6 m
Koeficijent toplinske provodljivosti: min. 1,3 W/m2K. Zahtijevani koeficijent prolaza topline Uw odnosi se na cijeli prozor i uzima u obzir koeficijent prolaza topline okvira (Uf), ostakljenja (Ug min. 1,1 W/m2K) i profila za održavanje razmaka izolacijskog ostakljenja (y-vrijednost).)
Kontrola: Kontakt na zasunu za kombiniranu kontrolu otvaranja i zatvaranja, VdS razred C, skrivena ugradnja
Okovi: Poluga za otvaranje/zatvaranje prozora, s eloksiranom površinom, sa zaključavanjem, osigurana protiv pogrešne upotrebe.
Vanjska klupica za prozor: od ekstrudiranog aluminijskog profila, debljina 2 mm, boja RAL 7047 - anthrazitgrau, praškasti premaz. 50 mm izbočena iz fasade, bočno izvučena za spoj sa zidom, sidrenje s podesivim kutnikom za učvršćivanje uglavljenim odozdo, antivibracijska traka.
Boje: sukladno Kauflandovoj paleti boja</t>
  </si>
  <si>
    <t>310.010.00135</t>
  </si>
  <si>
    <t>x..AF3..x -  PVC dvodijelni otklopni prozor visine 0,6 m</t>
  </si>
  <si>
    <t>POZ P02
Dobava, izvedba i ugradnja vanjskog dvodijelnog otklopnog PVC prozora s višekomornim profilnim sustavom i dvije brtve dubine od cca.70mm. Prošireni nadvojni profil, visina 200 mm (nije iskazan u dimenziji stavke, ali je uključen u cijenu). Okvir pripravljen za spajanje s prozorskom klupicom. Dvoslojno izolacijsko neprozirno satinirano float staklo. U cijeni stavke uključiti komplet sav potreban rad i materijal prema opisu u troškovniku, kao i sve dodatne radove i materijale potrebne da se izradi kompletni prozor kao oblikovna i funkcionalna cjelina.
Izvedba: prozorska traka, s prozorima s otklopnim krilima rastera 1,01 m, uklj. spojne i panel površine
Visina prozora: 0,6 m
Koeficijent toplinske provodljivosti: min. 1,3 W/m2K. Zahtijevani koeficijent prolaza topline Uw odnosi se na cijeli prozor i uzima u obzir koeficijent prolaza topline okvira (Uf), ostakljenja (Ug min. 1,1 W/m2K) i profila za održavanje razmaka izolacijskog ostakljenja (y-vrijednost).)
Kontrola: Kontakt na zasunu za kombiniranu kontrolu otvaranja i zatvaranja, VdS razred C, skrivena ugradnja
Okovi: Poluga za otvaranje/zatvaranje prozora, s eloksiranom površinom, sa zaključavanjem, osigurana protiv pogrešne upotrebe.
Vanjska klupica za prozor: od ekstrudiranog aluminijskog profila, debljina 2 mm, boja RAL 7047 - anthrazitgrau, praškasti premaz. 50 mm izbočena iz fasade, bočno izvučena za spoj sa zidom, sidrenje s podesivim kutnikom za učvršćivanje uglavljenim odozdo, antivibracijska traka.
Boje: sukladno Kauflandovoj paleti boja</t>
  </si>
  <si>
    <t>310.010.00140</t>
  </si>
  <si>
    <t>POZ P13
Dobava, izvedba i ugradnja vanjskog dvodijelnog otklopnog PVC prozora s višekomornim profilnim sustavom i dvije brtve dubine od cca.70mm. Prošireni nadvojni profil, visina 200 mm (nije iskazan u dimenziji stavke, ali je uključen u cijenu). Okvir pripravljen za spajanje s prozorskom klupicom. Dvoslojno izolacijsko neprozirno satinirano float staklo. U cijeni stavke uključiti komplet sav potreban rad i materijal prema opisu u troškovniku, kao i sve dodatne radove i materijale potrebne da se izradi kompletni prozor kao oblikovna i funkcionalna cjelina.
Izvedba: prozorska traka, s prozorima s otklopnim krilima rastera 1,01 m, uklj. spojne i panel površine
Visina prozora: 0,6 m
Koeficijent toplinske provodljivosti: min. 1,3 W/m2K. Zahtijevani koeficijent prolaza topline Uw odnosi se na cijeli prozor i uzima u obzir koeficijent prolaza topline okvira (Uf), ostakljenja (Ug min. 1,1 W/m2K) i profila za održavanje razmaka izolacijskog ostakljenja (y-vrijednost).)
Kontrola: Kontakt na zasunu za kombiniranu kontrolu otvaranja i zatvaranja, VdS razred C, skrivena ugradnja
Okovi: Poluga za otvaranje/zatvaranje prozora, s eloksiranom površinom, sa zaključavanjem, osigurana protiv pogrešne upotrebe.
Vanjska klupica za prozor: od ekstrudiranog aluminijskog profila, debljina 2 mm, boja RAL 7016 - anthrazitgrau, praškasti premaz. 50 mm izbočena iz fasade, bočno izvučena za spoj sa zidom, sidrenje s podesivim kutnikom za učvršćivanje uglavljenim odozdo, antivibracijska traka.
Boje: sukladno Kauflandovoj paleti boja</t>
  </si>
  <si>
    <t>310.010.00145</t>
  </si>
  <si>
    <t>x..AF3..x -  PVC višedijelni  otklopni prozor visine 0,6 m</t>
  </si>
  <si>
    <t>POZ P14
Dobava, izvedba i ugradnja vanjskog dvodijelnog ili višedijelnog otklopnog PVC prozora s višekomornim profilnim sustavom i dvije brtve dubine od cca.70mm. Prošireni nadvojni profil, visina 200 mm (nije iskazan u dimenziji stavke, ali je uključen u cijenu). Okvir pripravljen za spajanje s prozorskom klupicom. Dvoslojno izolacijsko neprozirno satinirano float staklo. U cijeni stavke uključiti komplet sav potreban rad i materijal prema opisu u troškovniku, kao i sve dodatne radove i materijale potrebne da se izradi kompletni prozor kao oblikovna i funkcionalna cjelina.
Izvedba: prozorska traka, s prozorima s otklopnim krilima rastera 1,01 m, uklj. spojne i panel površine
Visina prozora: 0,6 m
Koeficijent toplinske provodljivosti: min. 1,3 W/m2K. Zahtijevani koeficijent prolaza topline Uw odnosi se na cijeli prozor i uzima u obzir koeficijent prolaza topline okvira (Uf), ostakljenja (Ug min. 1,1 W/m2K) i profila za održavanje razmaka izolacijskog ostakljenja (y-vrijednost).)
Kontrola: Kontakt na zasunu za kombiniranu kontrolu otvaranja i zatvaranja, VdS razred C, skrivena ugradnja
Okovi: Poluga za otvaranje/zatvaranje prozora, s eloksiranom površinom, sa zaključavanjem, osigurana protiv pogrešne upotrebe.
Vanjska klupica za prozor: od ekstrudiranog aluminijskog profila, debljina 2 mm, boja RAL 7016 - anthrazitgrau, praškasti premaz. 50 mm izbočena iz fasade, bočno izvučena za spoj sa zidom, sidrenje s podesivim kutnikom za učvršćivanje uglavljenim odozdo, antivibracijska traka.
Boje: sukladno Kauflandovoj paleti boja</t>
  </si>
  <si>
    <t>310.010.00150</t>
  </si>
  <si>
    <t>POZ F02
Dobava, izvedba i ugradnja vanjskog dvodijelnog ili višedijelnog otklopnog PVC prozora s višekomornim profilnim sustavom i dvije brtve dubine od cca.70mm. Prošireni nadvojni profil, visina 200 mm (nije iskazan u dimenziji stavke, ali je uključen u cijenu). Okvir pripravljen za spajanje s prozorskom klupicom. Dvoslojno izolacijsko neprozirno satinirano float staklo. U cijeni stavke uključiti komplet sav potreban rad i materijal prema opisu u troškovniku, kao i sve dodatne radove i materijale potrebne da se izradi kompletni prozor kao oblikovna i funkcionalna cjelina.
Izvedba: prozorska traka, s prozorima sa zaokretnim krilima rastera 1,01 m, uklj. spojne i panel površine
Visina prozora: 0,6 m
Koeficijent toplinske provodljivosti: min. 1,3 W/m2K. Zahtijevani koeficijent prolaza topline Uw odnosi se na cijeli prozor i uzima u obzir koeficijent prolaza topline okvira (Uf), ostakljenja (Ug min. 1,1 W/m2K) i profila za održavanje razmaka izolacijskog ostakljenja (y-vrijednost).)
Kontrola: Kontakt na zasunu za kombiniranu kontrolu otvaranja i zatvaranja, VdS razred C, skrivena ugradnja
Okovi: Poluga za otvaranje/zatvaranje prozora, s eloksiranom površinom, sa zaključavanjem, osigurana protiv pogrešne upotrebe.
Vanjska klupica za prozor: od ekstrudiranog aluminijskog profila, debljina 2 mm, boja RAL 7016 - anthrazitgrau, praškasti premaz. 50 mm izbočena iz fasade, bočno izvučena za spoj sa zidom, sidrenje s podesivim kutnikom za učvršćivanje uglavljenim odozdo, antivibracijska traka.
Boje: sukladno Kauflandovoj paleti boja
Prozorska krila trebaju biti spojena na sigurnosni sustav koji u slučaju požara otvara sva tri otvora - tri motora za tri krila u potpuno otvorenom položaju 90° (otvor služi za osiguranje uvjeta provjetravanja stubišta u slučaju požara, i kao takav treba ispuniti sve projektom predviđene zahtjeve).</t>
  </si>
  <si>
    <t>310.010.00155</t>
  </si>
  <si>
    <t>x..AF5..x - PVC protuprovalni prozor dim [1,26 / 1,1] m</t>
  </si>
  <si>
    <t>POZ P01
Dobava, izvedba i ugradnja vanjskog PVC prozora s višekomornim profilnim sustavom i dvije brtve dubine od cca.70mm. Prošireni nadvojni profil, visina 200 mm. Okvir pripravljen za spajanje s prozorskom klupicom. U cijeni stavke uključiti komplet sav potreban rad i materijal prema opisu u troškovniku, kao i sve dodatne radove i materijale potrebne da se izradi kompletni prozor kao oblikovna i funkcionalna cjelina.
Izvedba: fiksni prozor
Širina prozora: 1,26 m + 1,26 m
Visina prozora: 1,1 m
Koeficijent toplinske provodljivosti: min. 1,3 W/m2K. Zahtijevani koeficijent prolaza topline Uw odnosi se na cijeli prozor i uzima u obzir koeficijent prolaza topline okvira (Uf), ostakljenja (Ug min. 1,1 W/m2K) i profila za održavanje razmaka izolacijskog ostakljenja (y-vrijednost).) Uključena folija za zaštitiu od pogleda.
Kontrola: Kontakt na zasunu za kombiniranu kontrolu otvaranja i zatvaranja, detektor loma stakla, VdS razred C, skrivena ugradnja
Zahtjev: folija za zaštitu od pogleda
Vanjska klupica za prozor: od ekstrudiranog aluminijskog profila, debljina 2 mm, boja RAL 7047 - anthrazitgrau, praškasti premaz. 50 mm izbočena iz fasade, bočno izvučena za spoj sa zidom, sidrenje s podesivim kutnikom za učvršćivanje uglavljenim odozdo, antivibracijska traka.
Boje: sukladno Kauflandovoj paleti boja</t>
  </si>
  <si>
    <t>310.020</t>
  </si>
  <si>
    <t>Vrata</t>
  </si>
  <si>
    <t>310.030</t>
  </si>
  <si>
    <t>311</t>
  </si>
  <si>
    <t>Zaštita od sunca</t>
  </si>
  <si>
    <t>311.000</t>
  </si>
  <si>
    <t>Ograničenje usluge zaštite od sunca</t>
  </si>
  <si>
    <t>U sljedećim pozicijama potrebno je uzeti u obzir i uračunati sljedeće usluge, čak i ako nisu izričito navedene:
- Pričvršćivanje na svim vrstama podloga kao što su profilni sustavi od plastike, aluminija, itd.
- eventualna oštećenja na površini i / ili slojevima pravilno ukloniti
- Kabele za priključak pogona zaštite protiv sunjca dovesti u unutrašnjost zgrade i opremiti utikačem, proboje zabrtviti
- Upravljačku jedinicu spaja električar na gradilištu</t>
  </si>
  <si>
    <t>311.010</t>
  </si>
  <si>
    <t>Vanjska zaštita od sunca</t>
  </si>
  <si>
    <t>311.010.00100</t>
  </si>
  <si>
    <t>x..SJ6..x - Vanjske žaluzine, za pojedinačne prozore, veličine 1,26 / 1,4 m</t>
  </si>
  <si>
    <t>POZ P05
Zaštitu od sunca kao vanjske lamelne žaluzine, za jednostruke prozore, uklj. dodatnu zaštitu od vjetra sukladno sustavu proizvođača. izraditi, isporučiti i montirati.
Izvedba: Jednostruka zavjesa
Aluminijske lamele: sa savijenim rubovima, 80 mm, blago zakrivljene, s premazom u prahu
Donja šina: od aluminija, s premazom u prahu
Bočna vodilica: Aluminijske vodilice, s premazom u prahu
Traka i ljestvasti svitak: od vrlo čvrstog poliestra
Rukovanje: ručno, pomoću poluge i ručice s unutarnje strane.
Širina prozorskog elementa: 1,26 m
Visina prozorskog elementa: 1,4 m
Boje: sukladno Kauflandovoj paleti boja</t>
  </si>
  <si>
    <t>311.010.00105</t>
  </si>
  <si>
    <t>x..SJ6..x - Vanjske žaluzine, za pojedinačne prozore, veličine 1,26 / 1,7 m</t>
  </si>
  <si>
    <t>POZ P10
Zaštitu od sunca kao vanjske lamelne žaluzine, za jednostruke prozore, uklj. dodatnu zaštitu od vjetra sukladno sustavu proizvođača. izraditi, isporučiti i montirati.
Izvedba: Jednostruka zavjesa
Aluminijske lamele: sa savijenim rubovima, 80 mm, blago zakrivljene, s premazom u prahu
Donja šina: od aluminija, s premazom u prahu
Bočna vodilica: Aluminijske vodilice, s premazom u prahu
Traka i ljestvasti svitak: od vrlo čvrstog poliestra
Rukovanje: ručno, pomoću poluge i ručice s unutarnje strane.
Širina prozorskog elementa: 1,26 m
Visina prozorskog elementa: 1,7 m
Boje: sukladno Kauflandovoj paleti boja</t>
  </si>
  <si>
    <t>311.010.00110</t>
  </si>
  <si>
    <t>x..SJ6..x - Vanjske žaluzine, za prozorske vrpce, visine 1,7 m (SAMO KUTIJA)</t>
  </si>
  <si>
    <t>POZ P07
Zaštitu od sunca kao vanjske lamelne žaluzine, za prozorske trake, u različitim pojedinačnim dimenzijama, uklj. dodatnu zaštitu od vjetra sukladno sustavu proizvođača. izraditi, isporučiti i montirati.
Isporuka kao prethodna stavka, ali samo kutije za žaluzine radi ujednačenog izgleda fasade.
Visina prozorskih traka: 1,7 m
Boje: sukladno Kauflandovoj paleti boja</t>
  </si>
  <si>
    <t>311.010.00115</t>
  </si>
  <si>
    <t>x..SJ6..x - Vanjske žaluzine, za prozorske vrpce, visine 1,7 m</t>
  </si>
  <si>
    <t>POZ P08, POZ P15, POZ P16
Zaštitu od sunca kao vanjske lamelne žaluzine, za prozorske trake, u različitim pojedinačnim dimenzijama, uklj. dodatnu zaštitu od vjetra sukladno sustavu proizvođača. izraditi, isporučiti i montirati.
Izvedba: Jednostruka zavjesa s maksimalnom širinom od 2,52 m, raster 1,26 m, uklj. spojna polja, maksimalno 2 mehanički spojene zavjese
Aluminijske lamele: sa savijenim rubovima, 80 mm, blago zakrivljene, s premazom u prahu
Donja šina: od aluminija, s premazom u prahu
Bočna vodilica: Aluminijske vodilice, s premazom u prahu
Traka i ljestvasti svitak: od vrlo čvrstog poliestra
Rukovanje: ručno, pomoću poluge i ručice s unutarnje strane.
Visina prozorskih traka: 1,7 m
Boje: sukladno Kauflandovoj paleti boja</t>
  </si>
  <si>
    <t>311.010.00120</t>
  </si>
  <si>
    <t>- maska lamela zaštite od sunca</t>
  </si>
  <si>
    <t>Dobava, izrada i postava gornja kutne maskice za prihvat paleta lamela, od obrubljenog aluminijskog lima, minimalne debljine lima 1,5 mm, obloženo prahom u nijansi RAL 7016 - anthrazitgrau otporni na ultraljubičasto zračenje.</t>
  </si>
  <si>
    <t>311.020</t>
  </si>
  <si>
    <t>Unutarnja zaštita od sunca</t>
  </si>
  <si>
    <t>311.030</t>
  </si>
  <si>
    <t>312</t>
  </si>
  <si>
    <t>Čelična vrata</t>
  </si>
  <si>
    <t>312.000</t>
  </si>
  <si>
    <t>Opseg usluga čelična vrata</t>
  </si>
  <si>
    <t>U sljedećim pozicijama potrebno je uzeti u obzir i uračunati sljedeće usluge, čak i ako nisu izričito navedene:
- Ugradnju u sve vrste zidove od betona, zidanih elemenata, gips kartona, čelične konstrukcije, itd.
- Ispune okvira kod ugradnje u masivne zidove, ispuna u kvaliteti vidljivih površina
- eventualna oštećenja na površini i / ili slojevima pravilno ukloniti
- Debljinu vrata od 1,5 mm, debljinu okvira od 2,0 mm
- Okviri s konusnim rubom, prekriveno pričvršćene
- Aktivaciju pogonskog zasuna, na visini od 1,60 m iznad poda
- Vanjska vrata s limom za zatvaranje u teškoj izvedbi
- kao alternativu obuhvatnom okviru: Kutni okvir s protuokvirom
- Boju plastičnih garnitura prema Kauflandovoj paleti boja
- Primopredaju okvira za ugradnju od strane odjeljka za suhogradnju
- izvedbu slijepih podnih profila (u razini slojeva poda)
- konzekventnu izvedbu hidroizolacije u podnožju pojedinih stavki
- konzekventnu izvedbu parne brane na svim rubovima pojedinih stavki
- padajuće brtve za vanjska i protupožarne stavke uključena u cijenu</t>
  </si>
  <si>
    <t>312.010</t>
  </si>
  <si>
    <t>unutarnja vrata</t>
  </si>
  <si>
    <t>312.010.00100</t>
  </si>
  <si>
    <t>x..IT1..x - čelična 1-krilna vrata sa zaštitom od udara, dimenzije 1,26 / 2,28 m</t>
  </si>
  <si>
    <t>POZ F06
Vrata od čeličnog lima koja se sastoje od krila vrata i okvira, kao unutarnja vrata, uklj. sve brtve, okove, opreme, dodatke, itd., izraditi, isporučiti i montirati.
Referentna mjera za ugradnju: 1,26 / 2,28 m
Izvedba: Zaokretna vrata, 1-krilna, sa smjerom otvaranja ulijevo ili udesno
Okvir: Obuhvatni okvir od čeličnog lima, pocinčano i grundirano, sa širinom profila do 20 cm
Krilo vrata: Spojna konstrukcija od čeličnog lima i izolacijske ploče, pocinčana i grundirana, debljina krila min. 50 mm, debeli stepenasti rub
Šarke: konstrukcijske šarke s kuglastim ležajevima
Garnitura: Kvaka, od plastike s čeličnom jezgrom
Brava: Ugradbena brava sa zasunom, objektne kvalitete, pripremljena za profilni cilindar
Gornji zatvarač: s kliznom šinom, s integriranim sustavom za automatsko zatvaranje u slučaju nužde
Protupožarni zahtjev: sprječava širenje vatre, nepropusna i sa samostalnim zatvaranjem, EI2 90 Sa C5 prema DIN EN 13501
Naprava za zadržavanje u otvorenom položaju, ali spojena na sustav vatrodojave, te po primljenom signalu, vrata se otpuštaju potiskom gornjeg zatvarača (princip elektromagneta).
Ostalo: obostrane gumene čepaste obloge, debljine ca. 3 mm, na visini do 1,1 m visine kao zaštita od udaraca
Boje: sukladno Kauflandovoj paleti boja</t>
  </si>
  <si>
    <t>312.010.00105</t>
  </si>
  <si>
    <t>x..IT2..x - čelična 1-krilna vrata sa prozorom, dimenzije 1,17 / 2,16 m</t>
  </si>
  <si>
    <t>POZ F08
Vrata od čeličnog lima koja se sastoje od krila vrata i okvira, kao unutarnja vrata, uklj. sve brtve, okove, opreme, dodatke, itd., izraditi, isporučiti i montirati.
Referentna mjera za ugradnju: 1,17 / 2,16 m
Izvedba: Zaokretna vrata, 1-krilna, sa smjerom otvaranja ulijevo ili udesno
Okvir: Obuhvatni okvir od čeličnog lima, pocinčano i grundirano, sa širinom profila do 20 cm
Krilo vrata: Spojna konstrukcija od čeličnog lima i izolacijske ploče, pocinčana i grundirana, debljina krila min. 50 mm, s debelim stepenastim rubom, prozorom od laminiranog stakla 60/40 cm, s donjim rubom prozora na 1,40 m iznad poda
Šarke: konstrukcijske šarke s kuglastim ležajevima
Garnitura: Kvaka, od plastike s čeličnom jezgrom
Brava: Ugradbena brava sa zasunom, objektne kvalitete, pripremljena za profilni cilindar
Gornji zatvarač: s kliznom šinom, s integriranim sustavom za automatsko zatvaranje u slučaju nužde
Boje: sukladno Kauflandovoj paleti boja</t>
  </si>
  <si>
    <t>312.010.00110</t>
  </si>
  <si>
    <t>x..IT4..x - čelična 1-krilna vrata sa prozorom, dimenzije 1,17 / 2,16 m</t>
  </si>
  <si>
    <t>POZ B31
Vrata od čeličnog lima koja se sastoje od krila vrata i okvira, kao unutarnja vrata, uklj. sve brtve, okove, opreme, dodatke, itd., izraditi, isporučiti i montirati.
Referentna mjera za ugradnju: 1,17 / 2,16 m
Izvedba: Zaokretna vrata, 1-krilna, sa smjerom otvaranja ulijevo ili udesno
Okvir: Obuhvatni okvir od čeličnog lima, pocinčano i grundirano, sa širinom profila do 20 cm
Krilo vrata:Spojna konstrukcija od čeličnog lima i izolacijske ploče, pocinčana i grundirana, debljina krila min. 50 mm, debeli stepenasti rub
Šarke: konstrukcijske šarke s kuglastim ležajevima
Garnitura: Kvaka izvana, ručka iznutra, od plastike s čeličnom jezgrom
Brava: Ugradbena brava sa zasunom, objektne kvalitete, pripremljena za profilni cilindar
Gornji zatvarač: s kliznom šinom, s integriranim sustavom za automatsko zatvaranje u slučaju nužde
Primopredajni poklopac s kvakom i bravom s padajućim jezičkom u krilu vrata, kut otvaranja poklopca 90°- svijetla dimenzija otvora (širina/visina) 200/150 mm. Zaštitni lim kod ručke za otvaranje od plemenitog čelika obrađen brušenjem, najmanje 3 mm debljine, čvrsto povezan s primopredajnim poklopcem, širina zaštitnog lima 380 mm.
Sigurnosna brava u 4 točke, izvedba: sigurnosna garnitura, brava pripremljena za puni profilni cilindar. Okov Langschild zamjenska garnitura, protuprovalni ES3, s kuglastom kvakom izvana, ravna kvaka iznutra. Alternativno garnitura s ravnom kvakom od laganog metala.
Gornji zatvarač vrata. Električni otvarač vrata, upravlja se s radnog mjesta prostorija s trezorom/obračun blagajne. Priključak na alarmni sustav, opremanje kontaktom za zatvaranje i magnetskim kontaktom, proširenim cilindrom za ključ i praznom cijevi za kabel koja je visoko provedena iznutra. Špijunka sa širokim kutom gledanja 1,50m iznad gotovog poda.
Boje: sukladno Kauflandovoj paleti boja
Zidni zaustavljač vrata od mekane plastike, okrugli, promjera ca. 40 mm, s držačem od nehrđajućeg čelika, uklj. sredstva za pričvršćivanje, isporučiti i montirati.</t>
  </si>
  <si>
    <t>312.010.00115</t>
  </si>
  <si>
    <t>x..IT5.1..x - čelična 1-krilna vrata sa prozorom, dimenzije 1,06 / 2,16 m</t>
  </si>
  <si>
    <t>POZ B23
Vrata od čeličnog lima koja se sastoje od krila vrata i okvira, kao unutarnja vrata, uklj. sve brtve, okove, opreme, dodatke, itd., izraditi, isporučiti i montirati.
Referentna mjera za ugradnju: 1,06 / 2,16 m
Izvedba: Zaokretna vrata, 1-krilna, sa smjerom otvaranja ulijevo ili udesno
Okvir: Obuhvatni okvir od čeličnog lima, pocinčano i grundirano, sa širinom profila do 20 cm
Krilo vrata: Spojna konstrukcija od čeličnog lima i izolacijske ploče, pocinčana i grundirana, debljina krila min. 50 mm, s debelim stepenastim rubom, prozorom od laminiranog stakla 60/40 cm, s donjim rubom prozora na 1,40 m iznad poda
Šarke: konstrukcijske šarke s kuglastim ležajevima
Garnitura: Kvaka, od plastike s čeličnom jezgrom
Brava: Ugradbena panik brava sa zasunom, objektne kvalitete, pripremljena za profilni cilindar.
Gornji zatvarač: s kliznom šinom
Ostalo: Podni držač za vrata
Boje: sukladno Kauflandovoj paleti boja</t>
  </si>
  <si>
    <t>312.010.00120</t>
  </si>
  <si>
    <t>x..IT6..x - čelična 1-krilna vrata zvučno izolirana dimenzije 1,06 / 2,16 m</t>
  </si>
  <si>
    <t>POZ B14
Vrata od čeličnog lima koja se sastoje od krila vrata i okvira, kao unutarnja vrata, uklj. sve brtve, okove, opreme, dodatke, itd., izraditi, isporučiti i montirati.
Referentna mjera za ugradnju: 1,06 / 2,16 m
Izvedba: Zaokretna vrata, 1-krilna, sa smjerom otvaranja ulijevo ili udesno
Okvir: Obuhvatni okvir od čeličnog lima, pocinčano i grundirano, sa širinom profila do 20 cm
Krilo vrata: Spojna konstrukcija od čeličnog lima i izolacijske ploče, pocinčana i grundirana, debljina krila min. 50 mm, debeli stepenasti rub
Zahtjevi zvučne izolacije: Rw,p &gt;= 37 dB
Šarke: konstrukcijske šarke s kuglastim ležajevima
Garnitura: Kvaka i okretna ručka, od plastike s čeličnom jezgrom
Brava: Ugradbena brava sa zasunom, objektne kvalitete, pripremljena za profilni polucilindar, s panik funkcijom prema EN 179
Gornji zatvarač: s kliznom šinom
Boje: sukladno Kauflandovoj paleti boja</t>
  </si>
  <si>
    <t>312.010.00125</t>
  </si>
  <si>
    <t>x..IT7..x - čelična 1-krilna vrata za ulaz osoblja sa zaštitom od udara dimenzije 1,17 / 2,16 m</t>
  </si>
  <si>
    <t>POZ B30
Vrata od čeličnog lima koja se sastoje od krila vrata i okvira, kao unutarnja vrata, uklj. sve brtve, okove, opreme, dodatke, itd., izraditi, isporučiti i montirati.
Referentna mjera za ugradnju: 1,17 / 2,16 m
Izvedba: Zaokretna vrata, 1-krilna, sa smjerom otvaranja ulijevo ili udesno
Okvir: Obuhvatni okvir od čeličnog lima, pocinčano i grundirano, sa širinom profila do 20 cm
Krilo vrata: Spojna konstrukcija od čeličnog lima i izolacijske ploče, pocinčana i grundirana, debljina krila min. 50 mm, debeli stepenasti rub
Šarke: konstrukcijske šarke s kuglastim ležajevima
Garnitura: Kvaka i ručka, od plastike s čeličnom jezgrom
Brava: Ugradbena brava sa zasunom, objektne kvalitete, pripremljena za profilni cilindar, s panik funkcijom prema EN 179
Gornji zatvarač: s kliznom šinom
Ostalo: električni otvarač vrata, otključavanje brave s kliznim vođenjem, 12V DC, radna struja, lim od nehrđajućeg čelika, debljine 2 mm, visine 200 mm, s brušenom (granulacija 240) i četkanom površinom, s jedne strane u području podnožja kao nagazni lim
Boje: sukladno Kauflandovoj paleti boja
Zidni zaustavljač vrata od mekane plastike, okrugli, promjera ca. 40 mm, s držačem od nehrđajućeg čelika, uklj. sredstva za pričvršćivanje, isporučiti i montirati.</t>
  </si>
  <si>
    <t>312.010.00130</t>
  </si>
  <si>
    <t>x... IT7.1 - čelična 1-krilna vrata dimenzije 0,86 / 2,16 m</t>
  </si>
  <si>
    <t>POZ B22
Vrata od čeličnog lima koja se sastoje od krila vrata i okvira, kao unutarnja vrata, uklj. sve brtve, okove, opreme, dodatke, itd., izraditi, isporučiti i montirati.
Referentna mjera za ugradnju: 0,86 / 2,16 m
Izvedba: Zaokretna vrata, 1-krilna, sa smjerom otvaranja ulijevo ili udesno
Okvir: Obuhvatni okvir od čeličnog lima, pocinčano i grundirano, sa širinom profila do 20 cm
Krilo vrata: Spojna konstrukcija od čeličnog lima i izolacijske ploče, pocinčana i grundirana, debljina krila min. 50 mm, debeli stepenasti rub
Šarke: konstrukcijske šarke s kuglastim ležajevima
Garnitura: Garnitura za zahod s kvakama od plastike s čeličnom jezgrom, U-oblik s okruglim okvirima za kvake, okviri za zahod s prikazom „Slobodno/zauzeto“
Brava: Ugradbena brava sa zasunom, objektne kvalitete, pripremljena za okove vrata za zahod
Gornji zatvarač: s kliznom šinom
Boje: sukladno Kauflandovoj paleti boja</t>
  </si>
  <si>
    <t>312.010.00135</t>
  </si>
  <si>
    <t>x..IT8..x - čelična 1-krilna vrata za wc osoba smanjene pokretljivosti dimenzije 1,17 / 2,16 m</t>
  </si>
  <si>
    <t>POZ B13
Vrata od čeličnog lima koja se sastoje od krila vrata i okvira, kao unutarnja vrata, uklj. sve brtve, okove, opreme, dodatke, itd., izraditi, isporučiti i montirati.
Referentna mjera za ugradnju: 1,17/2,16 m
Izvedba: Zaokretna vrata, 1-krilna, sa smjerom otvaranja ulijevo ili udesno
Okvir: Obuhvatni okvir od nehrđajućeg čelika, s brušenom (granulacija 240) i četkanom površinom, sa širinom profila do 20 cm
Krilo vrata: Spojna konstrukcija od čeličnog lima i saćastog umetka, pocinčana i s premazom u prahu, debljina vrata min. 40 mm, debeli stepenasti rub, s nakošenim donjim rubom
Šarke: trodijelne, od nehrđajućeg čelika
Garnitura: ručke s obje strane, okrugle, promjera ca. 30-36 mm, dužine najmanje 300-500mm od nehrđajućeg čelika, s brušenom (granulacija 240) i četkanom površinom, s okretnim zasunom s unutarnje i prikazom „Slobodno/zauzeto“ s vanjske strane, s okruglim okvirima, s četvrtastim klinom za otvaranje u nuždi, od nehrđajućeg čelika. Dodatna poprečna šipka ručke na visini 80 do 85 cm, na unutarnjoj strani vrata, za pomoć invalidnim osobama.
Brava: Ugradbena brava sa zasunom, objektne kvalitete, pripremljena za okove vrata za zahod, s valjkastim zasunom, dodatno vijčana brava, pripremljena za profilne polucilindre, donji rub brave ca. 1,30 m iznad gotovog poda
Marka brave: Dorma 484.
Ostalo: Lim od nehrđajućeg čelika, debljine 2 mm, visine 150 mm, s brušenom (granulacija 240) i četkanom površinom, s obje strane u području podnožja kao nagazni lim, debljine 2 mm, visine 300 mm, s brušenom (granulacija 240) i četkanom površinom, sa zaobljenim kutovima, s obje strane s gornjim rubom na 1,11 m iznad gotovog poda kao zaštitni lim
Boje: sukladno Kauflandovoj paleti boja</t>
  </si>
  <si>
    <t>312.010.00140</t>
  </si>
  <si>
    <t>x..IT10..x - čelična 1-krilna vrata  dimenzije 0.96 / 2,16 m</t>
  </si>
  <si>
    <t>POZ B15
Vrata od čeličnog lima koja se sastoje od krila vrata i okvira, kao unutarnja vrata, uklj. sve brtve, okove, opreme, dodatke, itd., izraditi, isporučiti i montirati.
Referentna mjera za ugradnju: 0.96 / 2,16 m
Izvedba: Zaokretna vrata, 1-krilna, sa smjerom otvaranja ulijevo ili udesno
Okvir: Kutni okvir od čeličnog lima, pocinčan i grundiran
Krilo vrata: Spojna konstrukcija od čeličnog lima i izolacijske ploče, pocinčana i grundirana, debljina krila min. 50 mm, debeli stepenasti rub
Šarke: konstrukcijske šarke s kuglastim ležajevima
Garnitura: Kvaka, od plastike s čeličnom jezgrom
Vrata s uređajem za dnevni alarm i sklopkom s ključem
Brava: Ugradbena brava sa zasunom, objektne kvalitete, pripremljena za profilni cilindar, s panik funkcijom prema EN 179.
Ostalo: Podni držač za vrata te ojačanja unutar vrata za ugradnju zaštite od udara
Boje: sukladno Kauflandovoj paleti boja</t>
  </si>
  <si>
    <t>312.010.00145</t>
  </si>
  <si>
    <t>x..IT12..x - požarna čelična 1-krilna vrata dimenzije 1,06 / 2,16</t>
  </si>
  <si>
    <t>POZ B12
Vrata od čeličnog lima koja se sastoje od krila vrata i okvira, kao unutarnja vrata, uklj. sve brtve, okove, opreme, dodatke, itd., izraditi, isporučiti i montirati.
Referentna mjera za ugradnju: 1,06 / 2,16 m
Izvedba: Zaokretna vrata, 1-krilna, sa smjerom otvaranja ulijevo ili udesno
Okvir: Obuhvatni okvir od čeličnog lima, pocinčano i grundirano, sa širinom profila do 20 cm
Krilo vrata: Spojna konstrukcija od čeličnog lima i izolacijske ploče, pocinčana i grundirana, debljina krila min. 50 mm, debeli stepenasti rub
Protupožarni zahtjev: sprječava širenje vatre, nepropusna i sa samostalnim zatvaranjem, EI2 30 Sa C5 prema DIN EN 13501
Šarke: konstrukcijske šarke s kuglastim ležajevima
Garnitura: Garnitura s kvakom ili s kvakom i ručkom, od plastike s čeličnom jezgrom
Brava: Ugradbena brava sa zasunom, objektne kvalitete, pripremljena za profilni cilindar, s panik funkcijom prema EN 179.
Gornji zatvarač: s kliznom šinom.
Boje: sukladno Kauflandovoj paleti boja
Zidni zaustavljač vrata od mekane plastike, okrugli, promjera ca. 40 mm, s držačem od nehrđajućeg čelika, uklj. sredstva za pričvršćivanje, isporučiti i montirati.</t>
  </si>
  <si>
    <t>312.010.00150</t>
  </si>
  <si>
    <t>POZ F12
Vrata od čeličnog lima koja se sastoje od krila vrata i okvira, kao unutarnja vrata, uklj. sve brtve, okove, opreme, dodatke, itd., izraditi, isporučiti i montirati.
Referentna mjera za ugradnju: 1,06 / 2,16 m
Izvedba: Zaokretna vrata, 1-krilna, sa smjerom otvaranja ulijevo ili udesno
Okvir: Obuhvatni okvir od čeličnog lima, pocinčano i grundirano, sa širinom profila do 20 cm
Krilo vrata: Spojna konstrukcija od čeličnog lima i izolacijske ploče, pocinčana i grundirana, debljina krila min. 50 mm, debeli stepenasti rub
Protupožarni zahtjev: sprječava širenje vatre, nepropusna i sa samostalnim zatvaranjem, EI2 90 Sa C5 prema DIN EN 13501
Šarke: konstrukcijske šarke s kuglastim ležajevima
Garnitura: Garnitura s kvakom ili s kvakom i ručkom, od plastike s čeličnom jezgrom
Brava: Ugradbena brava sa zasunom, objektne kvalitete, pripremljena za profilni cilindar, s panik funkcijom prema EN 179.
Gornji zatvarač: s kliznom šinom.
Boje: sukladno Kauflandovoj paleti boja
Zidni zaustavljač vrata od mekane plastike, okrugli, promjera ca. 40 mm, s držačem od nehrđajućeg čelika, uklj. sredstva za pričvršćivanje, isporučiti i montirati.</t>
  </si>
  <si>
    <t>312.010.00155</t>
  </si>
  <si>
    <t>POZ B21
Vrata od čeličnog lima koja se sastoje od krila vrata i okvira, kao unutarnja vrata, uklj. sve brtve, okove, opreme, dodatke, itd., izraditi, isporučiti i montirati.
Referentna mjera za ugradnju: 1,06 / 2,16 m
Izvedba: Zaokretna vrata, 1-krilna, sa smjerom otvaranja ulijevo ili udesno
Okvir: Obuhvatni okvir od čeličnog lima, pocinčano i grundirano, sa širinom profila do 20 cm
Krilo vrata: Spojna konstrukcija od čeličnog lima i izolacijske ploče, pocinčana i grundirana, debljina krila min. 50 mm, debeli stepenasti rub
Protupožarni zahtjev: sprječava širenje vatre, nepropusna i sa samostalnim zatvaranjem, EI2 30 Sa C5 prema DIN EN 13501
Šarke: konstrukcijske šarke s kuglastim ležajevima
Garnitura: Garnitura s kvakom ili s kvakom i ručkom, od plastike s čeličnom jezgrom
Brava: Ugradbena brava sa zasunom, objektne kvalitete, pripremljena za profilni cilindar, s panik funkcijom prema EN 179.
Gornji zatvarač: s kliznom šinom.
Boje: sukladno Kauflandovoj paleti boja
Zidni zaustavljač vrata od mekane plastike, okrugli, promjera ca. 40 mm, s držačem od nehrđajućeg čelika, uklj. sredstva za pričvršćivanje, isporučiti i montirati.</t>
  </si>
  <si>
    <t>312.010.00160</t>
  </si>
  <si>
    <t>x..IT12.4..x - protuprovalna i požarna čelična 1-krilna vrata dimenzije 1,06 / 2,16 m</t>
  </si>
  <si>
    <t>POZ F03
Vrata od čeličnog lima koja se sastoje od krila vrata i okvira, kao unutarnja vrata, uklj. sve brtve, okove, opreme, dodatke, itd., izraditi, isporučiti i montirati.
Referentna mjera za ugradnju: 1,06 / 2,16 m
Izvedba: Zaokretna vrata, 1-krilna, sa smjerom otvaranja ulijevo ili udesno
Okvir: Obuhvatni okvir od čeličnog lima, pocinčano i grundirano, sa širinom profila do 20 cm
Krilo vrata: Spojna konstrukcija od čeličnog lima i izolacijske ploče, pocinčana i grundirana, debljina krila min. 50 mm, debeli stepenasti rub
Protupožarni zahtjev: sprječava širenje vatre, nepropusna i sa samostalnim zatvaranjem, EI2 90 Sa C5 prema DIN EN 13501
Proutuprovalna zaštita: Razred otpornosti RC2 prema DIN EN 1627
Šarke: konstrukcijske šarke s kuglastim ležajevima
Garnitura: Garnitura s kvakom i ručkom, s kratkim okvirom i zaštitom kod povlačenja, od aluminija, s eloksiranom površinom
Brava: Ugradbena brava sa zasunom, objektne kvalitete, pripremljena za profilni cilindar, s panik funkcijom prema EN 179
Gornji zatvarač: s kliznom šinom
Boje: sukladno Kauflandovoj paleti boja</t>
  </si>
  <si>
    <t>312.010.00165</t>
  </si>
  <si>
    <t>x..IT15..x - čelična dvokrilna vrata dimenzije u otvorenom položaju 2,17 / 2,53 m</t>
  </si>
  <si>
    <t>POZ B16
Vrata od čeličnog lima koja se sastoje od krila vrata i okvira, kao unutarnja vrata, uklj. sve brtve, okove, opreme, dodatke, itd., izraditi, isporučiti i montirati.
Referentna mjera za ugradnju: 2,17 / 2,53 m
Izvedba: Zaokretna vrata, 2-krilna, sa smjerom otvaranja ulijevo ili udesno
Okvir: Obuhvatni okvir od čeličnog lima, pocinčano i grundirano, sa širinom profila do 20 cm
Krilo vrata: Spojna konstrukcija od čeličnog lima i izolacijske ploče, pocinčana i grundirana, debljina krila min. 50 mm, 3 zaštitna klina
Protupožarni zahtjev: sprječava širenje vatre, nepropusna i sa samostalnim zatvaranjem, EI2 30 Sa C5 prema DIN EN 13501.
Šarke: konstrukcijske šarke s kuglastim ležajevima
Garnitura: Garnitura s kvakom, s ručkom za aktivaciju pogonskog zasuna, od plastike s čeličnom jezgrom
Brava na pomičnoj strani vrata: Ugradbena brava sa zasunom, objektne kvalitete, pripremljena za profilni cilindar
Brava na nepomičnoj strani vrata: skrivena bravica zasuna i objektne kvalitete
Kontrola: Magnetni kontakti za kontrolu otvorenosti (2 na pomičnoj strani, 1 na nepomičnoj strani), kontrola zatvorenosti integrirana u bravu, kontakt za zatvoreno stanje na pogonskom zasunu, VdS razred C, prekrivena ugradnja
Gornji zatvarač: s kliznom šinom i regulacijom redoslijeda zatvaranja
Ostalo: Zadržavanje u otvorenom položaju pomoću magneta, vatrodojavna centrala, detektori dima s obje strane, tipka za zatvaranje vrata
Boje: sukladno Kauflandovoj paleti boja</t>
  </si>
  <si>
    <t>312.010.00170</t>
  </si>
  <si>
    <t>x..IT15..x - požarna čelična dvokrilna vrata dimenzije u otvorenom položaju 2,17 / 2,53 m</t>
  </si>
  <si>
    <t>POZ F05, POZ F07, POZ F11
Vrata od čeličnog lima koja se sastoje od krila vrata i okvira, kao unutarnja vrata, uklj. sve brtve, okove, opreme, dodatke, itd., izraditi, isporučiti i montirati.
Referentna mjera za ugradnju: 2,17 / 2,53 m
Izvedba: Zaokretna vrata, 2-krilna, sa smjerom otvaranja ulijevo ili udesno
Okvir: Obuhvatni okvir od čeličnog lima, pocinčano i grundirano, sa širinom profila do 20 cm
Krilo vrata: Spojna konstrukcija od čeličnog lima i izolacijske ploče, pocinčana i grundirana, debljina krila min. 50 mm, 3 zaštitna klina
Protupožarni zahtjev: sprječava širenje vatre, nepropusna i sa samostalnim zatvaranjem, EI2 90 Sa C5 prema DIN EN 13501
Šarke: konstrukcijske šarke s kuglastim ležajevima
Garnitura: Garnitura s kvakom, s ručkom za aktivaciju pogonskog zasuna, od plastike s čeličnom jezgrom
Brava na pomičnoj strani vrata: Ugradbena brava sa zasunom, objektne kvalitete, pripremljena za profilni cilindar, s panik funkcijom prema EN 179
Brava/panik letva na nepomičnoj strani vrata: skrivena bravica zasuna i objektne kvalitete
Kontrola: Magnetni kontakti za kontrolu otvorenosti (2 na pomičnoj strani, 1 na nepomičnoj strani), kontrola zatvorenosti integrirana u bravu, kontakt za zatvoreno stanje na pogonskom zasunu, VdS razred C, prekrivena ugradnja
Gornji zatvarač: s kliznom šinom i regulacijom redoslijeda zatvaranja
Ostalo: Zadržavanje u otvorenom položaju pomoću magneta, vatrodojavna centrala, detektori dima s obje strane, tipka za zatvaranje vrata
Boje: sukladno Kauflandovoj paleti boja</t>
  </si>
  <si>
    <t>312.020</t>
  </si>
  <si>
    <t>Vanjska vrata</t>
  </si>
  <si>
    <t>312.020.00100</t>
  </si>
  <si>
    <t>x..AT4..x čelična dvokrilna vrata dimenzije 2,17 / 2,16 m, izlaz u nuždi EN 1125</t>
  </si>
  <si>
    <t>POZ B10, POZ B11
Vrata od čeličnog lima koja se sastoje od krila vrata i okvira, kao vanjska vrata, uklj. sve brtve, okove, opreme, dodatke, itd., izraditi, isporučiti i montirati.
Referentna mjera za ugradnju: 2,17 / 2,16 m
Izvedba: Zaokretna vrata, 2-krilna, sa smjerom otvaranja ulijevo ili udesno
Okvir: Obuhvatni okvir od čeličnog lima, pocinčano i grundirano, sa širinom profila do 30 cm
Krilo vrata: Spojna konstrukcija od čeličnog lima i izolacijske ploče, pocinčana i grundirana, debljina krila min. 50 mm, s donjim rubom na ca. 15 mm, 3 zaštitna klina
Koeficijent toplinske provodljivosti: min. 1,7 W/m2K
Šarke: konstrukcijske šarke s kuglastim ležajevima
Garnitura: glatko bez rozeta s vanjske strane, s unutarnje strane šipka na pomičnoj i nepomičnoj strani, od plastike s čeličnom jezgrom
Brava na pomičnoj strani vrata: Ugradbena brava sa zasunom, objektne kvalitete, pripremljena za profilni cilindar, s panik funkcijom prema EN 1125, sa samostalnim zaključavanjem
Brava na nepomičnoj strani vrata: skrivena bravica zasuna i objektne kvalitete, s panik funkcijom prema EN 1125
Kontrola: Magnetni kontakti za kontrolu otvorenosti (2 na pomičnoj strani, 1 na nepomičnoj strani), kontrola zatvorenosti integrirana u bravu, kontakt za zatvoreno stanje na pogonskom zasunu, VdS razred C, prekrivena ugradnja
Ostalo: Profil za zaštitu do kiše
Boje: sukladno Kauflandovoj paleti boja</t>
  </si>
  <si>
    <t>312.020.00105</t>
  </si>
  <si>
    <t>x..AT8..x - čelična vrata dvokrilna dimenzije 2,18/ 2,16 m, NEA</t>
  </si>
  <si>
    <t>POZ B01
Vrata od čeličnog lima koja se sastoje od krila vrata i okvira, kao vanjska vrata, uklj. sve brtve, okove, opreme, dodatke, itd., izraditi, isporučiti i montirati.
Referentna mjera za ugradnju: 2,18 / 2,16 m
Izvedba: Zaokretna vrata, 2-krilna, sa smjerom otvaranja ulijevo ili udesno
Okvir: Obuhvatni okvir od čeličnog lima, pocinčano i grundirano, sa širinom profila do 30 cm
Krilo vrata: Spojna konstrukcija od čeličnog lima i izolacijske ploče, pocinčana i grundirana, debljina krila min. 50 mm, s donjim rubom na ca. 15 mm, 3 zaštitna klina
Koeficijent toplinske provodljivosti: min. 1,7 W/m2K
Šarke: konstrukcijske šarke s kuglastim ležajevima
Garnitura: Garnitura s kvakom i ručkom, s ručkom za aktivaciju pogonskog zasuna, od plastike s čeličnom jezgrom
Brava na pomičnoj strani vrata: Ugradbena brava sa zasunom, objektne kvalitete, pripremljena za profilni cilindar, s panik funkcijom prema EN 179, sa samostalnim zaključavanjem
Brava na nepomičnoj strani vrata: skrivena bravica zasuna i objektne kvalitete, s panik funkcijom prema EN 179
Kontrola: Magnetni kontakti za kontrolu otvorenosti (2 na pomičnoj strani, 1 na nepomičnoj strani), kontrola zatvorenosti integrirana u bravu, kontakt za zatvoreno stanje na pogonskom zasunu, VdS razred C, prekrivena ugradnja
Ostalo: Profil za zaštitu do kiše, podni držač za vrata, kukica
Boje: RAL7047 ili prema odluci Investitora</t>
  </si>
  <si>
    <t>312.020.00110</t>
  </si>
  <si>
    <t>x..AT9.1..x -  čelična vrata dvokrilna dimenzije 1,57 / 2,53 m, KKV</t>
  </si>
  <si>
    <t>POZ B05
Vrata od čeličnog lima koja se sastoje od krila vrata i okvira, kao vanjska vrata, uklj. sve brtve, okove, opreme, dodatke, itd., izraditi, isporučiti i montirati.
Referentna mjera za ugradnju: 1,57 / 2,53 m
Izvedba: Zaokretna vrata, 2-krilna, sa smjerom otvaranja ulijevo ili udesno
Okvir: Obuhvatni okvir od čeličnog lima, pocinčano i grundirano, sa širinom profila do 30 cm
Krilo vrata: Spojna konstrukcija od čeličnog lima i izolacijske ploče, pocinčana i grundirana, debljina krila min. 50 mm, s donjim rubom na ca. 15 mm, 3 zaštitna klina
Koeficijent toplinske provodljivosti: min. 1,7 W/m2K
Šarke: konstrukcijske šarke s kuglastim ležajevima
Garnitura: Garnitura s kvakom i ručkom, s ručkom za aktivaciju pogonskog zasuna, od plastike s čeličnom jezgrom
Brava na pomičnoj strani vrata: Ugradbena brava sa zasunom, objektne kvalitete, pripremljena za profilni cilindar, s panik funkcijom prema EN 179, sa samostalnim zaključavanjem
Brava na nepomičnoj strani vrata: skrivena bravica zasuna i objektne kvalitete, s panik funkcijom prema EN 179
Kontrola: Magnetni kontakti za kontrolu otvorenosti (2 na pomičnoj strani, 1 na nepomičnoj strani), kontrola zatvorenosti integrirana u bravu, kontakt za zatvoreno stanje na pogonskom zasunu, VdS razred C, prekrivena ugradnja
Gornji zatvarač: s kliznom šinom, na strani na kojoj se ne nalaze šarke, regulacija redoslijeda zatvaranja
Ostalo: Profil za zaštitu do kiše, podni držač za vrata, kukica
Marka brave: Dorma SVP5000.
Boje: RAL7047 ili prema odluci Investitora</t>
  </si>
  <si>
    <t>312.020.00115</t>
  </si>
  <si>
    <t>x..AT10..x - čelična 1-krilna vrata dimenzije 1,27 / 2,16 m</t>
  </si>
  <si>
    <t>POZ B04
Vrata od čeličnog lima koja se sastoje od krila vrata i okvira, kao vanjska vrata, uklj. sve brtve, okove, opreme, dodatke, itd., izraditi, isporučiti i montirati.
Referentna mjera za ugradnju: 1,27 / 2,16 m
Izvedba: Zaokretna vrata, 1-krilna, sa smjerom otvaranja ulijevo ili udesno
Okvir: Obuhvatni okvir od čeličnog lima, pocinčano i grundirano, sa širinom profila do 30 cm
Krilo vrata: Spojna konstrukcija od čeličnog lima i izolacijske ploče, pocinčana i grundirana, debljina krila min. 50 mm, s donjim rubom na ca. 15 mm, 3 zaštitna klina
Koeficijent toplinske provodljivosti: min. 1,7 W/m2K
Šarke: konstrukcijske šarke s kuglastim ležajevima
Garnitura: Kvaka i ručka, od plastike s čeličnom jezgrom
Brava: Ugradbena brava sa zasunom, objektne kvalitete, pripremljena za profilni cilindar, s panik funkcijom prema EN 179, sa samostalnim zaključavanjem
Kontrola: Magnetni kontakti za kontrolu otvorenosti (2 na pomičnoj strani), kontakt na zasunu za kontrolu zatvorenosti, VdS razred C, prekrivena ugradnja
Ostalo: Profil za zaštitu do kiše, podni držač za vrata, kukica
Podni fiksator. Marka brave: Dorma SVP5000.
Boje: RAL7047 ili prema odluci Investitora</t>
  </si>
  <si>
    <t>312.020.00120</t>
  </si>
  <si>
    <t>x..AT10..x - čelična 1-krilna vrata dimenzije 1,07 /  2,16 m</t>
  </si>
  <si>
    <t>POZ B02, POZ B03
Vrata od čeličnog lima koja se sastoje od krila vrata i okvira, kao vanjska vrata, uklj. sve brtve, okove, opreme, dodatke, itd., izraditi, isporučiti i montirati.
Referentna mjera za ugradnju: 1,07 / 2,16 m
Izvedba: Zaokretna vrata, 1-krilna, sa smjerom otvaranja ulijevo ili udesno
Okvir: Obuhvatni okvir od čeličnog lima, pocinčano i grundirano, sa širinom profila do 30 cm
Krilo vrata: Spojna konstrukcija od čeličnog lima i izolacijske ploče, pocinčana i grundirana, debljina krila min. 50 mm, s donjim rubom na ca. 15 mm, 3 zaštitna klina
Koeficijent toplinske provodljivosti: min. 1,7 W/m2K
Šarke: konstrukcijske šarke s kuglastim ležajevima
Garnitura: Kvaka i ručka, od plastike s čeličnom jezgrom
Brava: Ugradbena brava sa zasunom, objektne kvalitete, pripremljena za profilni cilindar, s panik funkcijom prema EN 179, sa samostalnim zaključavanjem, Podna blokada.
Kontrola: Magnetni kontakti za kontrolu otvorenosti (2 na pomičnoj strani), kontakt na zasunu za kontrolu zatvorenosti, VdS razred C, prekrivena ugradnja
Marka brave: Dorma SVP5000.
Ostalo: Profil za zaštitu do kiše, podni držač za vrata, kukica
Priključak na alarmni uređaj, oprema sa zasunskim i magnetnim kontaktom, unutarnja prazna cijev za kabel. Na strani panta 3 trna, prilikom skidanja panta vrata se ne smiju ovjesiti.
Boje: Boje: RAL7047 ili prema odluci Investitora</t>
  </si>
  <si>
    <t>312.020.00125</t>
  </si>
  <si>
    <t>x..AT17..x - čelična 1-krilna vrata dimenzije 1,18 / 2,16 m, izlaz u nuždi EN 179</t>
  </si>
  <si>
    <t>POZ B06
Vrata od čeličnog lima koja se sastoje od krila vrata i okvira, kao vanjska vrata, uklj. sve brtve, okove, opreme, dodatke, itd., izraditi, isporučiti i montirati.
Referentna mjera za ugradnju: 1,18 / 2,16 m
Izvedba: Zaokretna vrata, 1-krilna, sa smjerom otvaranja ulijevo ili udesno
Okvir: Obuhvatni okvir od čeličnog lima, pocinčano i grundirano, sa širinom profila do 30 cm
Krilo vrata: Spojna konstrukcija od čeličnog lima i izolacijske ploče, pocinčana i grundirana, debljina krila min. 50 mm, s donjim rubom na ca. 15 mm, 3 zaštitna klina, s debelim stepenastim rubom
Koeficijent toplinske provodljivosti: min. 1,7 W/m2K
Šarke: konstrukcijske šarke s kuglastim ležajevima
Garnitura: Garnitura s kvakom i ručkom, od aluminija, eloksirana površina
Brava: Ugradbena brava sa zasunom, objektne kvalitete, pripremljena za profilni polucilindar, s panik funkcijom prema EN 179, sa samostalnim zaključavanjem
Kontrola: Magnetni kontakti za kontrolu otvorenosti (2 na pomičnoj strani), kontakt na zasunu za kontrolu zatvorenosti, VdS razred C, prekrivena ugradnja
Gornji zatvarač: s kliznom šinom, na strani na kojoj se ne nalaze šarke
Ostalo: Profil za zaštitu od kiše, podni držač za vrata
Boje: RAL7047 ili prema odluci Investitora
Marka brave: Dorma SVP5000.</t>
  </si>
  <si>
    <t>312.020.00130</t>
  </si>
  <si>
    <t>x..AT28..x - Vanjska 1-krilna vrata, dimenzije 1,37/ 1,16 m</t>
  </si>
  <si>
    <t>POZ B09
Višenamjenka vrata od čeličnog lima koja se sastoje od krila vrata i steznog okvira za PU sendvič panele, kao vanjska vrata, uklj. sve brtve, okove, opreme, dodatke, itd., izraditi, isporučiti i montirati.
Referentna mjera za ugradnju: 1,37/1,16 m
Izvedba: Zaokretna vrata, 1-krilna, sa smjerom otvaranja ulijevo ili udesno prema unutra
Krilo vrata: Spojna konstrukcija od čeličnog lima i izolacijske ploče, pocinčana i grundirana, debljina krila min. 50 mm
Koeficijent toplinske provodljivosti: min. 1,8 W/m2K
Šarke: konstrukcijske šarke s kuglastim ležajevima
Garnitura: ručka od aluminija, eloksirana površina, s vanjske strana glatka
Brava: pripremljena za polucilindar
Protuprovala: Povezivanje s alarmnim sustavom putem pričvršćenih magnetskih kontakata i prekidača s ključem za dnevni alarm.
Ostalo: Održavanje vrata otvorenima pomoću kuke za pričvršćivanje ili preklopne poluge, za zidnu montažu, npr. tip KWS 1011 ili KWS 1073, kako bi se izbjeglo oštećenje ručke vrata, po mogućnosti s odstojnim nosačem.
Kanal za smeće: pričvršćen izvana na fasadu, od vruće pocinčanog lima, min. 2 mm debljine, s bočnim podignutim rubovima visine otprilike 30 cm, s nosačem za učvršćenje/ podupiranje na fasadi. Širina u skladu s ugradnim otvorom cca. 1200 mm, dubina i kosina prikladne za vanjski kontejner za smeće.
Boje: sukladno Kauflandovoj paleti boja</t>
  </si>
  <si>
    <t>312.030</t>
  </si>
  <si>
    <t>Revizijska vratašca</t>
  </si>
  <si>
    <t>312.030.00100</t>
  </si>
  <si>
    <t>-  protupožarna revizijska čelična 1-krilna vrata dimenzije 1,00/1,00 m</t>
  </si>
  <si>
    <t>Dobava i postava tipskih protupožarnih čeličnih revizijskih vratašca u gk zidove dimenzija prema projektu. Ugradnja prema uputama proizvođača.
Svijetle dimenzije: [ 1,00/1,00 ] m
Protupožarni zahtjev: EI2 90 Sa C5 prema DIN EN 13501
Boje: sukladno Kauflandovoj paleti boja</t>
  </si>
  <si>
    <t>312.040</t>
  </si>
  <si>
    <t>312.040.00100</t>
  </si>
  <si>
    <t>- zidni odbojnik za vrata</t>
  </si>
  <si>
    <t>Zidni zaustavljač vrata od mekane plastike, okrugli, promjera ca. 40 mm, s držačem od nehrđajućeg čelika, uklj. sredstva za pričvršćivanje, isporučiti i montirati.</t>
  </si>
  <si>
    <t>312.050</t>
  </si>
  <si>
    <t>312.050.00100</t>
  </si>
  <si>
    <t>- puštanje u rad i upute, početno ispitivanje od strane stučnih osoba</t>
  </si>
  <si>
    <t>Puštanje u rad i obučavanje djelatnika poslovnice za vrata kao što su protupožarna vrata, vrata pod dnevnim alarmom i automatska vrata.
Inicijalno ispitivanje prema EN 12635 gore navedenih ručno upravljanim vratima i vratima s automatskim zatvaranjem u slučaju nužde od strane ovlaštene i priznate stručne osobe prema važećim propisima o ispitivanju u pojedinoj državi, uklj. izradu knjige o ispitivanju, potrebne naknadne provjere, ponovo vraćanje u rad.</t>
  </si>
  <si>
    <t>312.060</t>
  </si>
  <si>
    <t>313</t>
  </si>
  <si>
    <t>Drvena vrata</t>
  </si>
  <si>
    <t>313.000</t>
  </si>
  <si>
    <t>Ograničenje usluga za drvena vrata</t>
  </si>
  <si>
    <t>U sljedećim pozicijama potrebno je uzeti u obzir i uračunati sljedeće usluge, čak i ako nisu izričito navedene:
- Ugradnju u sve vrste zidove od betona, zidanih elemenata, gips kartona, čelične konstrukcije, itd.
- Ispune okvira kod ugradnje u masivne zidove, ispuna u kvaliteti vidljivih površina
- Boju plastičnih garnitura prema Kauflandovoj paleti boja
- Primopredaju okvira za ugradnju od strane odjeljka za suhogradnju</t>
  </si>
  <si>
    <t>313.010</t>
  </si>
  <si>
    <t>313.010.00100</t>
  </si>
  <si>
    <t>x..IT26..x - PVC 1-krilna vrata dimenzije [ 0,86 / 2,16 ] m</t>
  </si>
  <si>
    <t>POZ P19, POZ P20
Izrada i postava unutarnjih jednokrilnih vrata PVC izvedbe bez praga. Okvir vrata od pvc profila sa pocinčanim metalnim ojačanjem od čelika
Referentna mjera za ugradnju: [ 0,86 / 2,16 ] m
Izvedba: Zaokretna vrata, 1-krilna, sa smjerom otvaranja ulijevo ili udesno
Okvir: pvc profila sa pocinčanim metalnim ojačanjem od čelika
Krilo vrata: izvedeno od pvc sendvić panela debljine 40mm.
Izvedba rubova: savijeni
Šarke: od nehrđajućeg čelika
Garnitura: Kvaka od plastike s čeličnom jezgrom, U-oblik s okruglim okvirima kvake i brave
Brava: Ugradbena brava sa zasunom, objektne kvalitete, pripremljena za profilni cilindar
Boje: sukladno Kauflandovoj paleti boja
Zidni zaustavljač vrata od mekane plastike, okrugli, promjera ca. 40 mm, s držačem od nehrđajućeg čelika, uklj. sredstva za pričvršćivanje, isporučiti i montirati</t>
  </si>
  <si>
    <t>313.010.00105</t>
  </si>
  <si>
    <t>x..IT26..x - PVC 1-krilna vrata dimenzije [ 0,96 / 2,16 ] m</t>
  </si>
  <si>
    <t>POZ P21, POZ P22, POZ P23, POZ P24
Izrada i postava unutarnjih jednokrilnih vrata PVC izvedbe bez praga. Okvir vrata od pvc profila sa pocinčanim metalnim ojačanjem od čelika
Referentna mjera za ugradnju: [ 0,96 / 2,16 ] m
Izvedba: Zaokretna vrata, 1-krilna, sa smjerom otvaranja ulijevo ili udesno
Okvir: pvc profila sa pocinčanim metalnim ojačanjem od čelika
Krilo vrata: izvedeno od pvc sendvić panela debljine 40mm.
Izvedba rubova: savijeni
Šarke: od nehrđajućeg čelika
Garnitura: Kvaka od plastike s čeličnom jezgrom, U-oblik s okruglim okvirima kvake i brave
Brava: Ugradbena brava sa zasunom, objektne kvalitete, pripremljena za profilni cilindar
Boje: sukladno Kauflandovoj paleti boja
Zidni zaustavljač vrata od mekane plastike, okrugli, promjera ca. 40 mm, s držačem od nehrđajućeg čelika, uklj. sredstva za pričvršćivanje, isporučiti i montirati</t>
  </si>
  <si>
    <t>313.010.00110</t>
  </si>
  <si>
    <t>x..IT26..x - PVC 1-krilna vrata dimenzije [ 1,06 / 2,16 ] m</t>
  </si>
  <si>
    <t>POZ P25
Izrada i postava unutarnjih jednokrilnih vrata PVC izvedbe bez praga. Okvir vrata od pvc profila sa pocinčanim metalnim ojačanjem od čelika
Referentna mjera za ugradnju: [ 1,06 / 2,16 ] m
Izvedba: Zaokretna vrata, 1-krilna, sa smjerom otvaranja ulijevo ili udesno
Okvir: pvc profila sa pocinčanim metalnim ojačanjem od čelika
Krilo vrata: izvedeno od pvc sendvić panela debljine 40mm.
Izvedba rubova: savijeni
Šarke: od nehrđajućeg čelika
Garnitura: Kvaka od plastike s čeličnom jezgrom, U-oblik s okruglim okvirima kvake i brave
Brava: Ugradbena brava sa zasunom, objektne kvalitete, pripremljena za profilni cilindar
Boje: sukladno Kauflandovoj paleti boja
Zidni zaustavljač vrata od mekane plastike, okrugli, promjera ca. 40 mm, s držačem od nehrđajućeg čelika, uklj. sredstva za pričvršćivanje, isporučiti i montirati</t>
  </si>
  <si>
    <t>313.010.00115</t>
  </si>
  <si>
    <t>x..IT27..x - drvena 1-krilna vrata dimenzije - ured voditelja [ 1,06 / 2,16 ] m, 47 dB</t>
  </si>
  <si>
    <t>POZ D01
Vrata koja se sastoje do drvenog krila i čeličnog okvira, uklj. sve okove, sitne dijelove, sredstva za pričvršćivanje i ispunu, isporučiti, ugraditi, odnosno montirati i podesiti.
Referentna mjera za ugradnju: 1,06 / 2,16 m
Izvedba: Zaokretna vrata, 1-krilna, sa smjerom otvaranja ulijevo ili udesno
Zahtjevi zvučne izolacije: Rw,p &gt;= 47 dB
Protuprovalna izvedba (RC2)
Okvir: Obuhvatni okvir od čeličnog lima, pocinčan i grundiran
Zid: Zid od gips kartona, debljina zida 12,5 cm
Krilo vrata: okvir od masivnog drveta ispune od cjevaste iverice
Površina: HPL ploča
Izvedba rubova: savijeni, s drvenom prevlakom, plastični rub
Šarke: od nehrđajućeg čelika
Garnitura: Kvaka od plastike s čeličnom jezgrom, U-oblik s okruglim okvirima kvake i brave
Brava: Ugradbena brava sa zasunom, objektne kvalitete, pripremljena za profilni cilindar
Boje: sukladno Kauflandovoj paleti boja
Zidni zaustavljač vrata od mekane plastike, okrugli, promjera ca. 40 mm, s držačem od nehrđajućeg čelika, uklj. sredstva za pričvršćivanje, isporučiti i montirati</t>
  </si>
  <si>
    <t>313.010.00120</t>
  </si>
  <si>
    <t>x..IT27..x - drvena 1-krilna vrata dimenzije [ 1,06 / 2,16 ] m, 37 dB</t>
  </si>
  <si>
    <t>POZ D02, POZ D03
Vrata koja se sastoje do drvenog krila i čeličnog okvira, uklj. sve okove, sitne dijelove, sredstva za pričvršćivanje i ispunu, isporučiti, ugraditi, odnosno montirati i podesiti.
Referentna mjera za ugradnju: 1,06 / 2,16 m
Izvedba: Zaokretna vrata, 1-krilna, sa smjerom otvaranja ulijevo ili udesno
Zahtjevi zvučne izolacije: Rw,p &gt;= 37 dB
Okvir: Obuhvatni okvir od čeličnog lima, pocinčan i grundiran
Zid: Zid od gips kartona, debljina zida 12,5 cm
Krilo vrata: okvir od masivnog drveta ispune od cjevaste iverice
Površina: HPL ploča
Izvedba rubova: savijeni, s drvenom prevlakom, plastični rub
Šarke: od nehrđajućeg čelika
Garnitura: Kvaka od plastike s čeličnom jezgrom, U-oblik s okruglim okvirima kvake i brave
Brava: Ugradbena brava sa zasunom, objektne kvalitete, pripremljena za profilni cilindar
Boje: sukladno Kauflandovoj paleti boja
Zidni zaustavljač vrata od mekane plastike, okrugli, promjera ca. 40 mm, s držačem od nehrđajućeg čelika, uklj. sredstva za pričvršćivanje, isporučiti i montirati</t>
  </si>
  <si>
    <t>313.010.00125</t>
  </si>
  <si>
    <t>x..IT27..x - drvena 1-krilna vrata za garderobe dimenzije [ 1,06 / 2,16 ] m, 37 dB</t>
  </si>
  <si>
    <t>POZ D04, POZ D05
Vrata koja se sastoje do drvenog krila i čeličnog okvira, uklj. sve okove, sitne dijelove, sredstva za pričvršćivanje i ispunu, isporučiti, ugraditi, odnosno montirati i podesiti.
Referentna mjera za ugradnju: 1,06 / 2,16 m
Izvedba: Okretna vrata, 1-krilna, sa smjerom otvaranja ulijevo ili udesno
Zahtjevi zvučne izolacije: Rw,p &gt;= 37 dB
Okvir: Obuhvatni okvir od čeličnog lima, pocinčan i grundiran
Zid: Zid od gips kartona, debljina zida 12,5 cm
Krilo vrata: okvir od masivnog drveta ispune od cjevaste iverice
Površina: HPL ploča
Izvedba rubova: savijeni, s drvenom prevlakom, plastični rub
Šarke: od nehrđajućeg čelika
Garnitura: Ručka od plastike, s okruglim okvirima brave
Brava: Ugradbena brava sa zasunom, objektne kvalitete, pripremljena za profilni cilindar, bez izbočenja s valjkastim zasunom
Marka brave: Dorma 484
Gornji zatvarač: s kliznom šinom, na strani na kojoj se ne nalaze šarke
Ostalo: Lim od nehrđajućeg čelika, debljine 2 mm, visine 200 mm, s brušenom (granulacija 240) i četkanom površinom, s jedne strane na donjoj strani krila kao nagazni lim
Boje: sukladno Kauflandovoj paleti boja
Zidni zaustavljač vrata od mekane plastike, okrugli, promjera ca. 40 mm, s držačem od nehrđajućeg čelika, uklj. sredstva za pričvršćivanje, isporučiti i montirati</t>
  </si>
  <si>
    <t>313.010.00130</t>
  </si>
  <si>
    <t>x..IT28..x - drvena 1-krilna vrata dimenzije 0,96 / 2,16 m</t>
  </si>
  <si>
    <t>POZ D06, POZ D07, POZ D08
Vrata koja se sastoje od drvenog krila i čeličnog okvira, uklj. sve okove, sitne dijelove, sredstva za pričvršćivanje i ispunu, isporučiti, ugraditi, odnosno montirati i podesiti.
Referentna mjera za ugradnju: 0,96 / 2,16 m
Izvedba: Zaokretna vrata, 1-krilna, sa smjerom otvaranja ulijevo ili udesno
Zahtjev: prikladna za vlažna područja
Okvir: Obuhvatni okvir od čeličnog lima, pocinčan i grundiran
Zid: Zid od gips kartona, debljina zida 12,5 cm
Krilo vrata: okvir od masivnog drveta, puna ispuna od iverice
Površina: HPL ploča
Izvedba rubova: savijeni, s plastičnom prevlakom
Šarke: od nehrđajućeg čelika
Garnitura: Ručka od plastike, s okruglim okvirima brave
Gornji zatvarač: s kliznom šinom, na strani na kojoj se ne nalaze šarke
Brava: Ugradbena brava sa zasunom, objektne kvalitete, pripremljena za profilni cilindar, bez izbočenja s valjkastim zasunom
Ostalo: Lim od nehrđajućeg čelika, debljine 2 mm, visine 200 mm, s brušenom (granulacija 240) površinom, s obje strane na donjoj strani krila kao nagaznim limom
Boje: sukladno Kauflandovoj paleti boja
Zidni zaustavljač vrata od mekane plastike, okrugli, promjera ca. 40 mm, s držačem od nehrđajućeg čelika, uklj. sredstva za pričvršćivanje, isporučiti i montirati</t>
  </si>
  <si>
    <t>313.020</t>
  </si>
  <si>
    <t>313.020.00100</t>
  </si>
  <si>
    <t>- odbojnik zidnih vrata</t>
  </si>
  <si>
    <t>314</t>
  </si>
  <si>
    <t>314.000</t>
  </si>
  <si>
    <t>Opseg ciljeva izvedbe</t>
  </si>
  <si>
    <t>U sljedećim pozicijama potrebno je uzeti u obzir i uračunati sljedeće usluge, čak i ako nisu izričito navedene:
-</t>
  </si>
  <si>
    <t>314.010</t>
  </si>
  <si>
    <t>Brzopodizna vrata</t>
  </si>
  <si>
    <t>314.010.00100</t>
  </si>
  <si>
    <t>x..IT29..x - unutarnja brzopodizna vrata dimenzije 1,5 / 2,5 m</t>
  </si>
  <si>
    <t>POZ B27
Brza vrata za unutarnji prostor s električnim pogonom, na sljedeći način izraditi, isporučiti, montirati i spojiti:
Krilo: Plastično krilo, boja prema Kauflandovoj paleti boja, zatvoreno bez prozora, donji dio sa zaštitom protiv miševa
Obloge: Bočni elementi i oklop vratila od pocinčanog čeličnog lima, lako uklonjivi
Boje: Vodilice, okvir, limene obloge i oklop za pogonsku jedinicu u RAL boji prema Kauflandovoj paleti boja
Pogon: Upravljačka jedinica s frekvencijskim pretvaračem, za nježno ubrzavanje i usporavanje u krajnjim položajima, ručica za upravljanje bez ljestvi, ručno otključavanje i upravljanje u slučaju nužde bez skidanja obloga
Sigurnosne funkcije: Zaštita od sudara odnosno zaštitna mehanika s automatskim vraćanjem u vodilice, električnom kontaktnom letvom, sigurnosnom svjetlosnom barijerom
Brzine: Brzina otvaranja min. 2,0 m/s, brzina zatvaranja min. 0,5 m/s, programabilno vrijeme otvorenosti (kod prvog puštanja u rad min. 12 s)
Izjednačavanje tereta pomoću protuutega u bočnim dijelovima
Svijetla širina prolaza: 1,5 m
Svijetla visina prolaza: 2,5 m
Referentni proizvodi: sukladno Kauflandovom opisu gradnje</t>
  </si>
  <si>
    <t>314.010.00105</t>
  </si>
  <si>
    <t>x..IT29..x - unutarnja brzopodizna vrata dimenzija 2,17 / 2,50 m</t>
  </si>
  <si>
    <t>POZ B28, POZ B29
Brza vrata za unutarnji prostor s električnim pogonom, na sljedeći način izraditi, isporučiti, montirati i spojiti:
Krilo: Plastično krilo, boja prema Kauflandovoj paleti boja, zatvoreno bez prozora, donji dio sa zaštitom protiv miševa
Obloge: Bočni elementi i oklop vratila od pocinčanog čeličnog lima, lako uklonjivi
Boje: Vodilice, okvir, limene obloge i oklop za pogonsku jedinicu u RAL boji prema Kauflandovoj paleti boja
Pogon: Upravljačka jedinica s frekvencijskim pretvaračem, za nježno ubrzavanje i usporavanje u krajnjim položajima, ručica za upravljanje bez ljestvi, ručno otključavanje i upravljanje u slučaju nužde bez skidanja obloga
Sigurnosne funkcije: Zaštita od sudara odnosno zaštitna mehanika s automatskim vraćanjem u vodilice, električnom kontaktnom letvom, sigurnosnom svjetlosnom barijerom
Brzine: Brzina otvaranja min. 2,0 m/s, brzina zatvaranja min. 0,5 m/s, programabilno vrijeme otvorenosti (kod prvog puštanja u rad min. 12 s)
Izjednačavanje tereta pomoću protuutega u bočnim dijelovima
Svijetla širina prolaza: 2,17 m
Svijetla visina prolaza: 2,50 m
Referentni proizvodi: sukladno Kauflandovom opisu gradnje</t>
  </si>
  <si>
    <t>314.010.00110</t>
  </si>
  <si>
    <t>x..IT29..x - unutarnja brzopodizna vrata dimenzija 2,01 / 2,50 m</t>
  </si>
  <si>
    <t>POZ B17
Brza vrata za unutarnji prostor s električnim pogonom, na sljedeći način izraditi, isporučiti, montirati i spojiti:
Krilo: Plastično krilo, boja prema Kauflandovoj paleti boja, zatvoreno bez prozora, donji dio sa zaštitom protiv miševa
Obloge: Bočni elementi i oklop vratila od pocinčanog čeličnog lima, lako uklonjivi
Boje: Vodilice, okvir, limene obloge i oklop za pogonsku jedinicu u RAL boji prema Kauflandovoj paleti boja
Pogon: Upravljačka jedinica s frekvencijskim pretvaračem, za nježno ubrzavanje i usporavanje u krajnjim položajima, ručica za upravljanje bez ljestvi, ručno otključavanje i upravljanje u slučaju nužde bez skidanja obloga
Sigurnosne funkcije: Zaštita od sudara odnosno zaštitna mehanika s automatskim vraćanjem u vodilice, električnom kontaktnom letvom, sigurnosnom svjetlosnom barijerom
Brzine: Brzina otvaranja min. 2,0 m/s, brzina zatvaranja min. 0,5 m/s, programabilno vrijeme otvorenosti (kod prvog puštanja u rad min. 12 s)
Izjednačavanje tereta pomoću protuutega u bočnim dijelovima
Svijetla širina prolaza: 2,01 m
Svijetla visina prolaza: 2,50 m
Referentni proizvodi: sukladno Kauflandovom opisu gradnje</t>
  </si>
  <si>
    <t>314.010.00115</t>
  </si>
  <si>
    <t>-Dodatna oprema za brzopodizna vrata, svjetlosna barijera</t>
  </si>
  <si>
    <t>Dodatna opema za gore Navedena brzopodizna vrata: aktivacijua putem svjetlosne barijere, montaža na pod.</t>
  </si>
  <si>
    <t>314.010.00120</t>
  </si>
  <si>
    <t>- Dodatna oprema brzopodizna vrata, radarski detektori pokreta</t>
  </si>
  <si>
    <t>Dodatna oprema za gore Navedena brzopodizna vrata: aktivacija putem radarskog detektora pokreta, vertikalna/zidna montaža.</t>
  </si>
  <si>
    <t>314.010.00125</t>
  </si>
  <si>
    <t>- Dodatna oprema za brzopodizna vrata, tipke</t>
  </si>
  <si>
    <t>Dodatna oprema za gore Navedena brzopodizna vrata: aktivacija putem tipke, zidna montaža, ca. 1,2 m iznad poda.</t>
  </si>
  <si>
    <t>314.020</t>
  </si>
  <si>
    <t>Sekcijska vrata</t>
  </si>
  <si>
    <t>314.020.00100</t>
  </si>
  <si>
    <t>- Sekcijska vanjska vrata, dimenzije 2,8 / 2,6 m, ručna</t>
  </si>
  <si>
    <t>POZ B07
Sekcijska vrata za vanjski prostor, na sljedeći način izraditi, isporučiti, montirati i spojiti:
Krilo vrata: dvostruke sekcije, od pocinčanog čeličnog lima s ispunom od PU pjene, s premazom u prahu, s prozirnim dijelom podijeljenim u sredini i dvostrukim pločama od polikarbonata, otporno na udarce i provalu, visina sekcija ca. 500 mm
Boja: Krilo s unutarnje strane slično RAL 9002 (sivo-bijelo), s vanjske strane prema Kauflandovoj paleti boja
Vrsta okova: okovi za visoko vođenje, od pocinčanog čeličnog lima
Koeficijent toplinske provodnosti: prema državnim propisima i direktivama, min. 1,8 W/m2K
Pogon: ručni s lancem od okruglog čelika
Zaključavanje i nadzor vrata: Zasun s kontaktom, magnetni kontakt montiran u okvir
Svijetla širina prolaza: 2,8 m
Svijetla visina prolaza: 2,5 m, nisko vođenje vrata do visine priključka (-1,2 m u odnosu na visinu gotovog poda), visina vrata ca. 3,7 m</t>
  </si>
  <si>
    <t>314.020.00105</t>
  </si>
  <si>
    <t>Optional position</t>
  </si>
  <si>
    <t>x..AT27..x - sekcijska vanjska vrata, dimenzije 2,8 / 2,6 m, električni pogon</t>
  </si>
  <si>
    <t>POZ B07
Sekcijska vrata za vanjski prostor s električnim pogonom, na sljedeći način izraditi, isporučiti, montirati i spojiti:
Krilo vrata: dvostruke sekcije, od pocinčanog čeličnog lima s ispunom od PU pjene, s premazom u prahu, s prozirnim dijelom podijeljenim u sredini i dvostrukim pločama od polikarbonata, otporno na udarce i provalu, visina sekcija ca. 500 mm
Boja: Krilo s unutarnje strane slično RAL 9002 (sivo-bijelo), s vanjske strane prema Kauflandovoj paleti boja
Vrsta okova: okovi za visoko vođenje, od pocinčanog čeličnog lima
Koeficijent toplinske provodnosti: prema državnim propisima i direktivama, min. 1,8 W/m2K
Pogon: Električni pogon s vratilom, vrsta zaštite min. IP 44, s upravljanjem pomoću frekvencijskog pretvarača, elektronički krajnji prekidač, rukovanje u nuždi pomoću ručnog lanca
Sigurnosne funkcije: Sigurnosna oprema odabire se prema državnim propisima i direktivama, ali minimalno je potrebna zaštita rubova zatvaranja
Brzine: Brzina otvaranja min. 0,3 m/s, brzina zatvaranja min. 0,5 m/s
Zaključavanje i nadzor vrata: Zasun s kontaktom, magnetni kontakt montiran u okvir
Svijetla širina prolaza: 2,8 m
Svijetla visina prolaza: 2,5 m, nisko vođenje vrata do visine priključka (-1,2 m u odnosu na visinu gotovog poda), visina vrata ca. 3,7 m</t>
  </si>
  <si>
    <t>314.020.00110</t>
  </si>
  <si>
    <t>- Dodatna oprema za sekcijska vrata, otključavanje u slučaju požara</t>
  </si>
  <si>
    <t>Dodatna oprema za gore Navedena sekcijska vrata, koja uključuje otključavanje u slučaju požara, prirpremljena za profilni cilindar.</t>
  </si>
  <si>
    <t>314.030</t>
  </si>
  <si>
    <t>Rolo vrata</t>
  </si>
  <si>
    <t>314.040</t>
  </si>
  <si>
    <t>314.040.00100</t>
  </si>
  <si>
    <t>x..FT2..x - transportna tehnika</t>
  </si>
  <si>
    <t>Elektrohidraulička pretovarna rampa s pogonom, nosivosti 60 kN, prema DIN EN 1398 pretovarne rampe.
Ugradbena duljina 2000 mm, širina 1750 mm.
bezstupanjski pogon 1000 mm.
viseći dizajn za pristupačnost sa stražnjim dizalima.
Krug zaključavanja sekcijskih vrata i pretovarne rampe s osjetnikom svjetla, pomicanje rampe samo kada su sekcijska vrata otvorena, montaža osjetnika na okvir sekcijskih vrata, V = 1,50 m iznad gotovog poda, alternativno se pretovarna rampa aktivira preko dvosmjernog magnetskog prekidača.
Rukovanje putem upravljanja s tri ili četiri gumba (podizanje, pomak naprijed/natrag, gumb za automatsko vraćanje). Raspored komandi za pretovarnu rampu, donji rub 1,20 m.
Krug zaključavanja sekcijskih vrata i pretovarne rampe s osjetnikom svjetla, pomicanje rampe samo kada su sekcijska vrata otvorena, montaža osjetnika na okvir sekcijskih vrata, V = 1,50 m iznad gotovog poda, alternativno se pretovarna rampa aktivira preko dvosmjernog magnetskog prekidača.
Rubna zaštita
Odbojnik od sintetičkog kaučuka ili gume, visina/širina/dubina: 500/250/140 mm, boja crna, lako izmjenjiv, s čeličnom pločom za držanje. Odbojnik uvijen navojnim šipkama u rubnim zaštitnim kutnicima od punog čelika s unutarnjim navojem.
Rubni zaštitni kut otpr. 160/80/10 mm usidreni sidrima za beton u montažnu betonsku konstrukciju mjesta za pretovar.
Dodatna zaštita od udara (čelični odbojnik), izrađena od punog, pocinčanog čelika, debljine minimalno 8 mm.
Poseban slučaj specifičan za projekt: Ako je nagib između dostavnog dvorišta i zgrade veći od 2%, postoji rizik da će kamion oštetiti vanjski zid zgrade. Za svakih 1 % povećanja nagiba, vertikalni nagib kamiona povećava se za otprilike 2,5 cm u smjeru zgrade. Ova promjena u nagibu može se kompenzirati zavarivanjem odgovarajućih čeličnih odstojnih profila između vanjskog zida i udarnog odbojnika. Odstupanje od standarda (nagib 2%) uvijek je potrebno dogovoriti s Kauflandom.</t>
  </si>
  <si>
    <t>314.040.00105</t>
  </si>
  <si>
    <t>x..TA2..x - "dock shelter" na sekcijskim vratima skladišta</t>
  </si>
  <si>
    <t>Dobava i postava DOCK SHELTERA:
Standardne dimenzije: širina 3,35 m, ugradbena dubina 0,6 m, visina montaže: gornji rub brtve vratiju 3,38 m.
Širina prednje maske od cerade 600 mm, visina gornje maske (gornja površina) 800 mm.
Debljina mateijala PVC-cerade najmanje 3,5 mm. Boja cerade crna. Duljina gornje maske od cerade) se po potrebi prilagođava visini kamiona i provjerava prema specifičnostima projekta. Montaža se izvodi tako da donji rub brtve vratiju završava cca. 30 cm ispod razine poda skladišta. Gornja cerada se djelomično razdjeljuje lamelnim oblicima. Bijele orijentacijske pruge kao pomoć kod ulaska ugrađuju se u obje prednje maske od cerade, 100 mm širine, 750 mm duljine.
Na svakoj brtvi vratiju su 2 dodatne brtve (branici) za zaštitu od povlačenja/prodora hladnoće/ulaska toplog zraka, s poteznom užadi i oprugama ovješene na gornjem okviru brtve vratiju. Kutni brtveni jastuci u obliku cilindra s punjenjem od pjene (bez FCKW) i omotom otpornim na habanje, ojačanim mrežom od PVC-cerade s poliesterskom nosivim tkanjem.
Način izvedbe 1
Fleksibilna brtva vratiju sa zonama nabiranja, koje se bočno mogu izbjeći, konstrukcija s aluminijskim okvirom, prednji i stražnji elementi okvira spojeni zglobnim krakom s fleksibilnim opružnim vijcima. Brtva vratiju u zidnoj montaži s ugrađenim olukom za kišnicu na gornjoj plohi. Veličina usklađena s veličinom zabrtvljenog otvora. Gornje i bočne obloge od crnih PVC-cerada i mrežnih sustava otpornih na trenje i habanje.</t>
  </si>
  <si>
    <t>314.050</t>
  </si>
  <si>
    <t>314.050.00100</t>
  </si>
  <si>
    <t>- puštanje u rad i upute, početno ispitivanje od strane stručnjaka</t>
  </si>
  <si>
    <t>Puštanje u rad i obučavanje o gore navedenim Sustavima vrata.
Inicijalno ispitivanje prema EN 12635 gore navedenih sustava vrata u slučaju nužde od strane ovlaštene i priznate stručne osobe prema važećim propisima o ispitivanju u pojedinoj državi, uklj. izradu knjige o ispitivanju, potrebne naknadne provjere, ponovo vraćanje u rad.</t>
  </si>
  <si>
    <t>314.060</t>
  </si>
  <si>
    <t>400</t>
  </si>
  <si>
    <t>Obrtnički radovi</t>
  </si>
  <si>
    <t>401</t>
  </si>
  <si>
    <t>Čišćenje</t>
  </si>
  <si>
    <t>401.000</t>
  </si>
  <si>
    <t>U sljedećim pozicijama potrebno je uzeti u obzir i uračunati sljedeće usluge, čak i ako nisu izričito navedene:
- potrebne izrade fuga i rezova za razdvajanje
- Izrade kutova s profilima za žbuku
- Priključke s letvama za žbuku i / ili trake za brtvljenje i maskiranje
- Ugradnju armaturnih mreža u područjima u kojima postoji opasnost od pukotina
- Zatvaranje rupa od skela
- stručnu naknadnu obradu</t>
  </si>
  <si>
    <t>401.010</t>
  </si>
  <si>
    <t>Unutarnja žbuka</t>
  </si>
  <si>
    <t>401.010.00100</t>
  </si>
  <si>
    <t>- gletanje armirano-betonskih površina, površina Q[2]</t>
  </si>
  <si>
    <t>Stavkom obuhvaćena priprema zidova, gletanje površina s glet pastom (tipa "POLIFIX"), brušenje i otprašivanje, te kitanje spojeva.
Sudari moraju biti oštro obrađeni.
U cijenu uračunat sav potreban materijal, alat, rad i strojevi za izradu, priprema površina brušenjem i ispravljanjem neravnina, čišćenje i odvoz otpada nakon izvedbe radova, zaštita okolnih površina, sve pomične i nepomične radne skele. Izvedba strogo prema uputstvima proizvođača sa svim potrebnim materijalom, alatom, strojevima i radom sve do potpune funkcionalne gotovosti u skladu s pravilima struke. Izvedba prema uputama tehnologa proizvođača do gotove funkcionalnosti.
Visina: do [6,50] m
Podloga: Unutarnji zid od betona
Površina: standardna kvaliteta (Q2)</t>
  </si>
  <si>
    <t>401.010.00105</t>
  </si>
  <si>
    <t>- gletanje zidane površina-YTONG, površina Q[2]</t>
  </si>
  <si>
    <t>U svemu kao stavka 401.010.00100 samo:
Podloga: Unutarnji zid od YTONG blokova
Gletanje debljine 3 -4 mm uz obvezno rabiciranje plastičnom mrežicom.</t>
  </si>
  <si>
    <t>401.020</t>
  </si>
  <si>
    <t>Vanjska žbuka</t>
  </si>
  <si>
    <t>401.020.00100</t>
  </si>
  <si>
    <t>- fasadna boja</t>
  </si>
  <si>
    <t>Nanošenje boje za fasadu od čistog akrilata kao srednji ili završni sloj, sa stalnom strukturom, veoma otpornu na vodu, s propuštanjem pare, otpornu na lužine, sa zaštitom od algi i gljivica.
Podloga: zaglađeni beton
Boja: sukladno Kauflandovoj paleti boja</t>
  </si>
  <si>
    <t>401.030</t>
  </si>
  <si>
    <t>ETICS FASADA</t>
  </si>
  <si>
    <t>401.030.00100</t>
  </si>
  <si>
    <t>- ETICS FASADA sa kamenom vunom, debljina [ 140 ] mm</t>
  </si>
  <si>
    <t>Izrada ETICS sustava toplinske izolacije na zidanom zidu od opeke na bazi kamene vune. Izvedba završne tankoslojne fine akrilne dekorativne žbuke u boji RAL. Izvedba do gotove i potpune funkcionalnosti prema uputama proizvođača te aktualnih smjernica za izradu ETICS sustava, Hrvatske udruge proizvođača toplinsko fasadnih sustava, uključivo potrebne dodatne elemente, kutne profile, okapnice i dr.
Reakcija na požar: A1, s1-d0
Toplinska izolacija: Ploče od kamene vune prema DIN EN 13164, toplinska vodljivost [xxx] W/mK, debljina izolacije [140] mm (ljepljenjem polimerno-cementnim ljepilom točkasto i po rubovima ploče, mehaničkim učvršćenjem (6-8 spojnica/m2)
Armaturni sloj: izvesti s mortom za armaturni sloj tako da je nazivna debljina sloja dmin=3 mm, a staklena mrežica pozicionirana u gornjoj polovici armaturnog sloja.
U kutove otvora, prodore i sl. postaviti dijagonalnu mrežicu minimalne dimenzije 20x40 cm.
Završno-dekorativna akrilna žbuka: tankoslojna akrilatna završno-dekorativna žbuka zrnaste strukture granulacije 1,5mm nijanse prema ton-karti proizvođača i odabiru investitora i projektanta.
Ostalo: predobrada armaturnog sloja odgovarajućim predpremazom.</t>
  </si>
  <si>
    <t>401.030.00105</t>
  </si>
  <si>
    <t>- Špaleta dubine do 20cm</t>
  </si>
  <si>
    <t>Dodatno izvedba špaleta iz gore navedenih sustava ETICS fasade. Dubina špalete do 20 cm.</t>
  </si>
  <si>
    <t>401.040</t>
  </si>
  <si>
    <t>402</t>
  </si>
  <si>
    <t>Suha gradnja</t>
  </si>
  <si>
    <t>402.000</t>
  </si>
  <si>
    <t>Kvaliteta površine od punjenja</t>
  </si>
  <si>
    <t>Kod nanošenja žbuke na gips ploče, razlikuju se sljedeći razredi kvalitete:
Razred kvalitete 1 (Q1): Osnovno nanošenje žbuke bez optičkih zahtjeva, punjenje spojnih fuga između gips ploča, presvlačenje vidljivih dijelova sredstava za pričvršćivanje, uklanjanje prekomjerne žbuke.
Razred kvalitete 2 (Q2): Standardno nanošenje žbuke uz normalne optičke zahtjeve, izvedba kao Q1, uz dodatno naknadno nanošenje žbuke (fina žbuka, finiš) do postizanja nevidljivog prijelaza na površinu ploče, brušenje žbukanih područja po potrebi.
Razred kvalitete 3 (Q3): Posebno nanošenje žbuke s većim optičkim zahtjevima, izvedba kao Q2, uz dodatno šire žbukanje fuga, oštro povlačenje preostale kartonske površine za zatvaranje svih pora žbukom, brušenje žbukane površine po potrebi.
Razred kvalitete 4 (Q4): Posebno nanošenje žbuke uz najveće optičke zahtjeve, izvedba kao Q3, uz dodatno presvlačenje površine i poravnavanje cijele površine prikladnim materijalom (debljina sloja veća od 1 mm), brušenje ožbukane površine po potrebi.</t>
  </si>
  <si>
    <t>Suhozid za razgraničenje izvedbe</t>
  </si>
  <si>
    <t>U sljedećim pozicijama potrebno je uzeti u obzir i uračunati sljedeće usluge, čak i ako nisu izričito navedene:
- Mjerenje zidova i stropova
- prijepis oznaka visine koje su potrebne za provedbu radova
- potrebne izrade fuga
- Izradu kutova i priključaka pomoću profila iz suhogradnje
- potrebne podkonstrukcije, zamjene i pojačanja
- Ugradnju armaturnih mreža u područjima u kojima postoji opasnost od pukotina
- potrebna zidna pojačanja od višeslojnih zalijepljenih drvenih ploča
- Pružanje usluga u nekoliko dijelova gradilišta za izvedbu instalacija na gradilištu
- Postavljanje zvučne izolacije na proboje za vodove
- Isporuku svih građevinskih potvrda (za protupožarnu, zvučnu i toplinsku zaštitu)
- Nanošenje žbuke na sve slojeve kod višeslojnih obloga
- elastične fuge koje se mogu premazati na svim unutarnjim kutovima i priključcima
- sve standardne priključke na podovima, stropovima, zidovima ili potpornjima
- potrebne duge nosače kod svih krovnih konstrukcija
- Okvire vrata isporučuje odjeljak za drvena i čelična vrata</t>
  </si>
  <si>
    <t>402.010</t>
  </si>
  <si>
    <t>402.010.00100</t>
  </si>
  <si>
    <t>x..TW2..x - gipskartonski zid debljine [150] mm, obostrano GKB ploča</t>
  </si>
  <si>
    <t>Izrada pregradnog montažnog zida iz GKP ploča oznake TW2:
• gips-kartonske ploče (1.000 kg/m3); dvostruka obloga 2x1,25cm
• jednostruka metalna potkonstrukcija (CW [ 100mm ]) za elastični ovjes gips-kartonskih ploča, ispuna samonosiva meka mineralna vuna debljine [ 100]mm)
• gips-kartonske ploče (1.000 kg/m3); dvostruka obloga 2x1,25cm
Svi spojevi moraju biti ljepljeni, bandažirani i gletani, fugirani, s obje strane pripremljeno za bojanje, bez bojanja. Izvedba do gotove funkcionalnosti a sve prema standardnim detaljima proizvođača sustava.
Debljina zida: [ 150 ] mm
Visina zida: do [ 6,15 ] m
Kvaliteta gleta: Q - [ 2 ]</t>
  </si>
  <si>
    <t>402.010.00105</t>
  </si>
  <si>
    <t>x..TW2..x - gipskartonski zid debljine [ 125 ] mm, obostrano GKB ploča</t>
  </si>
  <si>
    <t>Izrada pregradnog montažnog zida iz GKP ploča oznake TW2:
• gips-kartonske ploče (1.000 kg/m3); dvostruka obloga 2x1,25cm;
• jednostruka metalna potkonstrukcija (CW [ 100mm ]) za elastični ovjes gips-kartonskih ploča, ispuna samonosiva meka mineralna vuna debljine [ 60 ]mm)
• gips-kartonske ploče (1.000 kg/m3); dvostruka obloga 2x1,25cm;
Svi spojevi moraju biti ljepljeni, bandažirani i gletani, fugirani, s obje strane pripremljeno za bojanje, bez bojanja. Izvedba do gotove funkcionalnosti a sve prema standardnim detaljima proizvođača sustava.
Debljina zida: [ 125 ] mm
Visina zida: do [ 5,95] m
Kvaliteta gleta: Q - [ 2 ]</t>
  </si>
  <si>
    <t>402.010.00110</t>
  </si>
  <si>
    <t>Izrada pregradnog montažnog zida iz GKP ploča oznake TW2:
• gips-kartonske ploče (1.000 kg/m3); dvostruka obloga 2x1,25cm; visina oblaganja [3,10 ] m od gotovog poda
• jednostruka metalna potkonstrukcija (CW [ 100mm ]) za elastični ovjes gips-kartonskih ploča, ispuna samonosiva meka mineralna vuna debljine [ 60 ]mm)
• gips-kartonske ploče (1.000 kg/m3); dvostruka obloga 2x1,25cm; visina oblaganja [3,10 ] m od gotovog poda
Svi spojevi moraju biti ljepljeni, bandažirani i gletani, fugirani, s obje strane pripremljeno za bojanje, bez bojanja. Izvedba do gotove funkcionalnosti a sve prema standardnim detaljima proizvođača sustava.
Debljina zida: [ 125 ] mm
Visina zida: do [ 5,95] m
Kvaliteta gleta: Q - [ 2 ]</t>
  </si>
  <si>
    <t>402.010.00115</t>
  </si>
  <si>
    <t>- gipskartonski zid debljine [ 150] mm, protupožarni</t>
  </si>
  <si>
    <t>Izrada požarnog montažnog zida na granici požarnog sektora EI90 (nenosiva konstrukcija) iz GK presjeka debljine 15cm, oznake W112.
• dvostruka knauf protupožarna ploča DF d=12,5mm
• metalna jednostruka potkonstrukcija CW (100mm) za elastični ovjes gips-kartonskih ploča, ispuna kamena vuna A1 debljine 100mm)
• dvostruka knauf protupožarna ploča DF d=12,5mm
Svi spojevi moraju biti ljepljeni, bandažirani i gletani, fugirani, s obje strane pripremljeno za bojanje, bez bojanja. Izvedba do gotove funkcionalnosti a sve prema standardnim detaljima proizvođača sustava.
Debljina zida: [ 150 ] mm
Visina zida: do [6,15] m
Kvaliteta gleta: Q - [ 2 ]</t>
  </si>
  <si>
    <t>402.010.00120</t>
  </si>
  <si>
    <t>Izrada požarnog montažnog zida na granici požarnog sektora EI90 (nenosiva konstrukcija) iz GK presjeka debljine 15cm, oznake W112.
• dvostruka knauf ploča Diamant DFH2IR d=12,5mm
• metalna jednostruka potkonstrukcija CW (100mm) za elastični ovjes gips-kartonskih ploča, ispuna kamena vuna A1 debljine 100mm)
• dvostruka knauf ploča Diamant DFH2IR d=12,5mm
Svi spojevi moraju biti ljepljeni, bandažirani i gletani, fugirani, s obje strane pripremljeno za bojanje, bez bojanja. Izvedba do gotove funkcionalnosti a sve prema standardnim detaljima proizvođača sustava.
Debljina zida: [ 150 ] mm
Visina zida: do [6,15] m
Kvaliteta gleta: Q - [ 2 ]</t>
  </si>
  <si>
    <t>402.010.00125</t>
  </si>
  <si>
    <t>- gipskartonski zid debljine [ 152 ] mm, protuprovalni</t>
  </si>
  <si>
    <t>Izrada pregradnog protuprovalnog montažnog zida iz GK presjeka debljine 15cm oznake W118 RO3:
• trostruka Diamant ploče debljina 12,5mm + čelični lim 2x0,5mm
• jednostruka metalna potkonstrukcija d=75mm za elastični ovjes Vidiwall ploča, ispuna izolacijom klase min B2, debljine 60mm + sloj zraka 15mm
• trostruka Diamant ploče debljina 12,5mm + čelični lim 2x0,5mm
Svi spojevi moraju biti ljepljeni, bandažirani i gletani, fugirani, s obje strane pripremljeno za bojanje, bez bojanja. Izvedba do gotove funkcionalnosti a sve prema standardnim detaljima proizvođača sustava.
Debljina zida: [ 152 ] mm
Visina zida: do [ 5,75] m
Kvaliteta gleta: Q - [ 2 ]</t>
  </si>
  <si>
    <t>402.010.00130</t>
  </si>
  <si>
    <t>- obloga fasadnih limenih panela; GKB ploča</t>
  </si>
  <si>
    <t>Izrada obloge fasadnih limenih panela iz GKP presjeka (W623):
• gips-kartonske ploče (1.000 kg/m3) na jednostrukoj metalnoj potkonstrukciji, finalizirane površine; dvostruka obloga 2x1,25cm; visina oblaganja [ 3,3 ] m, gornji horizontalni rub zatvoriti (uključeno u cijenu)
• metalna potkonstrukcija CD [ 60/27 ], direktni ovjes za panele točkasto, za elastični ovjes gips-kartonskih ploča, ispuna meka mineralna vuna 3,0 cm
Svi spojevi moraju biti ljepljeni, bandažirani i gletani, fugirani, s obje strane pripremljeno za bojanje, bez bojanja. Izvedba do gotove funkcionalnosti a sve prema standardnim detaljima proizvođača sustava.
Visina: do [3,3] m
Kvaliteta gleta: Q - [ 2 ]</t>
  </si>
  <si>
    <t>402.010.00135</t>
  </si>
  <si>
    <t>- samostojeća gipskartonga obloga; GKB ploča</t>
  </si>
  <si>
    <t>Izrada samostojeće gipskartonske obloge iz GKP presjeka (W626):
• gips-kartonske ploče (1.000 kg/m3) na jednostrukoj metalnoj potkonstrukciji, finalizirane površine; dvostruka obloga 2x1,25cm; visina oblaganja [ 3,5 ] m, gornji horizontalni rub zatvoriti (uključeno u cijenu)
• metalna potkonstrukcija CW [ 100 ], samonosova obloga - učvršćeno za AB sokl ili pod te strop (ili gredu), za elastični ovjes gips-kartonskih ploča,
Svi spojevi moraju biti ljepljeni, bandažirani i gletani, fugirani, s obje strane pripremljeno za bojanje, bez bojanja. Izvedba do gotove funkcionalnosti a sve prema standardnim detaljima proizvođača sustava.
Visina: do [6,5] m
Kvaliteta gleta: Q - [ 2 ]</t>
  </si>
  <si>
    <t>402.010.00140</t>
  </si>
  <si>
    <t>- samostojeća gipskartonga obloga za formiranje instalacijskih zidova; GKB ploča</t>
  </si>
  <si>
    <t>Izrada samostojeće gipskartonske obloge iz GKP presjeka (W626):
• gips-kartonske ploče (1.000 kg/m3) na jednostrukoj metalnoj potkonstrukciji, finalizirane površine; dvostruka obloga 2x1,25cm; visina oblaganja [ 3,8 ] m, gornji horizontalni rub zatvoriti (uključeno u cijenu)
• metalna potkonstrukcija CW [ 100 ], samonosova obloga - učvršćeno za AB sokl ili pod te strop (ili gredu), za elastični ovjes gips-kartonskih ploča,
Svi spojevi moraju biti ljepljeni, bandažirani i gletani, fugirani, s obje strane pripremljeno za bojanje, bez bojanja. Izvedba do gotove funkcionalnosti a sve prema standardnim detaljima proizvođača sustava.
Ovom stavkom obrađeni zidovi u sanitarijama (instalacijski)
Visina: do [6,5] m
Kvaliteta gleta: Q - [ 2 ]</t>
  </si>
  <si>
    <t>402.010.00145</t>
  </si>
  <si>
    <t>- Doplata za pojačanja u zidovima sa UA profilima</t>
  </si>
  <si>
    <t>Doplata za vertikalna i horizontalna pojačanja iz UA profila oko otvora s priborom</t>
  </si>
  <si>
    <t>402.010.00150</t>
  </si>
  <si>
    <t>- Doplata za tipska pojačanja sanitarne opreme</t>
  </si>
  <si>
    <t>Doplata za nabavu i ugradnju tipskih pojačanja za sanitarnu opremu uključujući UA profile</t>
  </si>
  <si>
    <t>402.010.00155</t>
  </si>
  <si>
    <t>- Doplata za izradu špaleta oko otvora</t>
  </si>
  <si>
    <t>Doplata za izradu špaleta širine do 10 do 30 cm</t>
  </si>
  <si>
    <t>402.010.00160</t>
  </si>
  <si>
    <t>- Doplata za izradu spoja zida sa trapeznim limom</t>
  </si>
  <si>
    <t>Doplata za izradu spoja zida sa krovnim trapeznim limom neravne površine; 2-strana 2-slojna obloga</t>
  </si>
  <si>
    <t>402.010.00165</t>
  </si>
  <si>
    <t>-'Protupožarna obloga krovnog trapeznog lima.-</t>
  </si>
  <si>
    <t>Protupožarna obloga krovnog trapeznog lima.
S donje strane obložiti sa dvije protupožarne ploče tipa Knauf Fireboard 2x20 mm. Vatrootpornost sustava REI 90. Prostor između ploča i lima ispuniti kamenom vunom minimalne gustoće veće od 70 kg/m³. Na slobodnim rubovima obloge izvesti češalj prema trapeznom limu (ako obloga okomita na val lima) ili prepustiti jednu vertikalne ploče do vrha lima (ako je obloga paralelna s valom lima te završava u tlocrtnoj projekciji višeg vala), a spojeve brtviti protupožarnim trajno elastičnim kitom. Završna obrada kvalitete Q2. Sve izvesti prema uputama odabranog proizvođača sustava, te uključiti sav rad i materijal potreban za izradu kompletne funkcionalne cjeline.</t>
  </si>
  <si>
    <t>402.010.00167</t>
  </si>
  <si>
    <t>-'ispuna međuprostora između krovne ploče stubišta i trapeznog lima</t>
  </si>
  <si>
    <t>Ispuna međuprostora između krovne AB ploče stubišta i trapeznog lima. Međuprostor kompletno ispuniti negorivom izolacijom (mineralnom vunom), prema detalju.
Debljina toplinske izolacije varijabilne visine (prema detalju u projektu), cca 30cm debljine.</t>
  </si>
  <si>
    <t>402.010.00170</t>
  </si>
  <si>
    <t>- Protupožarna obloga čeličnih konzola.</t>
  </si>
  <si>
    <t>Protupožarna obloga čeličnih konzola.
Obloga čeličnih konzola ispod trapeznog lima (kao horizontalni rešetkasti nosač) s svih strana (4 strane, od kojih je gornja neposredni ispod trapeznog lima), kako bi se postigla vatrootpornost konzole REI 90. Obložiti sa dvije protupožarne ploče 2x20 mm, tip kao Knauf Fireboard. Prostor između ploča i lima ispuniti kamenom vunom minimalne gustoće veće od 70 kg/m3 Na slobodnim rubovima obloge izvesti češalj prema trapeznom limu (ako obloga okomita na val lima) ili prepustiti jednu vertikalne ploče do vrha lima (ako je obloga paralelna s valom lima te završava u tlocrtnoj projekciji višeg vala), a spojeve brtviti protupožarnim trajno elastičnim kitom. Završna obrada kvalitete Q2. Sve izvesti prema uputama odabranog proizvođača sustava, te uključiti sav rad i materijal potreban za izradu kompletne funkcionalne cjeline. Obračun po m1 kompletno obrađene konzole.
Razvijena širina obloge: 300cm</t>
  </si>
  <si>
    <t>402.010.00171</t>
  </si>
  <si>
    <t>Protupožarna obloga čeličnih konzola.
Obloga čeličnih nosača ispod trapeznog lima (kao horizontalni rešetkasti nosač) s svih strana (4 strane, od kojih je gornja neposredni ispod trapeznog lima), kako bi se postigla vatrootpornost konzole REI 90. Obložiti sa dvije protupožarne ploče 2x20 mm, tip kao Knauf Fireboard. Prostor između ploča i lima ispuniti kamenom vunom minimalne gustoće veće od 70 kg/m3 Na slobodnim rubovima obloge izvesti češalj prema trapeznom limu (ako obloga okomita na val lima) ili prepustiti jednu vertikalne ploče do vrha lima (ako je obloga paralelna s valom lima te završava u tlocrtnoj projekciji višeg vala), a spojeve brtviti protupožarnim trajno elastičnim kitom. Završna obrada kvalitete Q2. Sve izvesti prema uputama odabranog proizvođača sustava, te uključiti sav rad i materijal potreban za izradu kompletne funkcionalne cjeline. Obračun po m1 kompletno obrađene konzole.
Razvijena širina obloge: 100cm</t>
  </si>
  <si>
    <t>402.010.00175</t>
  </si>
  <si>
    <t>- Doplata za razliku u cijenu zamjene dvija GKB ploča sa GKBI impregniranim pločama</t>
  </si>
  <si>
    <t>Doplata za razliku u cijenu zamjene dvija GKB ploča sa GKBI impregniranim pločama
Obračunava se samo razlika u cijena za ugradnju dviju laga jedne strane.</t>
  </si>
  <si>
    <t>402.010.00180</t>
  </si>
  <si>
    <t>x... RS13 - zaštita ruba zida koncesionara</t>
  </si>
  <si>
    <t>Dobava i postava plastificirane zaštite od čeličnog lima debljine 1mm na prednju stranu GK zida koncesionara. Visina ugradnje do blende koncesionara
Boja: RAL 9010 – čisto bijelo
Razvijena širina: 0,49 m
Visina: 3,00 m</t>
  </si>
  <si>
    <t>402.010.00185</t>
  </si>
  <si>
    <t>x..TW2.1..x - gipskartonski zid debljine [112.5] mm, jednostrano vlaknocementna ploča</t>
  </si>
  <si>
    <t>Izrada pregradnog montažnog zida od vlaknocementnih ploča oznake TW2.1:
• vlaknocementna vodootporna pločam jednostruka obloga 1x1,25cm
• jednostruka metalna potkonstrukcija (CW [ 100mm ]) za elastični ovjes gips-kartonskih ploča, bez ispune
Svi spojevi moraju biti ljepljeni, bandažirani i gletani, fugirani, s obje strane pripremljeno za bojanje, bez bojanja. Izvedba do gotove funkcionalnosti a sve prema standardnim detaljima proizvođača sustava.
Debljina zida: [ 112,5 ] mm
Visina zida: do [ 2,20 ] m
Kvaliteta gleta: Q - [ 2 ]
Mjesto ugradnje: 04.08. Prostorija strojeva za čišćenje</t>
  </si>
  <si>
    <t>402.010.00190</t>
  </si>
  <si>
    <t>- obloga vlaknocementnim pločama</t>
  </si>
  <si>
    <t>Dobava i i oblaganje potkonstrukcije za vanjske HOVAL jedinice (POZ 301 i 303) od vlaknocementnih ploča:
• vanjska vlaknocementna vodootporna ploča -jednostruka obloga 1x1,25cm (montirati NA vanjsku stranu čelične potkonstrukcije)
• unutarnja vlaknocementna vodootporna ploča -jednostruka obloga 1x1,25cm (poravnato s unutarnjim rubom čelične konstrukcije- NE ulaziti u svijetle dimenzije čeličnog okna!)
Svi spojevi moraju biti ljepljeni, bandažirani i gletani, fugirani, bez bojanja. Izvedba do gotove funkcionalnosti a sve prema standardnim detaljima proizvođača sustava.
Stavka uključuje Obostranu parnu branu te ispunu MW.</t>
  </si>
  <si>
    <t>402.010.00195</t>
  </si>
  <si>
    <t>- požarno brtvljenje, prodori u zidu</t>
  </si>
  <si>
    <t>Izvođenje protupožarnog brtvljenja prodora vodovodnih i kanalizacijskih cijevi na mjestima prolaska cijevnog razvoda između dva požarna sektora. Prodori vodovodnih instalacija brtviti će se sredstvima klase vatrootpornosti „R“, atestiranim prema normi HRN DIN 4102 dio 11. Manje fuge (do 3,0 cm) oko metalnih cijevi i električnih kablova zatvoriti će se protupožarnim kitom kao tipa «PROMASEAL». Za veće otvore koristiti će se protupožarni mort, kabelski blokovi, protupožarni jastuci i sistemski čepovi kao tipa «PROMASTOP». Prodori gorivih cijevi, promjera većeg od 30 mm brtviti će se protupožarnim obujmicama (manžetama) kao tipa «PROMASTOP». U stavku ulaze svi radovi i materijali potrebni za kvalitetno izvođenje brtvljenja, kao i oznake brtvi (naljepnice).
Protupožarno brtvljenje vodovodnih cijevi d15 - 1 KOM Protupožarno brtvljenje vodovodnih cijevi d20 - 7 KOM Protupožarno brtvljenje vodovodnih cijevi d32 - 3 KOM Protupožarno brtvljenje vodovodnih cijevi d40 - 2 KOM Protupožarno brtvljenje vodovodnih pč cijevi d80 - 3 KOM Protupožarno brtvljenje vodovodnih pč cijevi d50 - 3 KOM Protupožarno brtvljenje kanalizacijskih PVC cijevi d75 - 1 KOM Protupožarno brtvljenje kanalizacijskih PVC cijevi d100 - 1 KOM</t>
  </si>
  <si>
    <t>4020.100.0166</t>
  </si>
  <si>
    <t>-'klinovi za ispunu vala trapeznog lima</t>
  </si>
  <si>
    <t>Klinovi od tvrde kamene vune-unutar žlijeba krovnog trapeznog lima
Isporučiti i položiti klinove od toplinske izolacije od izolacijskog materijala - tvrde kamene vune gustoće veće od 150 kg/m³ -, klasa gorivosti A1 prema DIN EN 13501, prohodan (otporna na promet pješaka pri minimalnom tlačnom naprezanju od 65 kN/m² pri 10 % zbijenosti). Poštivati propise proizvođača.
Klinovi se izvode sa gornje i donje strane trapeznog lima.
Debljina klina prema visini trapeznog profila.</t>
  </si>
  <si>
    <t>402.020</t>
  </si>
  <si>
    <t>Blende i parapetni zidovi</t>
  </si>
  <si>
    <t>402.020.00100</t>
  </si>
  <si>
    <t>x..TW11..x - blenda koncesionara</t>
  </si>
  <si>
    <t>Izrada ovješene blende koncesionara od GKB ploča debljine 12,5m na metalnoj potkonstrukcija za elastični ovjes gips-kartonskih ploča. Svi spojevi moraju biti ljepljeni, bandažirani i gletani - kvaliteta Q-3, fugirani, s obje strane pripremljeno za bojanje, bez bojanja. Izvedba do gotove funkcionalnosti a sve prema standardnim detaljima proizvođača sustava. Obrada donje pasice uključena u cijenu.
Izvedba: Prednja strana jednostrano obložena do trapeznog lima, unutarnja strana do ovješenog stropa, prednja strana s udubljenjem u donjom području, vanjski tereti 10 kg/m2 sjenila
Debljina blende: ukupne debljine 150mm od toga 100 mm na donjem rubu.
Metalna potkonstrukcija: profila CW75 postavljen vertikalno na čelični nosač blende i profil CW 50 postavljen okomito na vertikalne profile cw75
Visina blende: do 3,1 m, donji rub od 3,0 m iznad gotovog poda
Potkonstrukciju blende uklopiti u bravarsku stavku POZ 501 /502 /503.</t>
  </si>
  <si>
    <t>402.020.00105</t>
  </si>
  <si>
    <t>x..TW12..x - blenda delikatese, drvena dekoracija</t>
  </si>
  <si>
    <t>Izrada ovješene blende delikatese na metalnoj potkonstrukcija za elastični ovjes gips-kartonskih ploča.
Metalna potkonstrukcija: jednostruka metalna potkonstrukcija CW 75 pričvršćena na čeličnu konstrukciju
Podloga za postavu drvene dekoracije: OSB ploča d=12mm
Obloga: Drvena dekoracija od drvenog materijala premazanog melaminskom smolom, dekorativni Egger Hamilton hrast natur. Ploče sa zaštitom za rubove od zaštitne trake iste boje, s 1mm PVC rubom bočno, 2 mm PVC rubom. Nevidljivo pričvršćenje na potkonstrukciju.
Visina blende: 1,5 m, obloga kontinurano preko brida na donji donji rub širine cca 15cm, donji rub od 3,0 m iznad gotovog poda
Potkonstrukciju blende uklopiti u bravarsku stavku POZ 505.</t>
  </si>
  <si>
    <t>402.020.00110</t>
  </si>
  <si>
    <t>x..BD1..x - blenda pekare, drvena dekoracija</t>
  </si>
  <si>
    <t>Ugradnja drvene dekoracije blende pekare.
Metalna potkonstrukcija obrađena zasebnom bravarskom stavkom.
Podloga za postavu drvene dekoracije: šperploča d=12mm - na mjestima kružno ugrađena (potrebno uračunati u cijenu stavke).
Obloga: Drvena dekoracija od drvenog materijala premazanog melaminskom smolom, dekorativni Egger Hamilton hrast natur. Ploče sa zaštitom za rubove od zaštitne trake iste boje, s 1mm PVC rubom bočno, 2 mm PVC rubom. Nevidljivo pričvršćenje na potkonstrukciju.
Visina blende: 0,8 m, obloga kontinurano preko brida na donji donji rub širine cca 15cm, 3,0 m iznad gotovog poda
Blendue uklopiti u bravarsku stavku POZ 504.
Stavka uključuje izradu spoja blende sa krovnim trapeznim limom neravne površine; 1-strana 1-slojna obloga.</t>
  </si>
  <si>
    <t>402.030</t>
  </si>
  <si>
    <t>Suha žbuka</t>
  </si>
  <si>
    <t>402.030.00100</t>
  </si>
  <si>
    <t>- suha žbuka, GKB ploča</t>
  </si>
  <si>
    <t>Izrada završne obloge unutarnjeg zida iz GKP sistem KNAUF W611 suha žbuka_izvedba A:
• gips kartonske ploče GKB 1,25cm
Svi spojevi moraju biti ljepljeni, bandažirani i gletani, kvaliteta Q-2, fugirani, pripremljeno za bojanje, bez bojanja. Izvedba do gotove funkcionalnosti a sve prema standardnim detaljima proizvođača sustava.
Visina obloge do: [4,85 ] m</t>
  </si>
  <si>
    <t>402.040</t>
  </si>
  <si>
    <t>GK stropovi</t>
  </si>
  <si>
    <t>402.040.00100</t>
  </si>
  <si>
    <t>x..DE7.2..x - Spušteni stropovi, gips karton,</t>
  </si>
  <si>
    <t>Isporučiti i montirati prema podacima proizvođača, spušteni stropovi od gipskartonskih ploča u zatvorenoj izvedbi, s metalnom podkonstrukcijom s podešavanjem visine. Oplata gipskartonskih ploča za suhu gradnju debljine 12,5 mm, uključujući izradu potrebnih otvora za rasvjetu, rasprskivač i ventilacijsku rešetku. Spojeve gipskartonskih ploča za suhu gradnju površinski izgladiti i izbrusiti. Uključeni su svi potrebni spojevi za zid i kuteve s odgovarajućim kutnicima za zid te ostali materijal i rad koji je potreban da se stavka izvede do gotove funkcionalnosti a sve prema standardnim detaljima proizvođača sustava.
Izvedba: jednostruko obložena
Visina stropa: do 3,0 m
Površina: Svi spojevi moraju biti ljepljeni, bandažirani i gletani, kvaliteta Q-2, fugirani, s jedne strane pripremljeno za bojanje bez bojanja.</t>
  </si>
  <si>
    <t>402.040.00105</t>
  </si>
  <si>
    <t>- Doplata za revizijske otvore</t>
  </si>
  <si>
    <t>Doplata za revizijske otvore - obične, dim. do 600 x 600 mm</t>
  </si>
  <si>
    <t>402.040.00110</t>
  </si>
  <si>
    <t>x..DE7.2..x - Spušteni stropovi, gips karton, EI90</t>
  </si>
  <si>
    <t>Isporučiti i montirati prema podacima proizvođača, spušteni stropovi od gipskartonskih ploča u zatvorenoj izvedbi, EI90 odzdo i odozgo, s metalnom podkonstrukcijom s podešavanjem visine. Oplata od vatrootpornih gipskartonskih ploča za suhu gradnju debljine 12,5 mm u trisloja, uključujući izradu potrebnih otvora za rasvjetu, rasprskivač i ventilacijsku rešetku. Mineralna vuna debljine 40mm, de dodatno iznad nosivih profila u širni 150mm kako bi se postigla tražena vatrootporost s obje strane. Spojeve gipskartonskih ploča za suhu gradnju površinski izgladiti i izbrusiti. Uključeni su svi potrebni spojevi za zid i kuteve s odgovarajućim kutnicima za zid te ostali materijal i rad koji je potreban da se stavka izvede do gotove funkcionalnosti a sve prema standardnim detaljima proizvođača sustava. Obrada oko prodora instalacija na način da se dobije tražena vatrootpornost se ne obračunava posebno, uključena je u jediničnu cijenu.
Izvedba: jednostruko obložena
Visina stropa: do 3,5 m
Površina: Svi spojevi moraju biti ljepljeni, bandažirani i gletani, kvaliteta Q-2, fugirani, s jedne strane pripremljeno za bojanje bez bojanja.</t>
  </si>
  <si>
    <t>402.040.00115</t>
  </si>
  <si>
    <t>x..DE7..x - samonosivi požarni strop EI 90</t>
  </si>
  <si>
    <t>Dobava materijala i izrada samonosivog stropa Fireboard K219 odozdo i odozgo, vatrootpornost F90. Potkonstrukcija s UW-profilima i dvostrukim CW-profilima 100 za maksimalnu širinu prostorije od 3,40-4,0 m. Pričvršćivanje bočnih nosivih elemenata od UW-profila na zidovima prema uputama proizvođača, pričvršćivanje dvostrukih CW-profila u maksimalnom razmaku od 625 mm - odnosno prema uputama proizvođača.
Oplata: nosive profile obložiti negorućim pokrovnim trakama od gips-kartona Fireboard - klasa građevnog materijala A1 - u širini profila i duž obostrane oplate za zaštitu od požara odozdo i odozgo s negorivim gips-kartonskim pločama Fireboard 1 x 20 mm. Postaviti sloj izolacije od mineralnih vlakana klase građevnog materijala A1, debljine 60 mm. Obrada oko prodora instalacija na način da se dobije tražena vatrootpornost se ne obračunava posebno, uključena je u jediničnu cijenu. Svi spojevi moraju biti ljepljeni, bandažirani i gletani, kvaliteta Q-2, fugirani, s jedne strane pripremljeno za bojanje bez bojanja. Izvedba do gotove funkcionalnosti a sve prema standardnim detaljima proizvođača sustava.</t>
  </si>
  <si>
    <t>402.040.00120</t>
  </si>
  <si>
    <t>- Doplata za revizijske otvore EI90</t>
  </si>
  <si>
    <t>Doplata za revizijske otvore s mogučnošću zaključavanja - EI 90, dim. do 600 x 600 mm</t>
  </si>
  <si>
    <t>402.050</t>
  </si>
  <si>
    <t>Strop od mineralnih vlakana</t>
  </si>
  <si>
    <t>402.050.00100</t>
  </si>
  <si>
    <t>x..DE3..x - spušteni stropovi, mreža 62,5 / 62,5 cm, mineralna vlakna</t>
  </si>
  <si>
    <t>Ovješene stropove kao raster stropove, sustav za umetanje, vidljivu visinski podesivu nosivu konstrukciju s rubnim nosačem, stropne ploče od mineralnih vlakana, u različitim pojedinačnim dimenzijama, uklj. priključke i krajeve, otvore, pojačanja, isporučiti i montirati.
Izvedba: Raster 60,0/60,0 cm
Visina stropa: do 4,0 m
Nosiva konstrukcija: od aluminija ili pocinčanog čelika, širina vidljive strane 24 mm, vidljive strane obojane
Stropne ploče: Debljina ploča ca. 15 mm, s ravnim rubom
Površina: uni, homogena, zatvorena, blago gruba s finom granulacijom
Boje: sukladno Kauflandovoj paleti boja</t>
  </si>
  <si>
    <t>402.050.00105</t>
  </si>
  <si>
    <t>x..DE3..x - dodatak za strop, izolacijski sloj</t>
  </si>
  <si>
    <t>Doplata za izolacijski sloj od mineralne vune, debljine [40] mm. Koristi se u prostorijama za sastanke, ured rukovodstva, sobe za osoblje i čekanje.</t>
  </si>
  <si>
    <t>402.050.00110</t>
  </si>
  <si>
    <t>x..DE3..x - spušteni stropovi, mreža 62,5 / 62,5 cm, mineralna vlakna u području hladnjača uz delikatesu</t>
  </si>
  <si>
    <t>Ovješene stropove kao raster stropove, sustav za umetanje, vidljivu visinski podesivu nosivu konstrukciju s rubnim nosačem, stropne ploče od mineralnih vlakana, u različitim pojedinačnim dimenzijama, uklj. priključke i krajeve, otvore, pojačanja, isporučiti i montirati. Svi primijenjeni mateirjali razred reakcije na požar A1 ili A2.
Izvedba: Raster 60,0/60,0 cm
Visina stropa: do 4,0 m
Nosiva konstrukcija: od aluminija ili pocinčanog čelika, širina vidljive strane 24 mm, vidljive strane obojane
Stropne ploče: Debljina ploča ca. 15 mm, s ravnim rubom
Površina: uni, homogena, zatvorena, blago gruba s finom granulacijom
Boje: sukladno Kauflandovoj paleti boja</t>
  </si>
  <si>
    <t>402.050.00115</t>
  </si>
  <si>
    <t>Doplata za izolacijski sloj od mineralne vune, debljine [40] mm.</t>
  </si>
  <si>
    <t>402.060</t>
  </si>
  <si>
    <t>Metalni stropovi</t>
  </si>
  <si>
    <t>402.060.00100</t>
  </si>
  <si>
    <t>x..DE1, DE1.2..x - Spušteni stropovi, mreža 62,5 / 62,5 cm, stezni sustav izrađen od metala</t>
  </si>
  <si>
    <t>Ovješene stropove kao raster stropove, sustav na zatezanje, prekrivenu visinski podesivu nosivu konstrukciju s rubnim nosačem, stropne ploče od metala, u različitim pojedinačnim dimenzijama, uklj. priključke i krajeve, otvore, pojačanja, isporučiti i montirati.
Izvedba: Raster 60,0/60,0 cm
Visina stropa: do 4,0 m
Nosiva konstrukcija: od aluminija ili pocinčanog čelika, vidljive strane obojane
Stropne ploče: zatvorene kasete od čeličnog lima, pocinčane i premazane u prahu, preklopne
Boje: sukladno Kauflandovoj paleti boja</t>
  </si>
  <si>
    <t>402.060.00105</t>
  </si>
  <si>
    <t>x..DE1.1..x - Spušteni stropovi, mreža 62,5 / 62,5 cm, metalni stezni sustav, vanjska površina</t>
  </si>
  <si>
    <t>Ovješene stropove kao raster stropove, u vanjskom prostoru, osigurane od propuha i udara vjetra, sustav na zatezanje, prekrivenu visinski podesivu nosivu konstrukciju s rubnim nosačem, stropne ploče od metala, u različitim pojedinačnim dimenzijama, uklj. priključke i krajeve, otvore, pojačanja, isporučiti i montirati.
Izvedba: Raster 60,0/60,0 cm
Visina stropa: do 4,5 m
Nosiva konstrukcija: od aluminija ili pocinčanog čelika, vidljive strane obojane
Stropne ploče: zatvorene kasete od čeličnog lima, pocinčane i premazane u prahu
Boje: sukladno Kauflandovoj paleti boja</t>
  </si>
  <si>
    <t>402.060.00110</t>
  </si>
  <si>
    <t>x..DE2..x - Spušteni stropovi, mreža 62,5 / 62,5 cm, sustav umetanja izrađen od metala</t>
  </si>
  <si>
    <t>Ovješene stropove kao raster stropove, sustav na umetanje, vidljivu visinski podesivu nosivu konstrukciju s rubnim nosačem, stropne ploče od metala, u različitim pojedinačnim dimenzijama, uklj. priključke i krajeve, otvore, pojačanja, isporučiti i montirati.
Izvedba: Raster 60,0/60,0 cm
Visina stropa: do 4,0 m
Nosiva konstrukcija: od aluminija ili pocinčanog čelika, širina vidljive strane 24 mm, vidljive strane obojane
Stropne ploče: zatvorene kasete od čeličnog lima, pocinčane i premazane u prahu
Boje: sukladno Kauflandovoj paleti boja</t>
  </si>
  <si>
    <t>402.060.00115</t>
  </si>
  <si>
    <t>x..DE5..x - Spušteni stropovi, mreža 62,5 / 62,5 cm, sustav umetanja izrađen od metala</t>
  </si>
  <si>
    <t>Ugradnja spuštenog limenog kasetiranog stropa ako je to potrebno za određeni projekt prema državnom zakonu / zbog higijene ili prema nadležnom tijelu.
Kasetirani strop od čeličnog lima, modul 625/625 mm ili 600/600 mm, sustav spona, otklopljiv. Spojne kasete od vruće pocinčanog čeličnog lima, zatvorene kasete bez otvora. Skrivene nosive skele izrađene od pocinčanih metalnih profila, s pripadajućim vješalicama podesivim po visini. Izrada otvora za rasvjetu, sustave prskalica, zvučnike, eventualno alarme za dim itd. Uzeti u obzir zaobljene rubove stropne plohe.
Izvedba 1 – Kasetirani strop od čeličnog lima
Izvedba kao sustav preklapanja sponama (kasete se mogu sklopiti)
Boja praškasti premaz RAL 7024 – graphitgrau
Ovjes s nosive konstrukcije baldahina
Poklopci za sustav prskalica, odnosno vidljivi okviri ili dijelovi sustava prskalica, zvučnika, prstene svjetiljaka, ventilacijske otvore, uništivače insekata u spuštenom stropu treba premazati istom bojom, ako ih proizvođač ne isporuči u boji RAL7024 graphitgrau.
Ugradnja lampi za insekte dimenzija kućišta 544x544x73 mm
Isporuku lampi za insekte od dobavljača po narudžbi tvrtke Kaufland
Za stropnu rešetku 625 x 625 mm isporučuje se odgovarajući instalacijski okvir ili produžetak okvira</t>
  </si>
  <si>
    <t>402.060.00120</t>
  </si>
  <si>
    <t>x..DE1, DE1.2, DE2..x - dodatni strop, rešetka 62,5 / 62,5 cm, metal, izolacijska obloga iznutra</t>
  </si>
  <si>
    <t>402.060.00125</t>
  </si>
  <si>
    <t>x..DE2..x - dodatni stropovi, mreža 62,5 / 62,5 cm, metal, izolacijski sloj izvana</t>
  </si>
  <si>
    <t>Doplata za izolacijski sloj od mineralne vune, debljine [120] mm, prikladne za vanjski prostor.</t>
  </si>
  <si>
    <t>402.070</t>
  </si>
  <si>
    <t>Lamelirani strop</t>
  </si>
  <si>
    <t>402.080</t>
  </si>
  <si>
    <t>403</t>
  </si>
  <si>
    <t>Radovi na estrihu</t>
  </si>
  <si>
    <t>403.000</t>
  </si>
  <si>
    <t>Ograničenje izvedbe rada estriha</t>
  </si>
  <si>
    <t>U sljedećim pozicijama potrebno je uzeti u obzir i uračunati sljedeće usluge, čak i ako nisu izričito navedene:
- prijepis oznaka visine koje su potrebne za provedbu radova
- Provjeru planiranih visina ugradnje u odnosu na zadane visine i predviđene obloge
- Usko spojene izolacijske materijale, zatvaranje rupa, kod višeslojnih izolacija s pomaknutim fugama
- Rasute izolacijske materijale u području vodova kod izrade estriha
- potrebne izrade fuga, uklj. učvršćivanje fuga
- Izradu nagiba prema slivnicima u podu
- Površine prikladne za opisane slojeve
- stručnu naknadnu obradu
- Površine i područja na koja se nanosi estrih zatvoriti i osigurati
- Izradu oblata za otvore i prijelaze</t>
  </si>
  <si>
    <t>403.010</t>
  </si>
  <si>
    <t>Cementni estrih</t>
  </si>
  <si>
    <t>403.010.00100</t>
  </si>
  <si>
    <t>- cementni estrih na razdvojnom sloju, debljine [60] mm</t>
  </si>
  <si>
    <t>Izvedba cementnog estriha prema DIN EN 13813 postavljen direktno na podlogu odvojen razdjeljnim slojem. Ako je potrebno, izvodi se u padu prema podnim slivnicima. Postava PE folije na podnu ab ploču koja je očišćena od ostataka morta ili betona. Pripremu podloge za postavu estriha izvesti u svemu prema uputama tehnologa isporučitelja estriha. U cijenu uključen sav materijal, rad, pripremni rad, dilatacije te sve dilatacijske reške koje se režu nakon stvrdnjavanja estriha.
Visina konstrukcije: [60] mm
Sastav: PE-folija 0,2 mm, 1-slojna, estrih CT-C35-F5
Zahtjevi za ravnoću: DIN 18202, tablica 3, stupac 3 (podovi s gotovim površinama za prihvat pločica)
Iskoristivi teret: [30] kN/m2
Podloga: keramičke pločice.</t>
  </si>
  <si>
    <t>403.010.00105</t>
  </si>
  <si>
    <t>- cementni estrih na razdvojnom sloju, debljine [75] mm</t>
  </si>
  <si>
    <t>U svemu kao stavka 403.010.00100 samo:
Visina konstrukcije: [75] mm
Podloga: Linoleum</t>
  </si>
  <si>
    <t>403.010.00110</t>
  </si>
  <si>
    <t>- cementni estrih na razdvojnom sloju, debljine [80] mm</t>
  </si>
  <si>
    <t>U svemu kao stavka 403.010.00100 samo:
Visina konstrukcije: [80] mm
Podloga: Epoksidni premaz</t>
  </si>
  <si>
    <t>403.010.00115</t>
  </si>
  <si>
    <t>- doplata cementni estrih, armatura</t>
  </si>
  <si>
    <t>Doplata za cementne estrihe polipropilenska vlakna za armiranje</t>
  </si>
  <si>
    <t>403.010.00120</t>
  </si>
  <si>
    <t>- Doplata cementni estrih, toplinska izolacija debljina [ 20 ] mm</t>
  </si>
  <si>
    <t>Doplata za izvedbu plivajućeg estriha s toplinskom izolacijom.
Debljina izolacije: [20] mm
Izolacijski materijal: [EPS]
Toplinska vodljivost: [xxx] W/mK
Iskoristivi teret: [20] kg/m3</t>
  </si>
  <si>
    <t>403.010.00125</t>
  </si>
  <si>
    <t>- Dodatni Doplata cementni estrih, aditiv za brzo vezanje</t>
  </si>
  <si>
    <t>Doplata za dodavanje sredstva u cementni estrih za ubrzavanje učvršćivanja odnosno sušenja, za brže nanošenje estriha.
Debljina estriha: do 80 mm
Vrijeme sušenja: do maks. 7 dana</t>
  </si>
  <si>
    <t>403.020</t>
  </si>
  <si>
    <t>Estrih od kalcijevog sulfata</t>
  </si>
  <si>
    <t>403.030</t>
  </si>
  <si>
    <t>403.030.00100</t>
  </si>
  <si>
    <t>- Krajnji profil izrađen od aluminija, visina [120] mm</t>
  </si>
  <si>
    <t>Završni profil od aluminija, kao slobodni završetak ruba za estrih, isporučiti i u jednoj liniji te na ispravnoj visini ugraditi.
Visina: do [120] mm</t>
  </si>
  <si>
    <t>403.030.00105</t>
  </si>
  <si>
    <t>- Završni profil izrađen od temeljnog čelika, visina [120] mm</t>
  </si>
  <si>
    <t>Završni profil od grundiranog čelika, kao slobodni završetak ruba za estrih, isporučiti i u jednoj liniji te na ispravnoj visini ugraditi.
Visina: do [120] mm</t>
  </si>
  <si>
    <t>403.030.00110</t>
  </si>
  <si>
    <t>- Krajnji profil od pocinčanog čelika, visina [120] mm</t>
  </si>
  <si>
    <t>Završni profil od pocinčanog čelika, kao slobodni završetak ruba za estrih, isporučiti i u jednoj liniji te na ispravnoj visini ugraditi.
Visina: do [120] mm</t>
  </si>
  <si>
    <t>403.030.00115</t>
  </si>
  <si>
    <t>- zglobovi za kretanje trakom za zglobove</t>
  </si>
  <si>
    <t>Traku fuge s profilom za pomične fuge, isporučiti i u jednoj liniji te na ispravnoj visini ugraditi u estrih.
Širina fuge: ca. 10 mm
Dubina fuge: do 80 mm</t>
  </si>
  <si>
    <t>403.030.00120</t>
  </si>
  <si>
    <t>- podni slivnik spojiti smolom</t>
  </si>
  <si>
    <t>Podni slivnik ispuniti i spojiti dvokomponentnom reakcijskom smolom, gornja strana ispune nakošena, dimenzije do ca. 30/30 cm.</t>
  </si>
  <si>
    <t>404</t>
  </si>
  <si>
    <t>Keramičarski radovi</t>
  </si>
  <si>
    <t>404.000</t>
  </si>
  <si>
    <t>Ograničenje usluga za obradu pločica i ploča</t>
  </si>
  <si>
    <t>U sljedećim pozicijama potrebno je uzeti u obzir i uračunati sljedeće usluge, čak i ako nisu izričito navedene:
- Provjeru planiranih visina ugradnje u odnosu na zadane visine i predviđene obloge
- Rezanje rubnih izolacijskih traka
- Prihvat građevinskih fuga u oblozi
- Usklađivanje s naručiteljem o smjeru polaganja dužinski orijentiranih obloga ili obloga s uzorkom
- Polaganje unutar jedne povezane površine materijalom iz jedne zajedničke isporuke
- Zaštitu postavljenih obloga folijom, papirom ili sličnim materijalom
- Korištenje usisivača prilikom rezanja ili brušenja
- Polaganje okvira za podne spremnike, revizijske zaklopce, itd.
- Površine i područja na koja se polažu pločice i ploče zatvoriti i osigurati
- Utvrđivanje spremnosti površine za polaganje podnih obloga (CM mjerenje)
- Dodatne radove u nišama, izbočenim dijelovima zida ili drugim tankim elementima</t>
  </si>
  <si>
    <t>404.010</t>
  </si>
  <si>
    <t>Izolacije</t>
  </si>
  <si>
    <t>404.010.00100</t>
  </si>
  <si>
    <t>x... WB15 - Zidni izolacijski sustav</t>
  </si>
  <si>
    <t>Brtveni sustav ispod obloga s pločicama i pločama, kao površinsko brtvljenje bez niti i fuga, od disperzije od umjetne smole bez otapala, za srednje opterećenje vodom koja nije pod pritiskom u unutarnjem prostoru, uklj. brtvene trake, kutove, manšete, itd., isporučiti i nanijeti na zid.</t>
  </si>
  <si>
    <t>404.020</t>
  </si>
  <si>
    <t>Zidne pločice</t>
  </si>
  <si>
    <t>404.020.00100</t>
  </si>
  <si>
    <t>x..WF2..x - zidna obloga, format 15/20 cm, mat bijela</t>
  </si>
  <si>
    <t>Postava zidne keramike dim. 150/200 mm, bijele boje, mat. Postava na ljepilo, fugiranje sa masom za fugiranje. Sve spojeve podne obloge i zida potrebno je silikonirati trajno elastičnim kitom. Uključen sav rad, ljepilo, silikon, masa za fugiranje te kutni i završni profili od nehrđajućeg čelika. Izvedba do gotove funkcionalnosti.
Visina: prema KaBa 2024 i izvedbenom projektu
Format pločica: 15/20 cm
Boja pločica: bijele, mat
Boja fuga: cementno siva
Način polaganja: Križni spoj, uspravno
Zadani proizvod:
Ceramica Casalgrande Caleidoscopio Betulla 20 x 20 cm (Alternativa)
Kermos (Keramundo) Konceptualna mat, bijela, br. 294874
Agrob Buchtal (Deutsche Steinzeug) mat, bijela, br. 533.011-300</t>
  </si>
  <si>
    <t>404.020.00105</t>
  </si>
  <si>
    <t>x..WF4..x - zidne pločice 12,5 / 25 cm, bijele glazirane otporne na smrzavanje i kiselinu</t>
  </si>
  <si>
    <t>Postava zidne keramike dim. 125/250/8 mm, bijele, glazirane, 1 klasa, otporne na smrzavanje i kiselinu, lijepljene na tankoj podlozi i fugirane fleksi fugama. Spojevi između podnih i zidnih obloga zatvoriti trajnoelastičnim fugama. Uključen sav rad, ljepilo, silikon, masa za fugiranje. Izvedba do gotove funkcionalnosti.
Visina: jednaka visini prostorije, do 3,0 m od gotovog poda
Format pločica: 12,5/25 cm
Boja pločica: bijele, glazirane
Boja fuga: svijetlo siva
Način polaganja: Križni spoj, uspravno
Zadani proizvod:
Ceramica Casalgrande Tundra 100 Satin, Nr. 1100 100S
Agrob Buchtal (Deutsche Steinzeug) bijela, glasiert, br. 38110</t>
  </si>
  <si>
    <t>404.020.00110</t>
  </si>
  <si>
    <t>x..WF4..x - unutarnji zaobljeni kutevi</t>
  </si>
  <si>
    <t>Postava unutarnjih zaobljenih kuteva, bijele, glazirane, 1 klasa, otporne na smrzavanje i kiselinu, lijepljene na tankoj podlozi i fugirane fleksi fugama. Spojevi između podnih i zidnih obloga zatvoriti trajnoelastičnim fugama. Uključen sav rad, ljepilo, silikon, masa za fugiranje. Izvedba do gotove funkcionalnosti.
Zadani proizvod:
Agrob Buchtal (Deutsche Steinzeug) bijela, glasiert, br. 700-17190
Ceramica Casalgrande 5730 Tundra Satin, M2 x 25, Nr. 5730 100S</t>
  </si>
  <si>
    <t>404.020.00115</t>
  </si>
  <si>
    <t>x..WF21..x - zidne pločice 30/60 cm</t>
  </si>
  <si>
    <t>Postava keramičke zidne pločice postavljene u tanku podlogu od morta.
Izvedba okomitih završetaka s V2A završnim šinama , npr. Schlüter Jolly EB. Vertikalni završetci, npr. na prolazima: plemeniti čelik, npr. Schlüter Rondec. Sve spojeve podne obloge i zida potrebno je silikonirati trajno elastičnim kitom. Uključen sav rad, ljepilo, silikon, masa za fugiranje te okomiti i vertikalni završetci od plemenitog čelika. Izvedba do gotove funkcionalnosti.
Visina: 1,0 m do 2,2 m (visina vrata) od gotovog poda
Format pločica: 30/60 cm
Boja pločica: sive, mat
Boja fuga: svjetlo siva/ manhattan
Način polaganja: Križni spoj, polegnute
Zadani proizvod:
Agrob Buchtal (Deutsche Steinzeug)
Positano 30x60 cm, Nr. 433 567, medium grey
Agrob Buchtal (Deutsche Steinzeug)
Dexter, 60x30 cm, Nr. 430 609 H, aschgrau
Ceramica Casalgrande, MARTE, GRIGIO MAROSTICA, matt</t>
  </si>
  <si>
    <t>404.020.00120</t>
  </si>
  <si>
    <t>x..AF3..x - Doplata za zidne pločice dim 30/60 cm, prozorske klupice</t>
  </si>
  <si>
    <t>Doplata za zidne pločice oznake WF21, za oblaganje prozorskih klupica pločicama jednakog materijala i boje, pod nagibom od 30° prema unutarnjoj strani.
Dubina: do 20 cm</t>
  </si>
  <si>
    <t>404.020.00125</t>
  </si>
  <si>
    <t>x..DG2..x - zidne pločice dim 30/60 cm, vrata</t>
  </si>
  <si>
    <t>Doplata za zidne pločice oznake WF21, za oblaganje otvora za vrata pločicama jednakog materijala i boje, uklj. kutne i krajnje profile od nehrđajućeg čelika.
Širina: do 20 cm</t>
  </si>
  <si>
    <t>404.020.00130</t>
  </si>
  <si>
    <t>x..IT28.4..x - zaštita rubova od nehrđajućeg čelika V2A</t>
  </si>
  <si>
    <t>Dobava i postava zaštite rubova od nehrđajućeg plemenitog čelika, V2A, sa skošenim rubovima. Zaštitne rubne šipke se ugrađuju na razinu pločica i završavaju u istoj ravnini sa gotovim zidnim pločicama.</t>
  </si>
  <si>
    <t>404.020.00135</t>
  </si>
  <si>
    <t>x..RS1..x - zidne pločice dim. 60/120 cm, siva, visina 1,2 m</t>
  </si>
  <si>
    <t>Postava keramičke zidne pločice velikog formata postavljene u tanku podlogu od morta na zidove od gipskartona/betona. Potrebna je izvedba ojačanja u ljepilo mrežicom. Sve spojeve podne obloge i zida potrebno je silikonirati trajno elastičnim kitom. Završni profil od plemenitog čelika, četkani, npr. Schlüter Rondec EB, za gornji vodoravni završetak i okomite vanjske kutove. Uključen sav rad, ljepilo, trajnoelastični kit, masa za fugiranje te okomiti i vertikalni završetci od plemenitog čelika. Izvedba do gotove funkcionalnosti.
Stavka uključuje polaganje keramike oko tipkala pored unutarnih vrata F04 (ulaz u stubište za osoblje iz pasaža). Keramiku položiti minimalno 15cm oko tipkala (prema projektnim nacrtima).
Visina: 1,2 m od gotovog poda
Format pločica: 60/120 cm
Boja pločica: sive/bijele, mat
Boja fuga: svijetlo siva
Način polaganja: Na pola dužine, uspravno
Zadani proizvod:
Marazzi MLUK Clays Cotton
Ceramica Casalgrande, Metropolis Metro Grey 600 x 1200 mm, Nr.1346 0047</t>
  </si>
  <si>
    <t>404.020.00140</t>
  </si>
  <si>
    <t>- Dodatne zidne pločice, polaganje na metalne podloge</t>
  </si>
  <si>
    <t>Dodatak za gore Navedene podne pločice, za polaganje na metalne podloge prikladnim ljepilom za pločice i sustavom za izradu fuga.</t>
  </si>
  <si>
    <t>404.030</t>
  </si>
  <si>
    <t>Podne pločice</t>
  </si>
  <si>
    <t>404.030.00100</t>
  </si>
  <si>
    <t>x..FB1..x - podna pločica svijetlo bež boje, mat, R9</t>
  </si>
  <si>
    <t>Postava podne obloge od keramičkih pločica protukliznosti R9 položenih u tankoslojni mort. Fino zrno s udjelima grubog zrna, 1. sortiranje, s površinom otpornom na ulje i kiselinu, otpornom na abraziju, neosjetljivom i kaljenom površinom. Uključen sav rad,vezni materijal,PVC dilatacione fuge za teška opterećenja, cementni mort za fugiranje,trajno elastični kit te istovar pločica na gradilištu. Izvedba do gotove funkcionalnosti.
Format pločica: 20/20 ili 30/30 cm, debljine ca. 15 mm
Boja pločica: svijetlo bež, mat
Zaštita od proklizavanja: R9 prema DIN 51130
Boja fuga: cementni mort, boja cementno siva
Način polaganja: smaknuto (pola-pola) s gustom mrežom fuga
Zadani proizvod: [prema Kauflandovoj listi proizvoda]</t>
  </si>
  <si>
    <t>404.030.00105</t>
  </si>
  <si>
    <t>x..FB1..x - podna pločica svijetlo bež boje, mat, R10</t>
  </si>
  <si>
    <t>Postava podne obloge od keramičkih pločica protukliznosti R10 položenih u tankoslojni mort. Fino zrno s udjelima grubog zrna, 1. sortiranje, s površinom otpornom na ulje i kiselinu, otpornom na abraziju, neosjetljivom i kaljenom površinom. Uključen sav rad,vezni materijal,PVC dilatacione fuge za teška opterećenja, cementni mort za fugiranje,trajno elastični kit te istovar pločica na gradilištu. Izvedba do gotove funkcionalnosti.
Format pločica: 20/20 ili 30/30 cm, debljine ca. 15 mm
Boja pločica: svijetlo bež, mat
Zaštita od proklizavanja: R10 prema DIN 51130
Boja fuga: cementni mort, boja cementno siva
Način polaganja: smaknuto (pola-pola) s gustom mrežom fuga
Zadani proizvod: [prema Kauflandovoj listi proizvoda]</t>
  </si>
  <si>
    <t>404.030.00110</t>
  </si>
  <si>
    <t>x..FS1..x - sokl rezan od podne pločice svijetlo bež boje, mat, R9</t>
  </si>
  <si>
    <t>Postava sokl od keramičke pločice, čeone ploče 200/100 ili 300/100/14-15 mm od rezanih ploča podne obloge, postavljene na podlozi od morta ili se lijepe. Završna fuga između podne obloge i podnožne pločice trajno elastično fugirana. Postava na ljepilo, fugiranje sa masom za fugiranje. Sve spojeve podne obloge i sokla,te zida i sokla, potrebno je silikonirati. Uključen sav rad,ljepilo, silikon, masa za fugiranje. Pločice isporučuje izvođač.
Format podnožja: ca. 10/20 ili 10/30 cm R9
Boja pločica: svijetlo bež, mat
Boja fuga: cementno siva
Zadani proizvod: [prema Kauflandovoj listi proizvoda]</t>
  </si>
  <si>
    <t>404.030.00115</t>
  </si>
  <si>
    <t>x..FS2.1..x - holker od kamena dim.198/98mm, R9</t>
  </si>
  <si>
    <t>Postava holkera od mljevenog kamena pribl. 198/98 mm položene u mort ili zaljepljene pomoću tankoslojnog morta. Žljebasti profil postavljen horizontalno. Holkel bez potrebe za protukliznom podlogom odn. R9. Fugiranje otporno na kiselinu na bazi epoksidne smole. Postava na ljepilo, fugiranje sa masom za fugiranje. Sve spojeve podne obloge i sokla,te zida i sokla, potrebno je silikonirati. Uključen sav rad,ljepilo, silikon, masa za fugiranje. Izvedba do gotove funkcionalnosti.
Format podnožja: ca. 10/20 cm
Boja pločica: siva, mat
Boja fuga: siva
Zadani proizvod: [prema Kauflandovoj listi proizvoda]</t>
  </si>
  <si>
    <t>404.030.00120</t>
  </si>
  <si>
    <t>x..FS2.1..x - sokl rezan od pločice holkera</t>
  </si>
  <si>
    <t>Postava sokla od mljevenog kamena pribl. 198/98 mm od reznih ploča holkera zaljepljene pomoću tankoslojnog morta. Fugiranje otporno na kiselinu na bazi epoksidne smole. Postava na ljepilo, fugiranje sa masom za fugiranje. Sve spojeve podne obloge i sokla,te zida i sokla, potrebno je silikonirati. Uključen sav rad,ljepilo, silikon, masa za fugiranje. Izvedba do gotove funkcionalnosti.
Format podnožja: ca. 10/20 cm
Boja pločica: siva, mat
Boja fuga: siva
Zadani proizvod: [prema Kauflandovoj listi proizvoda]</t>
  </si>
  <si>
    <t>404.030.00125</t>
  </si>
  <si>
    <t>x..FB1.3..x - podna pločica svijetlo bež boje, otporna na kiselinu, R11</t>
  </si>
  <si>
    <t>Postava podne obloge od keramičkih pločica položena u mort i zalijepljena u tanku podlogu. Pločice 200/200/14-15 mm, fino zrno s udjelima grubog zrna, 1. sortiranje, s površinom otpornom na ulje i kiseline, habanje, neosjetljivom i pojačanom. Uključen sav rad i materijal,PVC dilatacione fuge za teška opterećenja, masa za fugiranje. Pločice isporučuje izvođač. Izvedba do gotove funkcionalnosti.
Format pločica: 20/20 cm, debljine ca. 15 mm
Boja pločica: svijetlo bež
Zaštita od proklizavanja: R11 prema DIN 51130
Boja fuga: otporna na kiselinu na bazi epoksidne smole, cementno siva boja, glatko po cijeloj površini
Način polaganja: smaknuto (pola-pola)
Zadani proizvod: [prema Kauflandovoj listi proizvoda]</t>
  </si>
  <si>
    <t>404.030.00130</t>
  </si>
  <si>
    <t>x..FS2..x - podnI sokl, svjetlo bež boje dim.200/100mm</t>
  </si>
  <si>
    <t>Postava keramički sokl 200/100 mm. Sokl postavljen položeno. Polaganje sokla provodi se pod laganim nagibom, tako da se stvori lagani pad od zida prema prostoriji. Postava na ljepilo, fugiranje sa masom za fugiranje. Sve spojeve podne obloge i sokla,te zida i sokla, potrebno je silikonirati. Uključen sav rad,ljepilo, silikon, masa za fugiranje. Izvedba do gotove funkcionalnosti.
Format podnožja: ca. 10/20 cm
Boja pločica: svijetlo bež, mat
Boja fuga: cementno siva
Zadani proizvod: [prema Kauflandovoj listi proizvoda]</t>
  </si>
  <si>
    <t>404.030.00135</t>
  </si>
  <si>
    <t>- Profili za dilatacije od nehrđajućeg čelika</t>
  </si>
  <si>
    <t>Profile dilatacijskih fuga, od nehrđajućeg čelika, s trajno elastičnom brtvom, debljine ca. 2 mm, s visinom prilagođenom podlozi, isporučiti i ugraditi u jednoj liniji i na ispravnoj visini na spoj.
Zadani proizvod: vidi u Kauflandovoj listi proizvoda</t>
  </si>
  <si>
    <t>404.040</t>
  </si>
  <si>
    <t>Vibropod</t>
  </si>
  <si>
    <t>404.040.00100</t>
  </si>
  <si>
    <t>x..FB1..x - podne pločice,svjetlo bež boje, R9, postupak vibrometodom</t>
  </si>
  <si>
    <t>Postava podne obloge od keramičkih pločica protukliznosti R9 položenih vibro metodom, fino zrno s udjelima grubog zrna, 1. sortiranje, s površinom otpornom na ulje i kiselinu, otpornom na abraziju, neosjetljivom i kaljenom površinom, pogodnom za dugotrajni rad ručnih paletnih viljuškara, električnih paletnih viljuškara i električnih viličara s točkastim opterećenjima do 25 N/mm² i ukupno vozilo težine s maksimalnim opterećenjem od 3t. Uključen sav rad,vezni materijal,PVC dilatacione fuge za teška opterećenja,usporivač vezivanja morta, trake za dilatiranje od obodnih zidova, cementni mort za fugiranje,trajno elastični kit, PE folija i estrih armiran polipropilenskim vlaknima. Pločice isporučuje izvođač. Izvedba do gotove funkcionalnosti.
Visina konstrukcije: [xxx] mm
Format pločica: 20/20 ili 30/30 cm, debljine ca. 15 mm
Boja pločica: svijetlo bež, mat
Zaštita od proklizavanja: R9 prema DIN 51130
Boja fuga: cementni mort, boja cementno siva
Način polaganja: smaknuto (pola-pola) s gustom mrežom fuga
Zadani proizvod: [prema Kauflandovoj listi proizvoda]</t>
  </si>
  <si>
    <t>404.040.00105</t>
  </si>
  <si>
    <t>x..FB1.1..x - podne pločice,sive boje, R11, postupak vibrometodom</t>
  </si>
  <si>
    <t>Postava pločica od mljevenog kamena format 198x198x14mm protukliznosti R11 položenih vibro metodom. Fina granulacija 1. klasa, površine otporne na ulje, kiseline, trljanje, neosjetljive. Fugiranje otporno na kiselinu na bazi epoksidne smole.
Uključen sav rad,vezni materijal,PVC dilatacione fuge za teška opterećenja,usporivač vezivanja morta, trake za dilatiranje od obodnih zidova, cementni mort za fugiranje,trajno elastični kit, PE folija i estrih armiran polipropilenskim vlaknima. Pločice isporučuje izvođač. Izvedba do gotove funkcionalnosti.
Visina konstrukcije: prema KaBa 2024 i izvedbenom projektu
Format pločica: 20/20 cm, debljine ca. 15 mm
Boja pločica: siva
Zaštita od proklizavanja: R11 prema DIN 51130
Boja fuga: siva ili antrazit
Način polaganja: smaknuto (pola-pola)
Zadani proizvod: [prema Kauflandovoj listi proizvoda]</t>
  </si>
  <si>
    <t>404.040.00110</t>
  </si>
  <si>
    <t>x..BM2..x - dodatne podne pločice, sitni kameni proizvodi 30/30 cm, R9, oznaka poda</t>
  </si>
  <si>
    <t>Dodatak za gore Navedenu podnu oblogu od finog kamena, za označavanje pločica koje se razlikuju u boji.
Dizajn: puna linija, širina do 30 cm
Boja pločica: crveno-smeđa</t>
  </si>
  <si>
    <t>404.040.00115</t>
  </si>
  <si>
    <t>x..APL1..x - dodatne podne pločice, sitni kameni proizvodi 30/30 cm, sidrene ploče</t>
  </si>
  <si>
    <t>Dodatak za gore Navedene podne obloge od finog kamena, za ugradnju ploča s betonskim sidrima u jednom redu, u različitim pojedinačnim dužinama.
Izvedba: Čelični lim 3 mm, s oštrim rubovima
Format ploče: 30/30 cm, debljine ca. 25 mm
Zaštita od proklizavanja: R10 prema DIN 51130</t>
  </si>
  <si>
    <t>404.040.00120</t>
  </si>
  <si>
    <t>- Spojevi za pomične fuge s krutim PVC profilom, širine 10 mm</t>
  </si>
  <si>
    <t>Profil fuga za pomične fuge, profil debelog sloja od tvrdog PVC-a s mekanom PVC-jezgrom, uklj. cijele ploče s obje strane profila, isporučiti i u jednoj liniji i na ispravnoj visini ugraditi u podlogu za treskanje.
Širina vidljive površine: ca. 10 mm
Zadani proizvod: vidi u Kauflandovoj listi proizvoda</t>
  </si>
  <si>
    <t>404.050</t>
  </si>
  <si>
    <t>Podne pločice stepenice</t>
  </si>
  <si>
    <t>404.050.00100</t>
  </si>
  <si>
    <t>x..FB2..x - podne pločice 30/30 cm svjetlo bež boje, R9</t>
  </si>
  <si>
    <t>Postava podne obloga od pločica mljevenog kamena kao podna obloga stepenica čela i gazišta. Fino zrno s dodatkom grubog zrna, 1. klasa, površinski poboljšano. Postavljanje na mort ili ljepilo, bez padova. Fugiranje cementnim mortom. Gazište s profiliranim utorima i zaobljenim prednjim rubom, bez prepusta, postavljeno na razini gornjeg prednjeg ruba prethodne čeone ploče. Bočni prepust 15 mm od gazišta i čeone ploče duž rukohvata. Sve spojeve podne obloge i sokla potrebno je silikonirati. Uključen sav rad,ljepilo, silikon, masa za fugiranje. Pločice isporučuje izvođač.
Format pločica: 30/30 cm, debljine ca. 9 mm
Boja pločica: svijetlo bež, mat
Zaštita od proklizavanja: R9 prema DIN 51130
Boja fuga: fugiranje cementnim mortom, boja cementno siva
Način polaganja: Križni spoj
Zadani proizvod: [prema Kauflandovoj listi proizvoda]</t>
  </si>
  <si>
    <t>404.050.00105</t>
  </si>
  <si>
    <t>x..FB2.1..x - podna pločica 30/30 cm, R10, antracit</t>
  </si>
  <si>
    <t>Postava kontrasta u boji prvog i posljednjeg koraka na svakom stubištu odvija se pločicama tamnih boji. Pločica mljevenog kamena kao podna obloga stepenica. Pločice za stepenice i gazište, dimenzije širina/dubina/debljina: 300/300/8 mm, fino zrno s grubim rasipanjem zrna, 1. Razvrstavanje, temperirano na površinu, antracit u boji. Postavljanje na podlogu od morta ili ljepila, bez nagiba. Gazište s profiliranim utorima i zaobljenim prednjim rubom, bez prepusta, postavljeno na razini gornjeg prednjeg ruba prethodne čeone ploče. Bočni prepust 5 mm od gazišta i čeone ploče duž rukohvata. Fugiranje cementnim mortom, boja anthrazit, glatko po cijeloj površini. Protukliznost R10. Sve spojeve podne obloge i sokla potrebno je silikonirati. Uključen sav rad,ljepilo, silikon, masa za fugiranje. Pločice isporučuje izvođač.
Zadani proizvod: [prema Kauflandovoj listi proizvoda]</t>
  </si>
  <si>
    <t>404.050.00110</t>
  </si>
  <si>
    <t>x..FS3..x - sokl rezan od podne keramike, svijetlo bež</t>
  </si>
  <si>
    <t>Postava sokl od ploča od mljevenog kamena za oblaganje stepeništa, čeone ploče 300/80/8 mm položene u estrih ili nalijepljene. Kut spoja s rezom 45°. Postava na ljepilo, fugiranje sa masom za fugiranje. Sve spojeve podne obloge i sokla,te zida i sokla, potrebno je silikonirati. Uključen sav rad,ljepilo, silikon, masa za fugiranje. Izvedba do gotove funkcionalnosti.
Format podnožja: 8/30 cm
Boja pločica: svijetlo bež, mat
Boja fuga: fugiranje cementnim mortom, boja cementno siva
Zadani proizvod: [prema Kauflandovoj listi proizvoda]</t>
  </si>
  <si>
    <t>404.060</t>
  </si>
  <si>
    <t>Obrada betonskog kamena</t>
  </si>
  <si>
    <t>404.070</t>
  </si>
  <si>
    <t>Rad od prirodnog kamena</t>
  </si>
  <si>
    <t>404.080</t>
  </si>
  <si>
    <t>404.080.00100</t>
  </si>
  <si>
    <t>x... RES1 - Otirači, verzija 1</t>
  </si>
  <si>
    <t>Otirači, od naizmjenično gumenih i četkastih profila, u pojačanoj izvedbi za ekstremna opterećenja, s podjelom u segmente s maks. pojedinačnom težinom od 50 kg, u različitim pojedinačnim dimenzijama, uklj. okvir od nehrđajućeg čelika, spojni element, oblogu pločica ispod otirača, izraditi, isporučiti i montirati.
Niša za otirač u vjetrobranu predviđena je za 3 modula otirača, svaki dimenzije 3,0x1,25m.
Izvedba: Naizmjenično dva gumena profila i trostruki red četki
Debljina otirača: ca. 22 mm
Zadani proizvod: vidi u Kauflandovoj listi proizvoda</t>
  </si>
  <si>
    <t>405</t>
  </si>
  <si>
    <t>Podni radovi</t>
  </si>
  <si>
    <t>405.000</t>
  </si>
  <si>
    <t>Podne obloge s ograničenjem izvedbe</t>
  </si>
  <si>
    <t>U sljedećim pozicijama potrebno je uzeti u obzir i uračunati sljedeće usluge, čak i ako nisu izričito navedene:
- Provjeru planiranih visina ugradnje u odnosu na zadane visine i predviđene obloge
- Rezanje rubnih izolacijskih traka
- Prihvat građevinskih fuga u oblozi
- Usklađivanje s naručiteljem o smjeru polaganja dužinski orijentiranih obloga ili obloga s uzorkom
- Polaganje unutar jedne povezane površine materijalom iz jedne zajedničke isporuke
- Zaštitu postavljenih obloga folijom, papirom ili sličnim materijalom
- Korištenje ljepila bez trajnog mirisa, bez štetnih i za alergičare opasnih otapala
- Korištenje usisivača prilikom brušenja
- Istraživanje vodova, cijevi, itd. u podlozi za pričvršćivanje
- Polaganje okvira za podne spremnike, revizijske zaklopce, itd.
- Površine i područja koja se obrađuju zatvoriti i osigurati
- Utvrđivanje spremnosti površine za polaganje podnih obloga (CM mjerenje)</t>
  </si>
  <si>
    <t>405.010</t>
  </si>
  <si>
    <t>Rad na parketu</t>
  </si>
  <si>
    <t>405.020</t>
  </si>
  <si>
    <t>Podne obloge od PVC-a</t>
  </si>
  <si>
    <t>405.030</t>
  </si>
  <si>
    <t>Podne obloge od linoleuma</t>
  </si>
  <si>
    <t>405.030.00100</t>
  </si>
  <si>
    <t>x..FB200..x - podovi od linoleuma, [2,5] mm</t>
  </si>
  <si>
    <t>Dobava i postava podne obloga od linoleuma DIN EN 548, za primjenu u komercionalnom sektoru, vatrootpornost EN 13501-1 reakcije na požar B2, debljina 2,5 mm. Obloge, širina staze 200 cm. Antistatička podloga, električni naboj s maksimalnom graničnom vrijednosti do 2 kV. Poboljšavanje izolacije buke koraka za otpr. 4 dB, obloga je prikladna za kotačiće prema normi EN 425. Polaganje: lijepljenjem, na punu ravnu podlogu. Homogeno fugiranje rezanih i sučeljenih fuga s prikladnom zavarenom fugom u odgovarajućoj boji. U cijeni sav rad i materijal koji je potreban da se stavka izvede do gotove funkcionalnosti i pravilu struke. U cijeni i svi pripremni radovi prema uputama tehnologa proizvođača obloge.
Zadani proizvod: [prema Kauflandovoj listi proizvoda]</t>
  </si>
  <si>
    <t>405.030.00105</t>
  </si>
  <si>
    <t>x..FS200..x - sokl od podnih traka linoleuma, [2,5] mm</t>
  </si>
  <si>
    <t>Dobava i postava sokla od traka podnih obloga, visina 60 mm, od ravnomjerno izrezanih traka podne obloge - linoleuma DIN EN 548, za primjenu u komercionalnom sektoru, vatrootpornost EN 13501-1 reakcije na požar B2, debljina 2,5 mm, zalijepljeno po cijeloj površini lijepilom koje ne sadrži otapala. Polaganje na stupovima, zidovima i pregradnim zidovima od gips-kartonskih ploča, ali ne i na ostakljenim pregradnim zidovima sistema. U cijeni sav rad i materijal koji je potreban da se stavka izvede do gotove funkcionalnosti i pravilu struke. U cijeni i svi pripremni radovi prema uputama tehnologa proizvođača obloge.
Zadani proizvod: [prema Kauflandovoj listi proizvoda]</t>
  </si>
  <si>
    <t>405.030.00110</t>
  </si>
  <si>
    <t>- aluminijski razdjelnici</t>
  </si>
  <si>
    <t>Razdvojne šine od aluminija, debljine ca. 2 mm, s visinom prilagođenom podlozi, u različitim pojedinačnim dužinama, isporučiti i ugraditi u jednoj liniji i na ispravnoj visini kao završetak ili na prijelazima između različitih obloga.</t>
  </si>
  <si>
    <t>405.040</t>
  </si>
  <si>
    <t>Podne obloge od gume</t>
  </si>
  <si>
    <t>405.050</t>
  </si>
  <si>
    <t>Podne obloge od tekstila</t>
  </si>
  <si>
    <t>405.060</t>
  </si>
  <si>
    <t>406</t>
  </si>
  <si>
    <t>Soboslikarski radovi</t>
  </si>
  <si>
    <t>406.000</t>
  </si>
  <si>
    <t>Razgraničenje usluga za soboslikarske radove</t>
  </si>
  <si>
    <t>U sljedećim pozicijama potrebno je uzeti u obzir i uračunati sljedeće usluge, čak i ako nisu izričito navedene:
- Ugradnju armaturnih mreža u područjima u kojima postoji opasnost od pukotina
- stručnu naknadnu obradu
- ljepljivom trakom zaštiti površine koje se ne bojaju
- neželjene ostatke boje ukloniti
- Popravak podloge u obujmu koji pripada određenom odjeljku
- u unutarnjim prostorima općenito se koriste boje bez štetnih emisija i otapala
- Bojanje pojedinih površina akcentnim bojama
- Korištenje usisivača prilikom brušenja
- Dodatne radove u nišama, izbočenim dijelovima zida ili drugim tankim elementima
- trajno elastične brtve koje su mogu bojati na svim spojnim fugama prema graničnim elementima</t>
  </si>
  <si>
    <t>406.010</t>
  </si>
  <si>
    <t>Vanjsko bojanje</t>
  </si>
  <si>
    <t>406.020</t>
  </si>
  <si>
    <t>Bojanje unutarnjih površina</t>
  </si>
  <si>
    <t>406.020.00100</t>
  </si>
  <si>
    <t>x..ATW1..x - betonska konstrukcija, lateks boja</t>
  </si>
  <si>
    <t>Bojanje nosive krovne konstrukcije u području prodajnog prostora (glavni, sekundarni, rubni i zabatni nosači) sa višeslojnim sustavom koji se sastoji od temeljnog premaza s premazom dubinskog grundiranja koji se razrjeđuje vodom, međupremaz i završni sloj. Izvedba do gotove funkcionalnosti prema uputama tehnologa proizvođača boje.
Radna visina: do 10,0 m
Sustav slojeva: Lateks boja, otporna na habanje, razred mokrog habanja 2 prema EN 13300
Boja/stupanj sjaja: svijetla boja sukladno Kauflandovoj paleti boja</t>
  </si>
  <si>
    <t>406.020.00105</t>
  </si>
  <si>
    <t>x..WB1..x - baza, lateks boja, unutarnja područja</t>
  </si>
  <si>
    <t>Bojanje zidova betona, gipskartona i opeke, osnovni premaz sa temeljnim premazom koji se može razvodniti. Međusloj i završni sloj s lateks bojom. Stupanj sjaja: srednji sjaj. Klasa vodoperivosti 1 (NAB1). Izvedba do gotove funkcionalnosti prema uputama tehnologa proizvođača boje.
Radna visina: 5,00 m
Sustav slojeva: Lateks boja, otporna na habanje, razred mokrog habanja 1 prema EN 13300
Boja/stupanj sjaja: tamna boja sukladno Kauflandovoj paleti boja</t>
  </si>
  <si>
    <t>406.020.00110</t>
  </si>
  <si>
    <t>x..WB2..x - zidovi, lateks boja</t>
  </si>
  <si>
    <t>Bojanje zidova betona, gipskartona i opeke,u području svih zidnih površina i unutrašnjih nosača. Osnovni premaz sa temeljnim premazom, koji se može razvodniti. Između međupremaza i završnog premaza sa lateks bojom. Stupanj sjaja: mat bez sjaja. Izvedba do gotove funkcionalnosti prema uputama tehnologa proizvođača boje.
Radna visina: do ca. 6,0 m
Sustav slojeva: Lateks boja, otporna na habanje, razred mokrog habanja 2 prema EN 13300
Boja/stupanj sjaja: svijetla boja sukladno Kauflandovoj paleti boja</t>
  </si>
  <si>
    <t>406.020.00115</t>
  </si>
  <si>
    <t>x..WB3..x - zidovi, lateks boja</t>
  </si>
  <si>
    <t>Premaz u boji na zidnim površinama, unutarnjim nosačima. Podloga od zidova, betona, gipskartona. Temeljni premaz s premazom dubinskog grundiranja koji se razrjeđuje vodom. Srednji i završni premaz lateksom.Stupanj sjaja: srednji sjaj. Klasa vodoperivosti 1 (NAB1). Nijansa: NCS S-1000 N bijela. Premaz u visini prostorije od sokla do krova/spuštenog stropa.
Priprema podloge za javne površine, urede i društvena područja
ozidanu zidnu površinu izravnati mortom ili obložiti gips-kartonskim pločama za suhu gradnju, ožbukane i izbrušene, premazane vodom razblaženim temeljnim premazom.
Radna visina: do ca. 6,0 m
Sustav slojeva: Lateks boja, otporna na habanje, razred mokrog habanja 2 prema EN 13300
Boja/stupanj sjaja: svijetla boja sukladno Kauflandovoj paleti boja</t>
  </si>
  <si>
    <t>406.020.00120</t>
  </si>
  <si>
    <t>x..WB4..x - zidovi, lateks boja, prodajni prostor</t>
  </si>
  <si>
    <t>Bojanje zidova betona, gipskartona i opeke. Temeljni premaz s premazom dubinskog grundiranja koji se razrjeđuje vodom. Međupremaz i završni premaz: premaz disperzijskom bojom s lateks bojom. Stupanj sjaja: mutno matirano. Boje zida u prodajnom prostoru i trgovačkom centru razlikuju se u 3 vrste boja: osnovna boja Brillux Scala 12.03.18., boje ili asortimani robe RAL, boja za poruku brenda Kaufland RAL 3020. Planiranje po pitanju skupina robe i određivanje ikona i motiva slika, uključujući položaj i visinu vrši se u skladu s detaljnim tehničkim izgledom. Izvedba do gotove funkcionalnosti prema uputama tehnologa proizvođača boje.
Radna visina: do ca. 5,5 m
Sustav slojeva: Lateks boja, otporna na habanje, razred mokrog habanja 2 prema EN 13300
Boja/stupanj sjaja: u različitim bojama prema Kauflandovoj paleti boja</t>
  </si>
  <si>
    <t>406.020.00125</t>
  </si>
  <si>
    <t>x..WB4..x - stupovi, lateks boja,  prodajni prostor</t>
  </si>
  <si>
    <t>Bojanje unutarnjih stupova prodajnog prostora temeljni premaz s premazom dubinskog grundiranja koji se razrjeđuje vodom. Međupremaz i završni premaz: premaz disperzijskom bojom s lateks bojom. Stupanj sjaja: mutno matirano. Izvedba do gotove funkcionalnosti prema uputama tehnologa proizvođača boje.
Radna visina: do ca. 10,0 m
Sustav slojeva: Lateks boja, otporna na habanje, razred mokrog habanja 2 prema EN 13300
Boja/stupanj sjaja: u različitim bojama prema Kauflandovoj paleti boja</t>
  </si>
  <si>
    <t>406.020.00130</t>
  </si>
  <si>
    <t>x..WB5..x -zid prazne ambalaže</t>
  </si>
  <si>
    <t>Bojanje zidova betona, gipskartona i opeke. Temeljni premaz s premazom dubinskog grundiranja koji se razrjeđuje vodom. Međupremaz i završni premaz: premaz s lateks bojom. Stupanj sjaja: srednji sjaj. Izvedba do gotove funkcionalnosti prema uputama tehnologa proizvođača boje.
Radna visina: do ca. 0,9 m
Sustav slojeva: Lateks boja, otporna na habanje, razred mokrog habanja 1 2 prema EN 13300
Boja/stupanj sjaja: svijetla boja sukladno Kauflandovoj paleti boja</t>
  </si>
  <si>
    <t>406.020.00135</t>
  </si>
  <si>
    <t>x..WB205..x - naglašavanje zidova društvenih prostorija</t>
  </si>
  <si>
    <t>Bojanje zidova betona, gipskartona i opeke. Temeljni premaz s premazom dubinskog grundiranja koji se razrjeđuje vodom. Međusloj i završni sloj s lateks bojom. Razina sjaja: mat bez sjaja. Izvedba do gotove funkcionalnosti prema uputama tehnologa proizvođača boje.
• Brillux 24.12.03
• Brillux 90.12.12
• Brillux 57.12.12
Radna visina: do ca. [3,0] m
Sustav slojeva: Lateks boja, razred mokrog habanja 2 prema EN 13300</t>
  </si>
  <si>
    <t>406.020.00140</t>
  </si>
  <si>
    <t>- strop od gips kartona, lateks boja</t>
  </si>
  <si>
    <t>Bojanje podgleda gipskartonskih stropova i požarnih gipskartonskih konzola. Temeljni premaz koji se razrjeđuje vodom. Međusloj i završni sloj s lateks bojom. Stupanj sjaja: jak mat s premazom disperzijske boje. Izvedba do gotove funkcionalnosti prema uputama tehnologa proizvođača boje.
Radna visina: do ca. [6,0] m
Sustav slojeva: Lateks boja, razred mokrog habanja 2 prema EN 13300
Boja/stupanj sjaja: prema izboru investitiora</t>
  </si>
  <si>
    <t>406.030</t>
  </si>
  <si>
    <t>Postavljanje tapeta</t>
  </si>
  <si>
    <t>406.040</t>
  </si>
  <si>
    <t>Bojanje metalnih površina</t>
  </si>
  <si>
    <t>406.050</t>
  </si>
  <si>
    <t>Lazura</t>
  </si>
  <si>
    <t>406.060</t>
  </si>
  <si>
    <t>Podne obloge</t>
  </si>
  <si>
    <t>406.060.00100</t>
  </si>
  <si>
    <t>x..FB6..x - podni premaz 2K epoksidna smola</t>
  </si>
  <si>
    <t>Izrada epoksidnog podnog premaza na pod izrađen od cementnog estriha ili betona. Izvesti u svemu prema uputama tehnologa isporučitelja premaza. U cijeni svi radovi i materijal, pripremni radovi kako bi se stavka izvela do gotove funkcionalnosti.
Sustav slojeva: Podni premaz od 2K epoksidne smole, otporan na kiseline, ulja i lužine, protiv proklizavanja i habanja, debljine sloja od minimalno 0,6 mm
Boje: sukladno Kauflandovoj paleti boja</t>
  </si>
  <si>
    <t>406.060.00105</t>
  </si>
  <si>
    <t>x..FB6..x - doplata za podne premaze, 2K epoksidna smola,</t>
  </si>
  <si>
    <t>Doplata za gore Navedeni podni sloj, za polaganje podloge koja može odvoditi struju.
Prostorije 06.11.02 i 06.14</t>
  </si>
  <si>
    <t>406.060.00110</t>
  </si>
  <si>
    <t>x..FS6..x - doplata za podni premaz, 2K epoksidna smola, sokl</t>
  </si>
  <si>
    <t>Doplata za gore Navedeni podni sloj, za izradu podnožja na vertikalnim elementima, visine 20 cm, uklj. izradu prijelaza između poda i podnožja.</t>
  </si>
  <si>
    <t>406.060.00115</t>
  </si>
  <si>
    <t>x..BS1..x - doplata za podni premaz, 2K epoksidna smola, prag</t>
  </si>
  <si>
    <t>Doplata za gore Navedeni podni sloj, za nanošenje na podni prag, s 3 strane, na razmaku od ca. 0,5 m.
Boja: crna/žuto šrafirana prema Kauflandovoj paleti boja</t>
  </si>
  <si>
    <t>406.060.00120</t>
  </si>
  <si>
    <t>x..FB6.2..x - podni premaz, 2K epoksidna smola, otporno na kiseline i lužine</t>
  </si>
  <si>
    <t>Izrada 2-komponentnog epoksidnog podnog zaštitnog sloja od epoksidnih smola na pod izrađen od cementnog esriha ili betona. Premaz se sastoji od temeljnog premazivanja i dva završna premaza. Izvesti u svemu prema uputama tehnologa isporučitelja premaza. U cijeni svi radovi i materijal, pripremni radovi kako bi se stavka izvela do gotove funkcionalnosti.
Sustav slojeva: Podni sloj kao brtva od 2K epoksidne smole, otporan na kiseline, ulja i lužine, protiv proklizavanja i habanja, dopušten za prostorije u kojima se nalaze tvari opasne za vodu, debljine sloja od minimalno 0,6 mm
Boje: sukladno Kauflandovoj paleti boja</t>
  </si>
  <si>
    <t>406.060.00125</t>
  </si>
  <si>
    <t>x..FS6.2..x - doplata za podni premaz, 2K epoksidna smola, otporno na kiseline i lužine, sokl</t>
  </si>
  <si>
    <t>406.070</t>
  </si>
  <si>
    <t>Zaštitni premazi</t>
  </si>
  <si>
    <t>406.080</t>
  </si>
  <si>
    <t>407</t>
  </si>
  <si>
    <t>Pregrade</t>
  </si>
  <si>
    <t>407.000</t>
  </si>
  <si>
    <t>Pregradni zidovi</t>
  </si>
  <si>
    <t>U sljedećim pozicijama potrebno je uzeti u obzir i uračunati sljedeće usluge, čak i ako nisu izričito navedene:
- Mjerenje zidova
- prijepis oznaka visine koje su potrebne za provedbu radova
- potrebne izrade fuga
- potrebne podkonstrukcije, zamjene i pojačanja
- trajno elastične brtve na svim spojnim fugama prema graničnim elementima, uklj. ispunu fuga. Boja mase za brtvljenje usklađena s bojom podloge.
- Pružanje usluga u nekoliko dijelova gradilišta za izvedbu instalacija na gradilištu
- Postavljanje zvučne izolacije na proboje za vodove
- Isporuku svih građevinskih potvrda (za protupožarnu, zvučnu i toplinsku zaštitu)
- sve standardne priključke na podovima, stropovima, zidovima ili potpornjima
- obojane limove i pravokutne dijelove za priključke, krajeve i prijelaze
- eventualna oštećenja na površini i / ili slojevima pravilno ukloniti</t>
  </si>
  <si>
    <t>407.010</t>
  </si>
  <si>
    <t>WC pregrade</t>
  </si>
  <si>
    <t>407.010.00100</t>
  </si>
  <si>
    <t>x..TW4..x  WC pregradni sustavi</t>
  </si>
  <si>
    <t>POZ D09, POZ D10, POZ D11, POZ D12
Pregrade za zahod izraditi, isporučiti i montirati na sljedeći način:
Prednje i bočne strane od čvrste pune iverice s premazom od melaminske smole, debljine ca. 30 mm, s vidljivim rubovima i ABS prevlakom debljine 3 mm i jednake boje, kao izvedba prikladna za vlažne prostore. Obuhvatni aluminijski profili otporni na uvijanje, profil glave u pravokutnoj izvedbi ca. 42/43 mm, s površinom od eloksiranog aluminija. Nosive noge od nehrđajućeg aluminija (promjera ca. 20 mm), s ravnim okvriom otpornim na gaženje, s površinom od eloksiranog aluminija. Sva sredstva za spajanje i pričvršćivanje izvedena su od nehrđajućeg čelika.
Boja: svijetlo siva (slično RAL 7035) ili grafitno siva (slično RAL 7024)
Visina pregradnog zida (uklj. slobodni prostor iznad poda od 100 mm): 2.100 mm
Zidni zaustavljač vrata od mekane plastike, okrugli, promjera ca. 40 mm, s držačem od nehrđajućeg čelika, uklj. sredstva za pričvršćivanje, isporučiti i montirati.</t>
  </si>
  <si>
    <t>407.010.00105</t>
  </si>
  <si>
    <t>- Doplata za pregradne sustave WC-a, vrata kabine</t>
  </si>
  <si>
    <t>Dodatak za gore Navedene pregradne zidove u zahodima, za vrata kabine na sljedeći način:
Smjer otvaranja prema uputama iz planova, minimalna širina 750 mm, sa samostalnim zatvaranjem, s bravom i prikazom „slobodno/zauzeto“, masivna garnitura s brzim otvaranjem u slučaju nužde, površina od eloksiranog aluminija.
Kukica za kaput i zaustavljač vrata od aluminija, površina od eloksiranog aluminija, s prekrivenim pričvršćenjem.</t>
  </si>
  <si>
    <t>407.020</t>
  </si>
  <si>
    <t>Pregradni zidovi sustava</t>
  </si>
  <si>
    <t>407.030</t>
  </si>
  <si>
    <t>408</t>
  </si>
  <si>
    <t>Radovi na stolariji i stolariji</t>
  </si>
  <si>
    <t>408.000</t>
  </si>
  <si>
    <t>Razgraničenje stolarije i stolarije</t>
  </si>
  <si>
    <t>U sljedećim pozicijama potrebno je uzeti u obzir i uračunati sljedeće usluge, čak i ako nisu izričito navedene:
- potrebne izrade fuga
- potrebne podkonstrukcije, zamjene i pojačanja
- trajno elastične brtve na svim spojnim fugama prema graničnim elementima, uklj. ispunu fuga. Boja mase za brtvljenje usklađena s bojom podloge.
- Pružanje usluga u nekoliko dijelova gradilišta
- Ograničavanje dubine bušenja u podnim pločama do 14 cm
- Uzimanje u obzir ugradbenih elemenata i instalacija</t>
  </si>
  <si>
    <t>408.010</t>
  </si>
  <si>
    <t>Zaštita od udara</t>
  </si>
  <si>
    <t>408.010.00100</t>
  </si>
  <si>
    <t>x..RS2..x - zaštita od PE plastike 20/200mm; stupovi prodajnog prostora, zid prihvata ambalaže</t>
  </si>
  <si>
    <t>Dobava i postava letvica za zaštitu od udaraca od PE plastike (polietilen), s granulatom od PE plastike „Pre Zero Polymers” sa ili bez prethodno izbušenih rupa sukladno namjeni i planiranju zaštite od udaraca. Pričvrsni vijci s obojenim glavama vijaka u boji zaštite od udara.
Širina x visina: 20 x 200 mm, duljina pri isporuci: 2000 mm
Proizvođač/tip: [prema specifikaciji materijala]
Boje/površine: [sukladno Kauflandovoj paleti boja]
Ugradnja: izvedba u 2 reda. Prvi red zaštite postavljen na pod a drugi na visini od poda 90cm. Prijelaz između podnih pločica i plastičnih letava treba fugirati trajno elastičnim bezbojnim silikonom</t>
  </si>
  <si>
    <t>408.010.00105</t>
  </si>
  <si>
    <t>x..RS2..x - zaštita od PE plastike 20/200mm; uredske prostorije</t>
  </si>
  <si>
    <t>Dobava i postava letvica za zaštitu od udaraca od PE plastike (polietilen), s granulatom od PE plastike „Pre Zero Polymers” sa ili bez prethodno izbušenih rupa sukladno namjeni i planiranju zaštite od udaraca. Pričvrsni vijci s obojenim glavama vijaka u boji zaštite od udara.
Širina x visina: 20 x 200 mm, duljina pri isporuci: 2000 mm
Proizvođač/tip: [prema specifikaciji materijala]
Boje/površine: [sukladno Kauflandovoj paleti boja]
Ugradnja: izvedba u 1 redu u visini naslona stolica</t>
  </si>
  <si>
    <t>408.010.00110</t>
  </si>
  <si>
    <t>x..RS2..x - zaštita od PE plastike 20/200mm, rashladne prostorije, uslužne prostorije</t>
  </si>
  <si>
    <t>Dobava i postava letvica za zaštitu od udaraca od PE plastike (polietilen), s granulatom od PE plastike „Pre Zero Polymers” sa ili bez prethodno izbušenih rupa sukladno namjeni i planiranju zaštite od udaraca. Pričvrsni vijci s obojenim glavama vijaka u boji zaštite od udara.
Širina x visina: 20 x 200 mm, duljina pri isporuci: 2000 mm
Proizvođač/tip: [prema specifikaciji materijala]
Boje/površine: [sukladno Kauflandovoj paleti boja]
Ugradnja: izvedba u 1 redu 3-5cm iznad poda. Početak i kraj letvica za zaštitu od udara zakošena pod kutom od 15 - 30°. Spoj između zida i letvica za zaštitu od udara fugirati trajno elastičnim silikonom</t>
  </si>
  <si>
    <t>408.010.00115</t>
  </si>
  <si>
    <t>x..RS2.3..x - zaštita od nehrđajućeg čelika</t>
  </si>
  <si>
    <t>Kutni element od nehrđajućeg čelika dimenzija 30/30/1,5 mm, s brušenom (granulacija 240) i četkanom površinom, u različitim pojedinačnim dimenzijama isporučiti i u jednom komadu do visine stropa na vanjske kutove zidova i potporna zalijepiti.</t>
  </si>
  <si>
    <t>408.010.00120</t>
  </si>
  <si>
    <t>x..RS4..x - Zaštitna obrada od četvrtaste građe, izvedba 1</t>
  </si>
  <si>
    <t>Dobava i postava drvene gredice 100/100 mm, 2-strano blanjane u 1 redu, prednji rubovi skošeni, na podovima, učvršćivanje vijcima u podnu plohu pomoću tipli za velika opterećenja, duljina tipli najmanje 18 cm, maksimalni razmak učvršćivanja 1 m, upušteni vijci.</t>
  </si>
  <si>
    <t>408.020</t>
  </si>
  <si>
    <t>Zidne ploče</t>
  </si>
  <si>
    <t>408.020.00100</t>
  </si>
  <si>
    <t>x..WB25..x - piktogram</t>
  </si>
  <si>
    <t>Dobava i postava piktograma od crvenog obojenog akrilnog stakla odn.plastike i aluminijskog okvira s eloksiranom površinom E6/EV1, s ljepljivom folijom na pozadini i piktogramu. Izvedba do gotove funkcionalnosti.
• Širina x visina 40 x 40 cm
• Visina montaže: jasno vidljivo, u visini očiju
• površinski zalijepljeno ili s prikladnim zidnim držačem
_piktogram za žene; muškarce; osobe s invaliditetom; prematanje</t>
  </si>
  <si>
    <t>408.030</t>
  </si>
  <si>
    <t>Pregrada za sobu</t>
  </si>
  <si>
    <t>408.040</t>
  </si>
  <si>
    <t>Kuhinje</t>
  </si>
  <si>
    <t>408.040.00100</t>
  </si>
  <si>
    <t>x... SKÜ200 - ugrađena kuhinjska jedinica, duljina 2,85 m</t>
  </si>
  <si>
    <t>Kuhinjski element, dužine 2,85 m, visine ca. 2,0, s elementima presvučenim melaminom, s oblogama u nišama, prednjim stranama i radnim pločama s debelim rubovima, uklj. okove, ugradbene uređaje i pribor, izraditi, isporučiti i montirati.
Donji ormari s podnožjem (širina/dubina/visina):
- Donji ormar za sudoper, 60/90 cm
- Donji ormar s ladicom i okretnim vratima, 60/60/90 cm
- Donji ormar s ladicom i okretnim vratima, 45/60/90 cm
- Donji ormar za u potpunosti integriranu perilicu suđa, 60/60/90 cm
Visoki ormari s podnožjem (širina/dubina/visina):
- Visoki ormar s hladnjakom i mikrovalnom pećnicom, viseći ormar s okretnim vratima. 60/60/200 cm
Viseći ormari (širina/dubina/visina):
- Viseći ormar s okretnim vratima, 60/35/40 cm, 3 komada
- Viseći ormar s okretnim vratima, 45/35/40 cm
Uređaji i pribor:
- Ugradbena perilica suđa, potpuno integrirana
- Ugradbeni sudoper s cjedilom, od nehrđajućeg čelika
- Okretna armatura za sudoper s jednom ručkom, bestlačna, za hladnu i toplu vodu
- Sifon za sudoper
- Ugradbeni hladnjak, ca. 160-180 litara, energetski razred minimalno A++, potpuno integriran
- Ugradbena mikrovalna pećnica, ca. 10-20 litara
- Ugradbena kantica za smeće, ca. 10 litara
- Plastični spremnik za pribor
Boje/površine: sukladno Kauflandovoj paleti boja</t>
  </si>
  <si>
    <t>408.050</t>
  </si>
  <si>
    <t>409</t>
  </si>
  <si>
    <t>Bravarski posao</t>
  </si>
  <si>
    <t>409.000</t>
  </si>
  <si>
    <t>Opseg usluga bravarskog posla</t>
  </si>
  <si>
    <t>U sljedećim pozicijama potrebno je uzeti u obzir i uračunati sljedeće usluge, čak i ako nisu izričito navedene:
- Mjerenje i niveliranje usluga od zadanih mjernih točaka odnosno osi
- Sve spojne limove, bušene rupe, zavarene spojeve, sitne dijelove, međuslojeve i sredstva za pričvršćivanje, itd., koja su potrebna za montažu i pričvršćivanje čeličnih elemenata.
- sva sredstva za pričvršćivanje su trajno zaštićena od korozije
- eventualna oštećenja na površini i / ili slojevima pravilno ukloniti
- sve spojeve izraditi bez razmaka pomoću neskupljajućeg materijala
- Radove zavarivanja samo uz potvrdu o potrebnim kvalifikacijama za izvođenje radova zavarivanja u visokogradnji prema DIN EN 1090 (potvrda za zavarivanje)
- Grundiranje s debljinom sloja od minimalno 20 µm
- Gotove zavarene šavove spremne za lakiranje
- Planirana nadvišenja
- Izoliranje kontaktnih površina kod moguće kontaktne korozije
- trajno elastične brtve na svim spojnim fugama prema graničnim elementima, uklj. ispunu fuga
- Ograničavanje dubine bušenja u podnim pločama do 14 cm</t>
  </si>
  <si>
    <t>409.010</t>
  </si>
  <si>
    <t>Stepenice</t>
  </si>
  <si>
    <t>409.010.00100</t>
  </si>
  <si>
    <t>x..ST1, ST4..x - vanjsko čelično stubište, konstrukcija</t>
  </si>
  <si>
    <t>POZ 201
Isporučiti i montirati čeličnu konstrukciju vanjskih čeličnih stubišta tlocrtnih dimenzija [1,35/3,10] m, visine [1,40] m. Nosači antikorozivno zaštičeni vrućim cinčanjem. Sve kompletno izvedeno i montirano do funkcionalne gotovosti, uključujući sva sredstva za pričvrščivanje, ukrute, pločevine, zavare.
Kvaliteta čelika: S [235]
Stubište se sastoji iz slijedećih elemenata:
[UPN 180]</t>
  </si>
  <si>
    <t>409.010.00105</t>
  </si>
  <si>
    <t>x..ST1, ST4..x - vanjsko čelično stubište, gazišta/podesti</t>
  </si>
  <si>
    <t>POZ 201
Dobava i postava hodne površine vanjskih stubišta izvedene od protukliznih čeličnih rešetki širine mreže 30/30 mm, nosive šipke 40/3 mm, zavareno u okvir od profilnog čelika, učvršćeno na uzdužne nosače vijčanom izvedbom. Sve antikorozivno zaštićeno vrućim cinčanjem. Sve kompletno izvedeno i montirano do funkcionalne gotovosti, uključujući sva sredstva za pričvrščivanje I ukrute.
dimenzije gazišta: [1,2 / 0,3] m; ukupno [6] kom
dimenzije podesta/međupodesta: [1,2 / 1,2] m; ukupno [1] kom</t>
  </si>
  <si>
    <t>409.010.00110</t>
  </si>
  <si>
    <t>x..ST1, ST4..x - vanjsko čelično stubište, ograda</t>
  </si>
  <si>
    <t>POZ 201
Dobava i postava ograde vanjskih stubišta visine 1,20m iznad obloge izvedene od stupova, ispune oduzdužno postavljenih cijevi.Sve antikorozivno zaštićeno vrućim cinčanjem. Sve kompletno izvedeno i montirano do funkcionalne gotovosti, uključujući sva sredstva za pričvrščivanje I ukrute.
stupovi i rukohvat: Ø48,3 / 3mm;
ispuna: Ø42,4mm / 3mm</t>
  </si>
  <si>
    <t>409.010.00115</t>
  </si>
  <si>
    <t>- fiksne ljestve izvana</t>
  </si>
  <si>
    <t>POZ 203
Nepomične, vertikalne ljestve od pocinčanog čelika, montirane ispred zida, s gazištima zavarenima za vodilice, s razmakom između gazišta od 250 mm, s ručkama u U-obliku na obje strane na gornjem izlazu, u različitim pojedinačnim dužinama, izraditi, isporučiti i montirati. Svi elementi penjalice (ako i nisu ekspilictno navedeni ili nacrtani u shemi) sukladno važećem Pravilniku o zaštiti na radu na mjestiam rada.
U stavku uključena i vertikalna potkonstrukcija od SHS profila 100x100x3mm, ukupne duljine cca 7m.
Visina ljestvi: do 8,0 m</t>
  </si>
  <si>
    <t>409.010.00120</t>
  </si>
  <si>
    <t>POZ 204
Nepomične, vertikalne ljestve od pocinčanog čelika, montirane ispred zida, s gazištima zavarenima za vodilice, s razmakom između gazišta od 250 mm, s ručkama u U-obliku na obje strane na gornjem izlazu, u različitim pojedinačnim dužinama, izraditi, isporučiti i montirati. Svi elementi penjalice (ako i nisu ekspilictno navedeni ili nacrtani u shemi) sukladno važećem Pravilniku o zaštiti na radu na mjestiam rada.
Visina ljestvi: do 8,0 m</t>
  </si>
  <si>
    <t>409.010.00125</t>
  </si>
  <si>
    <t>POZ 205
Nepomične, vertikalne ljestve od pocinčanog čelika, montirane ispred zida, s gazištima zavarenima za vodilice, s razmakom između gazišta od 250 mm, s ručkama u U-obliku na obje strane na gornjem izlazu, u različitim pojedinačnim dužinama, izraditi, isporučiti i montirati. Svi elementi penjalice (ako i nisu ekspilictno navedeni ili nacrtani u shemi) sukladno važećem Pravilniku o zaštiti na radu na mjestiam rada.
Visina ljestvi: do 8,0 m</t>
  </si>
  <si>
    <t>409.010.00130</t>
  </si>
  <si>
    <t>POZ 206
Nepomične, vertikalne ljestve od pocinčanog čelika, montirane između vanjske terase (za odmor zaposlenika) i krovne plohe prizemlja. Izraditi, isporučiti i montirati. Svi elementi (ako i nisu ekspilictno navedeni ili nacrtani u shemi) sukladno važećem Pravilniku o zaštiti na radu na mjestiam rada.</t>
  </si>
  <si>
    <t>409.010.00140</t>
  </si>
  <si>
    <t>Nepomične, vertikalne ljestve od pocinčanog čelika, montirane ispred zida, s gazištima upetim u AB zid, s razmakom između gazišta od 250 mm, izraditi, isporučiti i montirati. Svi elementi penjalice (ako i nisu ekspilictno navedeni ili nacrtani u shemi) sukladno važećem Pravilniku o zaštiti na radu na mjestiam rada.
Mjesto ugradnje - ulaz i sprinkler bazen i strojarnicu sprinkler bazena.
Visina ljestvi: do 8,0 m</t>
  </si>
  <si>
    <t>409.010.00145</t>
  </si>
  <si>
    <t>- Doplata za ljestve, kavez za zaštitu leđa</t>
  </si>
  <si>
    <t>Doplata za gore Navedene ljestve, za izvedbu s leđobranom kao zaštitni sustav.</t>
  </si>
  <si>
    <t>409.010.00150</t>
  </si>
  <si>
    <t>- Doplata za fiksne ljestve, pristupna brava</t>
  </si>
  <si>
    <t>Doplata za gore Navedene ljestve, za izvedbu prilaza s mogućnošću zatvaranja, pripremljenog za profilni cilindar.</t>
  </si>
  <si>
    <t>409.020</t>
  </si>
  <si>
    <t>Platforme za krovne uređaje</t>
  </si>
  <si>
    <t>409.020.00100</t>
  </si>
  <si>
    <t>x..TU1+TU3..x - platforma kondenzatora, konstrukcija</t>
  </si>
  <si>
    <t>POZ 310+305
POZ 310
Isporučiti i montirati čeličnu konstrukciju kondenzatora tlocrtnih dimenzija [3,05/6,90] m, visine [1,00] m mjereno od završne kote krova. Nosači antikorozivno zaštičeni vrućim cinčanjem. Sve kompletno izvedeno i montirano do funkcionalne gotovosti, uključujući sva sredstva za pričvrščivanje, ukrute, pločevine, zavare.
Kvaliteta čelika: S [235]
Čelična konstrukcija se sastoji od slijedečih elemenata:
[SHS 150x150x5mm]
[HEA 140]
[IPE 140]
[Ø101x5mm]
Stubište na platformu:
[UPN 180]
[Ø50x3,6mm]
POZ 305
Isporučiti i montirati čeličnu konstrukciju dizalice topline tlocrtnih dimenzija [3,00/5,15] m, visine [1,00] m mjereno od završne kote krova. Nosači antikorozivno zaštičeni vrućim cinčanjem. Sve kompletno izvedeno i montirano do funkcionalne gotovosti, uključujući sva sredstva za pričvrščivanje, ukrute, pločevine, zavare.
Kvaliteta čelika: S [235]
Čelična konstrukcija se sastoji od slijedečih elemenata:
[SHS 150x150x5mm]
[HEA 140]
[IPE 140]
[Ø101x5mm]
Stubište na platformu:
[UPN 180]
[Ø50x3,6mm]
Stavka uključuje i krovnu kućicu za proboj instalacija koja se nalazi ispod platforme (izvesti prema detalju).</t>
  </si>
  <si>
    <t>409.020.00105</t>
  </si>
  <si>
    <t>x..TU1+TU3..x - platforma kondenzatora, hodna površina</t>
  </si>
  <si>
    <t>POZ 310+305
Dobava i postava hodne površine kondenzatora (uključivo i pristupno stubište) izvedene od protukliznih čeličnih rešetki širine mreže 30/30 mm, nosive šipke 40/3 mm, zavareno u okvir od profilnog čelika, učvršćeno na uzdužne nosače vijčanom izvedbom. Sve antikorozivno zaštičeno vrućim cinčanjem. Sve kompletno izvedeno i montirano do funkcionalne gotovosti, uključujući sva sredstva za pričvrščivanje I ukrute.</t>
  </si>
  <si>
    <t>409.020.00110</t>
  </si>
  <si>
    <t>x..TU2..x - platforma HOWAL uređaja, konstrukcija</t>
  </si>
  <si>
    <t>POZ 301
Isporučiti i montirati nosivu vruće cinčanu čeličnu potkonstrukciju ventilacijskih uređaja HOWAL. Nosači antikorozivno zaštičeni vrućim cinčanjem. Sve kompletno izvedeno i montirano do funkcionalne gotovosti, uključujući sva sredstva za pričvrščivanje, ukrute, pločevine, zavare.
Kvaliteta čelika: S [235]
Čelična konstrukcija se sastoji od slijedečih elemenata:
[SHS 100x100x5mm]
[SHS 60x60x3mm]</t>
  </si>
  <si>
    <t>409.020.00115</t>
  </si>
  <si>
    <t>POZ 302
Isporučiti i montirati nosivu vruće cinčanu čeličnu potkonstrukciju ventilacijskih uređaja HOWAL. Nosači antikorozivno zaštičeni vrućim cinčanjem. Sve kompletno izvedeno i montirano do funkcionalne gotovosti, uključujući sva sredstva za pričvrščivanje, ukrute, pločevine, zavare.
Kvaliteta čelika: S [235]
Čelična konstrukcija se sastoji od slijedečih elemenata:
[SHS 100x100x5mm]</t>
  </si>
  <si>
    <t>409.020.00120</t>
  </si>
  <si>
    <t>POZ 303
Isporučiti i montirati nosivu vruće cinčanu čeličnu potkonstrukciju ventilacijskih uređaja HOWAL. Nosači antikorozivno zaštičeni vrućim cinčanjem. Sve kompletno izvedeno i montirano do funkcionalne gotovosti, uključujući sva sredstva za pričvrščivanje, ukrute, pločevine, zavare.
Kvaliteta čelika: S [235]
Čelična konstrukcija se sastoji od slijedečih elemenata:
[SHS 100x100x5mm]
[SHS 60x60x3mm]</t>
  </si>
  <si>
    <t>409.020.00125</t>
  </si>
  <si>
    <t>POZ 304
Isporučiti i montirati nosivu vruće cinčanu čeličnu potkonstrukciju ventilacijskih uređaja HOWAL. Nosači antikorozivno zaštičeni vrućim cinčanjem. Sve kompletno izvedeno i montirano do funkcionalne gotovosti, uključujući sva sredstva za pričvrščivanje, ukrute, pločevine, zavare.
Kvaliteta čelika: S [235]
Čelična konstrukcija se sastoji od slijedečih elemenata:
[SHS 100x100x5mm]</t>
  </si>
  <si>
    <t>409.020.00140</t>
  </si>
  <si>
    <t>x..TU3..x - platforma dizalice topline, konstrukcija</t>
  </si>
  <si>
    <t>POZ 306
Isporučiti i montirati čeličnu konstrukciju dizalice topline tlocrtnih dimenzija [0,80/1,20] m, visine [0,3] m mjereno od završne kote krova. Nosači antikorozivno zaštičeni vrućim cinčanjem. Sve kompletno izvedeno i montirano do funkcionalne gotovosti, uključujući sva sredstva za pričvrščivanje, ukrute, pločevine, zavare.
Kvaliteta čelika: S [235]
[SHS 60x60x3,2mm]
[UPE 140]</t>
  </si>
  <si>
    <t>409.020.00150</t>
  </si>
  <si>
    <t>POZ 307
Isporučiti i montirati čeličnu konstrukciju dizalice topline tlocrtnih dimenzija [0,80/1,20] m, visine [0,3] m mjereno od završne kote krova. Nosači antikorozivno zaštičeni vrućim cinčanjem. Sve kompletno izvedeno i montirano do funkcionalne gotovosti, uključujući sva sredstva za pričvrščivanje, ukrute, pločevine, zavare.
Kvaliteta čelika: S [235]
[SHS 60x60x3,2mm]
[UPE 140]</t>
  </si>
  <si>
    <t>409.020.00160</t>
  </si>
  <si>
    <t>POZ 308
Isporučiti i montirati čeličnu konstrukciju dizalice topline tlocrtnih dimenzija [0,80/3,15] m, visine [0,3] m mjereno od završne kote krova. Nosači antikorozivno zaštičeni vrućim cinčanjem. Sve kompletno izvedeno i montirano do funkcionalne gotovosti, uključujući sva sredstva za pričvrščivanje, ukrute, pločevine, zavare.
Kvaliteta čelika: S [235]
[SHS 60x60x3,2mm]
[UPE 140]</t>
  </si>
  <si>
    <t>409.020.00170</t>
  </si>
  <si>
    <t>POZ 309
Isporučiti i montirati čeličnu konstrukciju dizalice topline tlocrtnih dimenzija [0,80/3,7] m, visine [0,3] m mjereno od završne kote krova. Nosači antikorozivno zaštičeni vrućim cinčanjem. Sve kompletno izvedeno i montirano do funkcionalne gotovosti, uključujući sva sredstva za pričvrščivanje, ukrute, pločevine, zavare.
Kvaliteta čelika: S [235]
[SHS 60x60x3,2mm]
[UPE 140]</t>
  </si>
  <si>
    <t>409.020.00180</t>
  </si>
  <si>
    <t>x..TU3..x - platforma dizalice topline, hodna površina</t>
  </si>
  <si>
    <t>POZ 311
Dobava i postava hodne površine dizalice topline (uključivo i pristupno stubište) izvedene od protukliznih čeličnih rešetki širine mreže 30/30 mm, nosive šipke 40/3 mm, zavareno u okvir od profilnog čelika. Ugradnja okvira od L profila za nošenje rešetke uključeno u stavku. Sve antikorozivno zaštičeno vrućim cinčanjem. Sve kompletno izvedeno i montirano do funkcionalne gotovosti, uključujući sva sredstva za pričvrščivanje I ukrute.</t>
  </si>
  <si>
    <t>409.020.00185</t>
  </si>
  <si>
    <t>POZ 312
Isporučiti i montirati čeličnu konstrukciju dizalice topline tlocrtnih dimenzija [0,80/1,20] m, visine [0,3] m mjereno od završne kote krova. Nosači antikorozivno zaštičeni vrućim cinčanjem. Sve kompletno izvedeno i montirano do funkcionalne gotovosti, uključujući sva sredstva za pričvrščivanje, ukrute, pločevine, zavare.
Kvaliteta čelika: S [235]
[SHS 60x60x3,2mm]
[UPE 140]</t>
  </si>
  <si>
    <t>409.020.00195</t>
  </si>
  <si>
    <t>POZ 313
Isporučiti i montirati čeličnu konstrukciju dizalice topline tlocrtnih dimenzija [0,80/1,20] m, visine [0,3] m mjereno od završne kote krova. Nosači antikorozivno zaštičeni vrućim cinčanjem. Sve kompletno izvedeno i montirano do funkcionalne gotovosti, uključujući sva sredstva za pričvrščivanje, ukrute, pločevine, zavare.
Kvaliteta čelika: S [235]
[SHS 60x60x3,2mm]
[UPE 140]</t>
  </si>
  <si>
    <t>409.020.00205</t>
  </si>
  <si>
    <t>POZ 314
Isporučiti i montirati čeličnu konstrukciju dizalice topline tlocrtnih dimenzija [0,80/1,20] m, visine [0,3] m mjereno od završne kote krova. Nosači antikorozivno zaštičeni vrućim cinčanjem. Sve kompletno izvedeno i montirano do funkcionalne gotovosti, uključujući sva sredstva za pričvrščivanje, ukrute, pločevine, zavare.
Kvaliteta čelika: S [235]
[SHS 60x60x3,2mm]
[UPE 140]</t>
  </si>
  <si>
    <t>409.030</t>
  </si>
  <si>
    <t>Ograde i rukohvati</t>
  </si>
  <si>
    <t>409.030.00100</t>
  </si>
  <si>
    <t>x..IG1..x - ograda na betonskom stubištu</t>
  </si>
  <si>
    <t>POZ 208
Izraditi i montirati čeličnu ogradu na betonskom stubištu. Izvedba do gotove funkcionalnosti sa svim spojnim sredstvima, pločevinama.
Visina ograde: Visina ograde prema državnim propisima, ali ne manja od 1,0 m iznad podloge
Konstrukcija ograde: Okvir ograde od čeličnih cijevi sa zavarenim okruglim lukovima, promjera ca. 38 mm, s vertikalnim ispunama od okruglog čelika, promjera 12 mm, s razmakom od 110 mm između šipki, sa stupovima od čeličnih cijevi, promjera ca. 38 mm, s poklopcem i priključnom pločom, pričvršćen za bočnu stranu stepenica pomoću tipli, s grundiranom površinom
Rukohvat: od cijevi od nehrđajućeg čelika, s brušenom (granulacija 240) i četkanom površinom, promjera ca. 44 mm, sa zavarenim i brušenim spojevima, pričvršćenjem na bočnoj strani ograde pomoću kutnih elemenata od okruglih cijevi od nehrđajućeg čelika, s visinom rukohvata 0,85 m iznad podloge, kontinuiran bez prekida, s obrađenim krajevima, s opipljivim oznakama/natpisima naziva etaže
Boja ograde: temeljni premaz sa završnim slojem laka na bazi umjetne smole RAL 7016.</t>
  </si>
  <si>
    <t>409.040</t>
  </si>
  <si>
    <t>Nadstrešnice</t>
  </si>
  <si>
    <t>409.050</t>
  </si>
  <si>
    <t>409.050.00100</t>
  </si>
  <si>
    <t>x..RS7..x - čelični kut za zaštitu od udara</t>
  </si>
  <si>
    <t>Čelični kutni element, s profilom L80/80/6 mm, zaobljenim kutovima, pocninčan, u pojedinačnim dužinama od 2,0 m, kao zaštitu rubova za zidove i potpornje od zidanih elemenata ili armiranog betona, izraditi, isporučiti i pričvrstiti vijcima s upuštenom glavom.</t>
  </si>
  <si>
    <t>409.050.00105</t>
  </si>
  <si>
    <t>x..RS10..x - zaštitni stup za zaštitu od udaraca, pocinčani,</t>
  </si>
  <si>
    <t>Stup od okrugle cijevi, promjera ca. 101 mm, debljine 5 mm, s ispupčenom gornjom pločom, od pocinčanog čelika, kao zaštitu od udaraca, izraditi, isporučiti i montirati.
Visina: 900 mm iznad gotovog poda
Pričvršćivanje: Usidravanje u grubi pod bušenjem cilindričnih rupa, dubine ca. 150 - 200 mm. Spoj stupa i poda fugirati trajnoelastičnom masom svjetlosive boje.</t>
  </si>
  <si>
    <t>409.050.00110</t>
  </si>
  <si>
    <t>x..RS10, ..x - Stup za zaštitu od udaraca, pocinčani, sidreno pričvršćivanje, završni pod</t>
  </si>
  <si>
    <t>Stup od okrugle cijevi, promjera ca. 101 mm, debljine 5 mm, s ispupčenom gornjom pločom, od pocinčanog čelika, kao zaštitu od udaraca, izraditi, isporučiti i montirati.
Visina: 900 mm iznad gotovog poda
Pričvršćivanje: Usidravanje na gotovi pod pomoću zavarenog postolja, promjera 200 mm, debljine ca. 10 mm, sa sidrima i M12 vijcima s upuštenim glavama.</t>
  </si>
  <si>
    <t>409.050.00115</t>
  </si>
  <si>
    <t>x..RS10..x - zaštitni nosač protiv udaraca, nehrđajući čelik, čvrsta montaža</t>
  </si>
  <si>
    <t>Stup od okrugle cijevi, promjera ca. 101 mm, debljine 5 mm, s ispupčenom gornjom pločom, od nehrđajućeg čelika, s brušenom (granulacija 240) površinom, kao zaštitu od udaraca, izraditi, isporučiti i montirati.
Visina: 900 mm iznad gotovog poda
Pričvršćivanje: Usidravanje u grubi pod bušenjem cilindričnih rupa, dubine ca. 150 - 200 mm. Spoj stupa i poda fugirati trajnoelastičnom masom svjetlosive boje.</t>
  </si>
  <si>
    <t>409.050.00120</t>
  </si>
  <si>
    <t>x..RS16..x - nosivi zaštitni nosač, duljina 1,6 m, čvrsto učvršćenje</t>
  </si>
  <si>
    <t>Stremen od okruglih cijevi, promjera ca. 108 mm, debljine 4 mm, od pocinčanog čelika, kao zaštitu od udaraca, izraditi, isporučiti i montirati.
Dužina: 1,6 m
Visina: 0,4 m iznad gotovog poda
Pričvršćivanje: Usidravanje u grubi pod bušenjem cilindričnih rupa, dubine ca. 150 - 200 mm. Spoj stupa i poda fugirati trajnoelastičnom masom svjetlosive boje.</t>
  </si>
  <si>
    <t>409.050.00125</t>
  </si>
  <si>
    <t>x..RS21..x - Zaštita vrata o cjevastog okvira, dimenzija 2,2 / 2,5 m</t>
  </si>
  <si>
    <t>Cijevni okvir, od kvadratnih šupljih profila 100/100/4 mm, s priključcima na zid, pločama za pričvršćivanje i nošenje 200/200/6 mm, s držačem za magnete, od čelika, s grundiranom površinom, s pričvršćivanjem pomoću spojnog sidra i M12 vijaka s upuštenim glavama, kao zaštitu od udaraca, izraditi, isporučiti i montirati.
Dimenzije širine/visine: ca. 2,2/2,5 m, prilagođeno za svijetli prolaz kroz vrata, obuhvatno ca. 5 cm manje
Razmak od zida: do ca. 1,2 m</t>
  </si>
  <si>
    <t>409.050.00130</t>
  </si>
  <si>
    <t>x..MA5..x - stup od okrugle cijevi</t>
  </si>
  <si>
    <t>Stup od okrugle cijevi, promjera ca. 180-200 mm, debljine 2 mm, s družinom ca. 1.200 mm, sa zatvorenom gornjom pločom, od čelika, s pocinčanom površinom, s unutarnje strane ispunjen betonom, kao zaštitu od udaraca, izraditi, isporučiti i montirati.
Visina: 0,8 m iznad gotovog poda, dubina spajanja 0,4 m
Pričvršćivanje: betonirano i pomoću poprečnog trna usidreno u temelj na gradilištu</t>
  </si>
  <si>
    <t>409.050.00135</t>
  </si>
  <si>
    <t>- Zaštita hidranata  od cjevastog okvira, dimenzija Ø40mm</t>
  </si>
  <si>
    <t>Cijevni okvir, od kvadratnih šupljih profila Ø40 mm, stijenka 4mm, s priključcima na zid, , od čelika, s grundiranom površinom, s pričvršćivanjem pomoću spojnog sidra i M12 vijaka s upuštenim glavama, kao zaštitu od udaraca, izraditi, isporučiti i montirati.
Dimenzije širine/visine: Ø40 mm, stijenka 4mm
Boja: uzorak crno-žute kose crte kao znak upozorenja</t>
  </si>
  <si>
    <t>409.060</t>
  </si>
  <si>
    <t>Prozorske rešetke</t>
  </si>
  <si>
    <t>409.060.00100</t>
  </si>
  <si>
    <t>x..FGI1..x - rešetkasti elementi prozora, dimenzije 2,73  / 1,3 m</t>
  </si>
  <si>
    <t>POZ B50
Prozorska rešetka od kvadratnih okvira 40/40/4 mm, s unutarnjom rešetkom od okruglog čelika, promjera 12 mm, s horizontalnim razmakom od 100 mm između šipki i vertikalnim razmakom od 200 mm, sidro prekriveno pričvršćeno pomoću injekcijskih tipli, maks. razmak između sidara 500 mm, s vruće pocinčanim čeličnim dijelovima i elementima za pričvršćivanje, izraditi, isporučiti i montirati. njakon vrućeg cinčanja, lakirati u tonu po izboru investitora.
Dimenzije širine/visine: ca. 2,73/1,3 m, prilagođeno visini prozora</t>
  </si>
  <si>
    <t>409.060.00105</t>
  </si>
  <si>
    <t>x..FGI1..x - rešetkasti elementi prozora, dimenzije 1,46  / 1,77 m</t>
  </si>
  <si>
    <t>POZ B51
Prozorska rešetka od kvadratnih okvira 40/40/4 mm, s unutarnjom rešetkom od okruglog čelika, promjera 12 mm, s horizontalnim razmakom od 100 mm između šipki i vertikalnim razmakom od 200 mm, sidro prekriveno pričvršćeno pomoću injekcijskih tipli, maks. razmak između sidara 500 mm, s vruće pocinčanim čeličnim dijelovima i elementima za pričvršćivanje, izraditi, isporučiti i montirati. njakon vrućeg cinčanja, lakirati u tonu po izboru investitora.
Dimenzije širine/visine: ca. 1,47 / 1,77 m, prilagođeno visini prozora</t>
  </si>
  <si>
    <t>409.070</t>
  </si>
  <si>
    <t>Podkonstrukcije</t>
  </si>
  <si>
    <t>409.070.00100</t>
  </si>
  <si>
    <t>- čelična konstrukcija, premazana bojom</t>
  </si>
  <si>
    <t>POZ 401
Nosače od profilnog čelika, u različitim pojedinačnim dužinama, položene u ravnini trapeznih limova kao podkonstrukcija ili za vješanje konstrukcija na gradilištu, uklj. gornje ploče, potpornje, prirubnice, bušene rupe, zavarene spojeve, sredstva za pričvršćivanje i spajanje izraditi, isporučiti i montirati.
Građevinski čelik: S235 prema EN 10025
Površina: grundirana i obojana
Boja: sukladno Kauflandovoj paleti boja</t>
  </si>
  <si>
    <t>409.070.00105</t>
  </si>
  <si>
    <t>POZ 402
Nosače od profilnog čelika, u različitim pojedinačnim dužinama, položene u ravnini trapeznih limova kao podkonstrukcija ili za vješanje konstrukcija na gradilištu, uklj. gornje ploče, potpornje, prirubnice, bušene rupe, zavarene spojeve, sredstva za pričvršćivanje i spajanje izraditi, isporučiti i montirati.
Građevinski čelik: S235 prema EN 10025
Površina: grundirana i obojana
Boja: sukladno Kauflandovoj paleti boja</t>
  </si>
  <si>
    <t>409.070.00110</t>
  </si>
  <si>
    <t>POZ 403
Nosače od profilnog čelika, u različitim pojedinačnim dužinama i presjecima, položene u ravnini trapeznih limova kao podkonstrukcija ili za vješanje konstrukcija na gradilištu, uklj. gornje ploče, potpornje, prirubnice, bušene rupe, zavarene spojeve, sredstva za pričvršćivanje i spajanje izraditi, isporučiti i montirati.
Građevinski čelik: S235 prema EN 10025
Površina: grundirana i obojana
Boja: sukladno Kauflandovoj paleti boja</t>
  </si>
  <si>
    <t>409.070.00115</t>
  </si>
  <si>
    <t>POZ 404
Nosače od profilnog čelika, u različitim pojedinačnim dužinama i presjecima, položene u ravnini trapeznih limova kao podkonstrukcija ili za vješanje konstrukcija na gradilištu, uklj. gornje ploče, potpornje, prirubnice, bušene rupe, zavarene spojeve, sredstva za pričvršćivanje i spajanje izraditi, isporučiti i montirati.
Građevinski čelik: S235 prema EN 10025
Površina: grundirana i obojana
Boja: sukladno Kauflandovoj paleti boja</t>
  </si>
  <si>
    <t>409.070.00120</t>
  </si>
  <si>
    <t>POZ 405
Nosače od profilnog čelika, u različitim pojedinačnim dužinama i presjecima, položene u ravnini trapeznih limova kao podkonstrukcija ili za vješanje konstrukcija na gradilištu, uklj. gornje ploče, potpornje, prirubnice, bušene rupe, zavarene spojeve, sredstva za pričvršćivanje i spajanje izraditi, isporučiti i montirati.
Građevinski čelik: S235 prema EN 10025
Površina: grundirana i obojana
Boja: sukladno Kauflandovoj paleti boja</t>
  </si>
  <si>
    <t>409.070.00125</t>
  </si>
  <si>
    <t>POZ 406
Nosače od profilnog čelika, u različitim pojedinačnim dužinama i presjecima, položene u ravnini trapeznih limova kao podkonstrukcija ili za vješanje konstrukcija na gradilištu, uklj. gornje ploče, potpornje, prirubnice, bušene rupe, zavarene spojeve, sredstva za pričvršćivanje i spajanje izraditi, isporučiti i montirati.
Građevinski čelik: S235 prema EN 10025
Površina: grundirana i obojana
Boja: sukladno Kauflandovoj paleti boja</t>
  </si>
  <si>
    <t>409.070.00130</t>
  </si>
  <si>
    <t>POZ 501, POZ 502, POZ 503
Nosače od profilnog čelika, u različitim pojedinačnim dužinama i presjecima, položene u ravnini trapeznih limova kao podkonstrukcija ili za vješanje konstrukcija na gradilištu, uklj. gornje ploče, potpornje, prirubnice, bušene rupe, zavarene spojeve, sredstva za pričvršćivanje i spajanje izraditi, isporučiti i montirati.
Građevinski čelik: S235 prema EN 10025
Površina: grundirana i obojana
Boja: sukladno Kauflandovoj paleti boja</t>
  </si>
  <si>
    <t>409.070.00135</t>
  </si>
  <si>
    <t>POZ 504
Nosače od profilnog čelika, u različitim pojedinačnim dužinama i presjecima, položene u ravnini trapeznih limova kao podkonstrukcija ili za vješanje konstrukcija na gradilištu, uklj. gornje ploče, potpornje, prirubnice, bušene rupe, zavarene spojeve, sredstva za pričvršćivanje i spajanje izraditi, isporučiti i montirati.
Građevinski čelik: S235 prema EN 10025
Površina: grundirana i obojana
Boja: sukladno Kauflandovoj paleti boja</t>
  </si>
  <si>
    <t>409.070.00140</t>
  </si>
  <si>
    <t>POZ 505
Nosače od profilnog čelika, u različitim pojedinačnim dužinama i presjecima, položene u ravnini trapeznih limova kao podkonstrukcija ili za vješanje konstrukcija na gradilištu, uklj. gornje ploče, potpornje, prirubnice, bušene rupe, zavarene spojeve, sredstva za pričvršćivanje i spajanje izraditi, isporučiti i montirati.
Građevinski čelik: S235 prema EN 10025
Površina: grundirana i obojana
Boja: sukladno Kauflandovoj paleti boja</t>
  </si>
  <si>
    <t>409.070.00145</t>
  </si>
  <si>
    <t>POZ 101
Nosače od profilnog čelika, u različitim pojedinačnim dužinama, položene u ravnini fasadnih panela kao podkonstrukcija otvora u fasadi, uklj. gornje ploče, potpornje, prirubnice, bušene rupe, zavarene spojeve, sredstva za pričvršćivanje i spajanje izraditi, isporučiti i montirati.
Građevinski čelik: S235 prema EN 10025
Površina: premazana bojom</t>
  </si>
  <si>
    <t>409.070.00150</t>
  </si>
  <si>
    <t>POZ 102
Nosače od profilnog čelika, u različitim pojedinačnim dužinama, položene u ravnini fasadnih panela kao podkonstrukcija otvora u fasadi, uklj. gornje ploče, potpornje, prirubnice, bušene rupe, zavarene spojeve, sredstva za pričvršćivanje i spajanje izraditi, isporučiti i montirati.
Građevinski čelik: S235 prema EN 10025
Površina: premazana bojom</t>
  </si>
  <si>
    <t>409.070.00155</t>
  </si>
  <si>
    <t>POZ 103
Nosače od profilnog čelika, u različitim pojedinačnim dužinama, položene u ravnini fasadnih panela kao podkonstrukcija otvora u fasadi, uklj. gornje ploče, potpornje, prirubnice, bušene rupe, zavarene spojeve, sredstva za pričvršćivanje i spajanje izraditi, isporučiti i montirati.
Građevinski čelik: S235 prema EN 10025
Površina: premazana bojom</t>
  </si>
  <si>
    <t>409.070.00160</t>
  </si>
  <si>
    <t>POZ 104
Nosače od profilnog čelika, u različitim pojedinačnim dužinama, položene u ravnini fasadnih panela kao podkonstrukcija otvora u fasadi, uklj. gornje ploče, potpornje, prirubnice, bušene rupe, zavarene spojeve, sredstva za pričvršćivanje i spajanje izraditi, isporučiti i montirati.
Građevinski čelik: S235 prema EN 10025
Površina: premazana bojom</t>
  </si>
  <si>
    <t>409.070.00165</t>
  </si>
  <si>
    <t>POZ 105
Nosače od profilnog čelika, u različitim pojedinačnim dužinama, položene u ravnini fasadnih panela kao podkonstrukcija otvora u fasadi, uklj. gornje ploče, potpornje, prirubnice, bušene rupe, zavarene spojeve, sredstva za pričvršćivanje i spajanje izraditi, isporučiti i montirati.
Građevinski čelik: S235 prema EN 10025
Površina: premazana bojom</t>
  </si>
  <si>
    <t>409.070.00170</t>
  </si>
  <si>
    <t>POZ 106
Nosače od profilnog čelika, u različitim pojedinačnim dužinama, položene u ravnini fasadnih panela kao podkonstrukcija otvora u fasadi, uklj. gornje ploče, potpornje, prirubnice, bušene rupe, zavarene spojeve, sredstva za pričvršćivanje i spajanje izraditi, isporučiti i montirati.
Građevinski čelik: S235 prema EN 10025
Površina: premazana bojom</t>
  </si>
  <si>
    <t>409.070.00175</t>
  </si>
  <si>
    <t>POZ 107
Nosače od profilnog čelika, u različitim pojedinačnim dužinama, položene u ravnini fasadnih panela kao podkonstrukcija otvora u fasadi, uklj. gornje ploče, potpornje, prirubnice, bušene rupe, zavarene spojeve, sredstva za pričvršćivanje i spajanje izraditi, isporučiti i montirati.
Građevinski čelik: S235 prema EN 10025
Površina: premazana bojom</t>
  </si>
  <si>
    <t>409.070.00180</t>
  </si>
  <si>
    <t>POZ 108
Nosače od profilnog čelika, u različitim pojedinačnim dužinama, položene u ravnini fasadnih panela kao podkonstrukcija otvora u fasadi, uklj. gornje ploče, potpornje, prirubnice, bušene rupe, zavarene spojeve, sredstva za pričvršćivanje i spajanje izraditi, isporučiti i montirati.
Građevinski čelik: S235 prema EN 10025
Površina: premazana bojom</t>
  </si>
  <si>
    <t>409.070.00185</t>
  </si>
  <si>
    <t>POZ 109
Nosače od profilnog čelika, u različitim pojedinačnim dužinama, položene u ravnini fasadnih panela kao podkonstrukcija otvora u fasadi, uklj. gornje ploče, potpornje, prirubnice, bušene rupe, zavarene spojeve, sredstva za pričvršćivanje i spajanje izraditi, isporučiti i montirati.
Građevinski čelik: S235 prema EN 10025
Površina: premazana bojom</t>
  </si>
  <si>
    <t>409.070.00190</t>
  </si>
  <si>
    <t>POZ 110
Nosače od profilnog čelika, u različitim pojedinačnim dužinama, položene u ravnini fasadnih panela kao podkonstrukcija otvora u fasadi, uklj. gornje ploče, potpornje, prirubnice, bušene rupe, zavarene spojeve, sredstva za pričvršćivanje i spajanje izraditi, isporučiti i montirati.
Građevinski čelik: S235 prema EN 10025
Površina: premazana bojom</t>
  </si>
  <si>
    <t>409.070.00195</t>
  </si>
  <si>
    <t>POZ 111
Nosače od profilnog čelika, u različitim pojedinačnim dužinama, položene u ravnini fasadnih panela kao podkonstrukcija otvora u fasadi, uklj. gornje ploče, potpornje, prirubnice, bušene rupe, zavarene spojeve, sredstva za pričvršćivanje i spajanje izraditi, isporučiti i montirati.
Građevinski čelik: S235 prema EN 10025
Površina: premazana bojom</t>
  </si>
  <si>
    <t>409.070.00200</t>
  </si>
  <si>
    <t>POZ 112
Nosače od profilnog čelika, u različitim pojedinačnim dužinama i presjecima, položene u ravnini fasadnih panela kao podkonstrukcija otvora u fasadi, uklj. gornje ploče, potpornje, prirubnice, bušene rupe, zavarene spojeve, sredstva za pričvršćivanje i spajanje izraditi, isporučiti i montirati.
Građevinski čelik: S235 prema EN 10025
Površina: premazana bojom</t>
  </si>
  <si>
    <t>409.070.00205</t>
  </si>
  <si>
    <t>POZ 113
Nosače od profilnog čelika, u različitim pojedinačnim dužinama, položene u ravnini fasadnih panela kao podkonstrukcija otvora u fasadi, uklj. gornje ploče, potpornje, prirubnice, bušene rupe, zavarene spojeve, sredstva za pričvršćivanje i spajanje izraditi, isporučiti i montirati.
Građevinski čelik: S235 prema EN 10025
Površina: premazana bojom</t>
  </si>
  <si>
    <t>409.070.00210</t>
  </si>
  <si>
    <t>POZ 114
Nosače od profilnog čelika, u različitim pojedinačnim dužinama i presjecima, položene u ravnini fasadnih panela kao podkonstrukcija otvora u fasadi, uklj. gornje ploče, potpornje, prirubnice, bušene rupe, zavarene spojeve, sredstva za pričvršćivanje i spajanje izraditi, isporučiti i montirati.
Građevinski čelik: S235 prema EN 10025
Površina: premazana bojom</t>
  </si>
  <si>
    <t>409.070.00215</t>
  </si>
  <si>
    <t>POZ 115
Nosače od profilnog čelika, u različitim pojedinačnim dužinama, položene u ravnini fasadnih panela kao podkonstrukcija otvora u fasadi, uklj. gornje ploče, potpornje, prirubnice, bušene rupe, zavarene spojeve, sredstva za pričvršćivanje i spajanje izraditi, isporučiti i montirati.
Građevinski čelik: S235 prema EN 10025
Površina: premazana bojom</t>
  </si>
  <si>
    <t>409.070.00220</t>
  </si>
  <si>
    <t>POZ 116
Nosače od profilnog čelika, u različitim pojedinačnim dužinama, položene u ravnini fasadnih panela kao podkonstrukcija otvora u fasadi, uklj. gornje ploče, potpornje, prirubnice, bušene rupe, zavarene spojeve, sredstva za pričvršćivanje i spajanje izraditi, isporučiti i montirati.
Građevinski čelik: S235 prema EN 10025
Površina: premazana bojom</t>
  </si>
  <si>
    <t>409.070.00225</t>
  </si>
  <si>
    <t>POZ 117
Nosače od profilnog čelika, u različitim pojedinačnim dužinama, položene u ravnini fasadnih panela kao podkonstrukcija otvora u fasadi, uklj. gornje ploče, potpornje, prirubnice, bušene rupe, zavarene spojeve, sredstva za pričvršćivanje i spajanje izraditi, isporučiti i montirati.
Građevinski čelik: S235 prema EN 10025
Površina: premazana bojom</t>
  </si>
  <si>
    <t>409.070.00230</t>
  </si>
  <si>
    <t>POZ 118
Nosače od profilnog čelika, u različitim pojedinačnim dužinama, položene u ravnini fasadnih panela kao podkonstrukcija otvora u fasadi, uklj. gornje ploče, potpornje, prirubnice, bušene rupe, zavarene spojeve, sredstva za pričvršćivanje i spajanje izraditi, isporučiti i montirati.
Građevinski čelik: S235 prema EN 10025
Površina: premazana bojom</t>
  </si>
  <si>
    <t>409.070.00231</t>
  </si>
  <si>
    <t>POZ 120
Nosače od profilnog čelika, u različitim pojedinačnim dužinama, položene u ravnini fasadnih panela kao podkonstrukcija otvora u fasadi, uklj. gornje ploče, potpornje, prirubnice, bušene rupe, zavarene spojeve, sredstva za pričvršćivanje i spajanje izraditi, isporučiti i montirati.
Građevinski čelik: S235 prema EN 10025
Površina: premazana bojom</t>
  </si>
  <si>
    <t>409.070.00236</t>
  </si>
  <si>
    <t>POZ 121
Nosače od profilnog čelika, u različitim pojedinačnim dužinama, položene u ravnini fasadnih panela kao podkonstrukcija otvora u fasadi, uklj. gornje ploče, potpornje, prirubnice, bušene rupe, zavarene spojeve, sredstva za pričvršćivanje i spajanje izraditi, isporučiti i montirati.
Građevinski čelik: S235 prema EN 10025
Površina: premazana bojom</t>
  </si>
  <si>
    <t>409.070.00235</t>
  </si>
  <si>
    <t>POZ 122
Nosače od profilnog čelika, u različitim pojedinačnim dužinama, položene u ravnini fasadnih panela kao podkonstrukcija otvora u fasadi, uklj. gornje ploče, potpornje, prirubnice, bušene rupe, zavarene spojeve, sredstva za pričvršćivanje i spajanje izraditi, isporučiti i montirati.
Građevinski čelik: S235 prema EN 10025
Površina: premazana bojom</t>
  </si>
  <si>
    <t>409.070.00240</t>
  </si>
  <si>
    <t>POZ 123
Nosače od profilnog čelika, u različitim pojedinačnim dužinama, položene u ravnini fasadnih panela kao podkonstrukcija otvora u fasadi, uklj. gornje ploče, potpornje, prirubnice, bušene rupe, zavarene spojeve, sredstva za pričvršćivanje i spajanje izraditi, isporučiti i montirati.
Građevinski čelik: S235 prema EN 10025
Površina: premazana bojom</t>
  </si>
  <si>
    <t>409.070.00245</t>
  </si>
  <si>
    <t>POZ 124
Nosače od profilnog čelika, u različitim pojedinačnim dužinama, položene u ravnini fasadnih panela kao podkonstrukcija otvora u fasadi, uklj. gornje ploče, potpornje, prirubnice, bušene rupe, zavarene spojeve, sredstva za pričvršćivanje i spajanje izraditi, isporučiti i montirati.
Građevinski čelik: S235 prema EN 10025
Površina: premazana bojom</t>
  </si>
  <si>
    <t>409.070.00250</t>
  </si>
  <si>
    <t>POZ 125
Nosače od profilnog čelika, u različitim pojedinačnim dužinama, položene u ravnini fasadnih panela kao podkonstrukcija otvora u fasadi, uklj. gornje ploče, potpornje, prirubnice, bušene rupe, zavarene spojeve, sredstva za pričvršćivanje i spajanje izraditi, isporučiti i montirati.
Građevinski čelik: S235 prema EN 10025
Površina: premazana bojom</t>
  </si>
  <si>
    <t>409.070.00255</t>
  </si>
  <si>
    <t>POZ 126
Nosače od profilnog čelika, u različitim pojedinačnim dužinama, položene u ravnini fasadnih panela kao podkonstrukcija otvora u fasadi, uklj. gornje ploče, potpornje, prirubnice, bušene rupe, zavarene spojeve, sredstva za pričvršćivanje i spajanje izraditi, isporučiti i montirati.
Građevinski čelik: S235 prema EN 10025
Površina: premazana bojom</t>
  </si>
  <si>
    <t>409.070.00260</t>
  </si>
  <si>
    <t>POZ 127
Nosače od profilnog čelika, u različitim pojedinačnim dužinama, položene u ravnini fasadnih panela kao podkonstrukcija otvora u fasadi, uklj. gornje ploče, potpornje, prirubnice, bušene rupe, zavarene spojeve, sredstva za pričvršćivanje i spajanje izraditi, isporučiti i montirati.
Građevinski čelik: S235 prema EN 10025
Površina: premazana bojom</t>
  </si>
  <si>
    <t>409.070.00265</t>
  </si>
  <si>
    <t>POZ 128
Nosače od profilnog čelika, u različitim pojedinačnim dužinama i presjecima, položene u ravnini fasadnih panela kao podkonstrukcija otvora u fasadi, uklj. gornje ploče, potpornje, prirubnice, bušene rupe, zavarene spojeve, sredstva za pričvršćivanje i spajanje izraditi, isporučiti i montirati.
Građevinski čelik: S235 prema EN 10025
Površina: premazana bojom</t>
  </si>
  <si>
    <t>409.070.00270</t>
  </si>
  <si>
    <t>POZ 129
Nosače od profilnog čelika, u različitim pojedinačnim dužinama, položene u ravnini fasadnih panela kao podkonstrukcija otvora u fasadi, uklj. gornje ploče, potpornje, prirubnice, bušene rupe, zavarene spojeve, sredstva za pričvršćivanje i spajanje izraditi, isporučiti i montirati.
Građevinski čelik: S235 prema EN 10025
Površina: premazana bojom</t>
  </si>
  <si>
    <t>409.070.00275</t>
  </si>
  <si>
    <t>POZ 130
Nosače od profilnog čelika, u različitim pojedinačnim dužinama i presjecima, položene u ravninigipskartonskog zida kao podkonstrukcija otvora u zidu, uklj. gornje ploče, potpornje, prirubnice, bušene rupe, zavarene spojeve, sredstva za pričvršćivanje i spajanje izraditi, isporučiti i montirati.
Građevinski čelik: S235 prema EN 10025
Površina: premazana bojom</t>
  </si>
  <si>
    <t>409.070.00280</t>
  </si>
  <si>
    <t>POZ 131
Nosače od profilnog čelika, u različitim pojedinačnim dužinama i presjecima, položene u ravninigipskartonskog zida kao podkonstrukcija otvora u zidu, uklj. gornje ploče, potpornje, prirubnice, bušene rupe, zavarene spojeve, sredstva za pričvršćivanje i spajanje izraditi, isporučiti i montirati.
Građevinski čelik: S235 prema EN 10025
Površina: premazana bojom</t>
  </si>
  <si>
    <t>409.070.00285</t>
  </si>
  <si>
    <t>POZ 132
Nosače od profilnog čelika, u različitim pojedinačnim dužinama, položene u ravnini gipskartonskog zida kao podkonstrukcija otvora u zidu, uklj. gornje ploče, potpornje, prirubnice, bušene rupe, zavarene spojeve, sredstva za pričvršćivanje i spajanje izraditi, isporučiti i montirati.
Građevinski čelik: S235 prema EN 10025
Površina: premazana bojom</t>
  </si>
  <si>
    <t>409.070.00290</t>
  </si>
  <si>
    <t>POZ 133
Nosače od profilnog čelika, u različitim pojedinačnim dužinama, položene u ravnini fasadnih panela kao podkonstrukcija otvora u fasadi, uklj. gornje ploče, potpornje, prirubnice, bušene rupe, zavarene spojeve, sredstva za pričvršćivanje i spajanje izraditi, isporučiti i montirati.
Građevinski čelik: S235 prema EN 10025
Površina: premazana bojom</t>
  </si>
  <si>
    <t>409.070.00295</t>
  </si>
  <si>
    <t>POZ 134
Nosače od profilnog čelika, u različitim pojedinačnim dužinama i presjecima, položene u ravnini protupožarnog gipskartonskog zida kao podkonstrukcija otvora, uklj. gornje ploče, potpornje, prirubnice, bušene rupe, zavarene spojeve, sredstva za pričvršćivanje i spajanje izraditi, isporučiti i montirati.
Čelična konstrukcija mora biti zaštićena premazima da zadovolji vatrootpornost 90 minuta.
Građevinski čelik: S235 prema EN 10025
Površina: premazana bojom</t>
  </si>
  <si>
    <t>409.070.00300</t>
  </si>
  <si>
    <t>POZ 135
Nosače od profilnog čelika, u različitim pojedinačnim dužinama i presjecima, položene u ravnini protupožarnog gipskartonskog zida kao podkonstrukcija otvora, uklj. gornje ploče, potpornje, prirubnice, bušene rupe, zavarene spojeve, sredstva za pričvršćivanje i spajanje izraditi, isporučiti i montirati.
Čelična konstrukcija mora biti zaštićena premazima da zadovolji vatrootpornost 90 minuta.
Građevinski čelik: S235 prema EN 10025
Površina: premazana bojom</t>
  </si>
  <si>
    <t>409.070.00305</t>
  </si>
  <si>
    <t>POZ 136
Nosače od profilnog čelika, u različitim pojedinačnim dužinama i presjecima, položene u ravnini protupožarnog gipskartonskog zida kao podkonstrukcija otvora, uklj. gornje ploče, potpornje, prirubnice, bušene rupe, zavarene spojeve, sredstva za pričvršćivanje i spajanje izraditi, isporučiti i montirati.
Čelična konstrukcija mora biti zaštićena premazima da zadovolji vatrootpornost 90 minuta.
Građevinski čelik: S235 prema EN 10025
Površina: premazana bojom</t>
  </si>
  <si>
    <t>409.070.00310</t>
  </si>
  <si>
    <t>POZ 137
Nosače od profilnog čelika, u različitim pojedinačnim dužinama, položene u ravnini fasadnih panela kao podkonstrukcija otvora u fasadi, uklj. gornje ploče, potpornje, prirubnice, bušene rupe, zavarene spojeve, sredstva za pričvršćivanje i spajanje izraditi, isporučiti i montirati.
Građevinski čelik: S235 prema EN 10025
Površina: premazana bojom</t>
  </si>
  <si>
    <t>409.070.00315</t>
  </si>
  <si>
    <t>POZ 138
Nosače od profilnog čelika, u različitim pojedinačnim dužinama i presjecima, položene u ravnini protupožarnog gipskartonskog zida kao podkonstrukcija otvora, uklj. gornje ploče, potpornje, prirubnice, bušene rupe, zavarene spojeve, sredstva za pričvršćivanje i spajanje izraditi, isporučiti i montirati.
Čelična konstrukcija mora biti zaštićena premazima da zadovolji vatrootpornost 90 minuta.
Građevinski čelik: S235 prema EN 10025
Površina: premazana bojom</t>
  </si>
  <si>
    <t>409.070.00320</t>
  </si>
  <si>
    <t>POZ 702
Nosače od profilnog čelika, u različitim pojedinačnim dužinama, položene u ravnini fasadnih panela kao podkonstrukcija otvora u fasadi, uklj. gornje ploče, potpornje, prirubnice, bušene rupe, zavarene spojeve, sredstva za pričvršćivanje i spajanje izraditi, isporučiti i montirati.
Građevinski čelik: S235 prema EN 10025
Površina: premazana bojom</t>
  </si>
  <si>
    <t>409.070.00325</t>
  </si>
  <si>
    <t>POZ 703
Nosače od profilnog čelika, u različitim pojedinačnim dužinama, položene u ravnini fasadnih panela kao podkonstrukcija otvora u fasadi, uklj. gornje ploče, potpornje, prirubnice, bušene rupe, zavarene spojeve, sredstva za pričvršćivanje i spajanje izraditi, isporučiti i montirati.
Građevinski čelik: S235 prema EN 10025
Površina: premazana bojom</t>
  </si>
  <si>
    <t>409.070.00330</t>
  </si>
  <si>
    <t>POZ 704
Nosače od profilnog čelika, u različitim pojedinačnim dužinama, položene u ravnini fasadnih panela kao podkonstrukcija otvora u fasadi, uklj. gornje ploče, potpornje, prirubnice, bušene rupe, zavarene spojeve, sredstva za pričvršćivanje i spajanje izraditi, isporučiti i montirati.
Građevinski čelik: S235 prema EN 10025
Površina: premazana bojom</t>
  </si>
  <si>
    <t>409.080</t>
  </si>
  <si>
    <t>410</t>
  </si>
  <si>
    <t>Rashladne komore</t>
  </si>
  <si>
    <t>410.000</t>
  </si>
  <si>
    <t>1.) Dodatni ugovoreni tehnički uvjeti dio su troškovnika te u slučaju ugovaranja postaju dio ugovora. Izvođač radova se dakle obavezuje na sve radove i primjene koje proizlaze iz ovih uvjeta te su one uračunate u cijenu, ukoliko nisu zasebno ponuđene.
2.) Cijene stavki se prikazuju kao neto iznos u državnoj valuti. Važeći zakonski propisani porez na dodanu vrijednost obračunava se zasebno.
3.) U slučaju proturječnosti dodatnih ugovorenih tehničkih uvjeta vrijede prvenstveno podaci iz troškovnika. U slučaju proturječnosti između troškovnika i tehničke dokumentacije koja se predaje prilikom natječaja, vrijedi tehnička dokumentacija.
4.) Prije početka davanja ponude, ponuditelj je dužan pažljivo pročitati kompletan tekst općih uvjeta uz troškovnik, općih i posebnih uvjeta uz svaku grupu radova, tekst samog troškovnika i ostale dijelove tehničke dokumentacije. Ako opis bilo koje stavke u troškovniku dovodi do sumnje o načinu izvedbe ili upotrebu gradiva zahtijevane kvalitete, treba prije predaje ponude zatražiti pojašnjenje od ovlaštene osobe Investitora. Naknadno pozivanje na manjkavost ili nepoznavanje projektno-tehničke dokumentacije ili opisa u troškovniku neće se uzeti u obzir, niti smatrati razlogom za produženje roka izvedbe, a niti će se priznati bilo kakva razlika u cijeni s tog naslova.
5.) Tehnička dokumentacija koja se predaje prilikom natječaja informativnog je karaktera, a ponuđač je dužan u svom trošku izvršiti kontrolu projektno tehničke dokumentacije u smislu točnosti, tehničke ispravnosti, izvedivosti i međusobne usklađenosti. Sve eventualne primjedbe ponuditelj/izvoditelj dužan je pravovremeno uz ponudu, a u svakom slučaju prije izvedbe u pisanom obliku dostaviti Nadzoru i Naručitelju
6.) Ponuditelj je dužan provesti i kontrolu lokacije na licu mjesta prije davanja ponude. Jedinične cijene za pojedine vrste radova sadrže i sve one posredne troškove koji nisu iskazani u troškovniku, ali su neminovni za izvršenje radova predviđenih projektom.
7.) Organizacija gradilišta uračunata je u cijenu, ukoliko nije ponuđena kao zasebna stavka.
8.) Dizalice za podizanje, skele, strojevi, alati, pomoćna sredstva i konstrukcije uzeti su u obzir te su uračunati u jediničnu cijenu.
9.) Skele za radove na fasadi i radove na krovu predmet su ovog natječaja. Ponuditelj smije koristiti postojeće skele uz poštivanje sigurnosnih uvjeta i na vlastitu odgovornost. Preinake na skelama nisu dozvoljene te se one moraju predati u ispravnom stanju u kojem su i preuzete.
10.) Kompletnu režiju gradilišta usigurava i rješava ponuditelj/izvođač i i uključena je u jediničnu cijenu.
11.) Ponuditelj je obvezan redovno prikupljati i ,pravilno skladištiti i odvoziti na ovlašteni deponij sve otpadne materijale, ostatke, krhotine, građevinski otpad, ambalaže, obični otpad i slično o vlastitom trošku. Kod odlaganja otpada potrebno je pridržavati se svih javnopravnih uputa i propisa.
12.) Onečišćenja koja uslijed radova nastaju na susjednim terenima, zgradama, putovima, cestama, trgovima i slično, izvođač radova treba svakodnevno čistiti.
13.) Izvođač preuzima odgovornost za osiguravanje, skladištenje i spremanje vlastite građevinske opreme, strojeva, uređaja, alata i slično. Jednako vrijedi i za građevinske materijale, elemente i za ugradnju određenih uređaja i objekata sve do primopredaje obavljenih građevinskih radova.
14.) Prilikom izvođenja radova, izvoditelj treba zaštititi sve susjedne plohe, dijelove konstrukcije i prethodno izvedene radove na prikladan način a u skladu sa pravilima zaštite na radu, tako da ne dođe do oštećenja istih. Troškove zaštite treba izvoditelj ukalkulirati u ponudbenu cijenu izvođenja radova. Ukoliko ipak dođe do oštećenja prethodno izvedenih radova za koje je odgovoran izvoditelj ili njegov kooperant, dužan je iste o svom trošku dovesti u stanje prije oštećenja ili naručiti iste radove kod drugog izvoditelja na svoj teret.
15.) Sve potrebne mjere prema javnopravnim uputama i propisima za sigurnost i zaštitu zdravlja trebaju se uzeti u obzir te ih se treba pridržavati prilikom izvođenja radova.
16.) Prilikom davanja ponude i izvođenja radova treba se uzeti u obzir, uračunati i pridržavati se
- svih državnih i javnopravnih zakona, smjernica i propisa
- svih odgovarajućih tehničkih standarda, pravila i smjernica
- općeprihvaćenih pravila tehnike
- uputa, propisa i napomena proizvođača za ugradnju i obradu
- Kauflandovih građevinskih opisa, ugovorenih uvjeta i ostalih Kauflandovih dokumenata i planova.
17.) Stavke troškovnika obuhvačaju konačno dovršenje radova definiranih po količini i kvaliteti, onosno podrazumijevaju se kao gotove, potpune i funkcionirajuće, uklj. sve potrebne male dijelove i sredstva za pričvršćivanje, pomoćne materijale i sredstva, podkonstrukcije itd., kao i sve dodatne i posebne usluge - čak i kada one nisu detaljno opisane.
18.) Ako su treće stranke uključene u izvođenje predradnji, izvođač radova ih treba provjeravati. U slučaju nepravilnosti ili prigovora pravovremeno treba informirati naručitelja, tako da može tehnički i organizacijski dovršiti poslove.
19.) Obavezno se treba pridržavati svih Kauflandovih proizvodnih uputa, osim ako postoje opravdani razlozi za odstupanje (npr. dostupnost). U tom slučaju izvođač treba ponuditi istovjetni proizvod ili sustav te potvrditi istovjetnost. O njoj odlučuje naručitelj.
20.) Sustavi se izvode isključivo pomoću komponenata koje su predviđene od strane proizvođača sustava.
21.) Svi materijali, građevinski elementi i uređaji koji neposredno utječu na izgled i funkcionalnost prije ugradnje se trebaju provjeriti. Ugrađuju se tek nakon što naručitelj ili ovlaštena osoba odobri ugradnju na gradilištu. O vrsti i obliku uzorka odlučuje naručitelj.
22.) Ako nije drukčije propisano, izmjene postojećih projektnih rješenja od strane ponuditelja/izvođača a koje utječu na mehaničku stabilnost, ponuditelj/izvođač je dužan u svom trošku ishoditi sve suglasnosti, dozvole i sl.
Projekt izvedenog stanja ukalkulirati u jedničnu cijenu te dostaviti Kauflandu u pisanom i digitalnom obliku.
23.) Svi radovi na objektu te primjenjeni sistemi gradnje moraju biti izvedeni prema pravilu struke, odnosnu u granicama dopuštenih tolerancija.
24.) Ukoliko je ugovoreni termin izvršenja objekta uključen i zimski odnosno ljetni period, to se neće posebno izvođaču priznavati na ime naknade za rad pri niskoj temperaturi, zaštita konstrukcija od hladnoće i vrućine, te atmosferskih nepogoda, sve mora biti uključeno u jediničnu cijenu. Za vrijeme zime objekat se mora zaštititi. Svi eventualni smrznuti dijelovi moraju se ukloniti i izvesti ponovo bez bilo kakve naplate. Ukoliko je temperatura niža od temperature pri kojoj je dozvoljen dotični rad, a Investitor ipak traži da se radi, Izvođač si ima pravo zaračunati naknadu po normi 6,006 ali u tom slučaju Izvođač snosi punu odgovornost za ispravnost i kvalitetu rada. To isto vrijedi i za zaštitu radova tokom ljeta od prebrzog sušenja uslijed visoke temperature.
25.) U jediničnu cijenu rada izvođač treba obuhvatiti i slijedeće radove, koji se neće zasebno platiti kao naknadni rad, čak i ako nisu izričito navedenei u troškovniku:
- sve vrste transporta građevinskih materijala, elemenata, uređaja, objekata itd. do mjesta ugradnje
- potrebne i uobičajene pripreme i predobrade tla
- sve vrste bušenja, zavarivanja, lijepljenja, malih dijelova, sredstava za pričvršćivanje, međupoložaja, izolacije, brtvljenja, folija, spojeva itd. koje su potrebne za priključak, montažu i pričvršćivanje građevinskih dijelova i elemenata
- stručna priprema i priključak na sve okolne dijelove, ugradbene i nadgradne elemente i propuste
- sve izrade kutova, spojnih površina i elemenata, završnih elemenata, slobodnih krajeva itd.
- sve podloge za montažu, priključak i pričvršćivanje kao što su beton, zidani elementi, čelik, aluminij, limovi, gips karton, itd.
- potrebne spojne, kose i okrugle rezove te ostatke rezanja
- Izrada otvora i proreza za instalacije i ugradbene elemente drugih izvođača
- interno povezivanje kablovima i priključak objekata, dovod prema električnim trošilima na gradilištu od strane elektro izvođača
Napomena: Oblaganje špalete vrata limom razvijene širine 25 cm uključeno u cijenu stavke i obračunava se zasebnom stavkom.</t>
  </si>
  <si>
    <t>Ograničenje usluga za hladnjače</t>
  </si>
  <si>
    <t>U sljedećim pozicijama potrebno je uzeti u obzir i uračunati sljedeće usluge, čak i ako nisu izričito navedene:
- obojane limove i pravokutne dijelove za priključke, krajeve i prijelaze
- eventualna oštećenja na površini i / ili slojevima pravilno ukloniti
- Zatvaranje otvora i proreza nakon dovršene instalacije i uzimajući u obzir građevinske zahtjeve
- izradu građevinskih elemenata za zatvaranje prostorija, zidnih priključaka, stropova, podova i svih proboja nepropusnih za difuziju vodene pare
- potrebne podkonstrukcije i pojačanja
- Izolaciju sprinklerskih vodova do najmanje 20 cm iznad stropa
- izradu elemenata za izjednačavanje ekspanzija, savijanje rubova, itd.
- Prihvat građevinskih fuga
- trajno elastične brtve na svim spojnim fugama prema graničnim elementima, uklj. ispunu fuga
- Uklanjanje limenih obloga kod priključka u izolacijskoj ravnini
- sve potrebne znakove i oznake</t>
  </si>
  <si>
    <t>410.010</t>
  </si>
  <si>
    <t>410.010.00100</t>
  </si>
  <si>
    <t>x..IT20..x - Klizna hladionička vrata s električnom automatikom, nehrđajući čelik, dimenzije [1,33/2,36] m</t>
  </si>
  <si>
    <t>POZ B18
Klizna hladfionička vrata bez praga i bez brave, uklj. sve okove, brtve, opreme, dodatke, itd., izraditi, isporučiti i montirati.
Dimenzije širine/visine: [1,33/2,36] m
Izvedba: Klizna vrata, 1-krilna
Okvir: od nehrđajućeg čelika
Krilo vrata: od nehrđajućeg lima, minimalne debljine 0,8 mm, površina kružno matirano, debljine [120] mm, sa zamjenjivim brtvama otpornim na hladnoću od veoma elastične gume, s naljepljicom za upozorenje
Okovi: Okovi za kliznu šinu i transportnim valjcima, s mehanizmom spuštanja za brtvljenje vrata, s finim podešavanjem za namještanje krila
Ostalo: Okvir vrata odnosno grijanje za krila vrata, s minimalnom snagom od 18 W/m
Automatika:
• Automatika naprijed, montirana na stranu zatvaranja
• Električna automatika s ručnim gumbom
• Ručni gumb izvana: montiran pored vrata na strani zatvaranja
• Otvaranje vrata iznutra, u hladnjači: po izboru putem ručnog gumba, montiranog na strani zatvaranja ili putem povlačne
sklopke
• Električni priključak 230V / 50Hz - osigurač 16 ampera, vrsta spoja S1c (neprekidna struja + smanjenje opterećenja NEA)
• Osiguravanje otvaranja vrata preko svjetlosne rešetke
• Postavka „vremena otvaranja“ vrata: Početak zatvaranja vrata 7 sekundi posle potpunog otvaranja vrata
• Referenca proizvoda električne automatike: Cool it, Commander tip C1
Dobava i postava gumene zaštite za klizna vrata rashladnih prostorija. Gumena obloga s izbočinama - čvrsto prianjajuće zalijepljeno
• Dunloplan format N, boja stjenovita siva, debljina 2,7 mm, FN 962 ili
• Norament 926 - boja 0716</t>
  </si>
  <si>
    <t>410.010.00105</t>
  </si>
  <si>
    <t>U svemu kao stavka 410.010.00100 samo:
POZ B19
Krilo vrata: debljine [80] mm
Dobava i postava gumene zaštite za klizna vrata rashladnih prostorija. Gumena obloga s izbočinama - čvrsto prianjajuće zalijepljeno
• Dunloplan format N, boja stjenovita siva, debljina 2,7 mm, FN 962 ili
• Norament 926 - boja 0716</t>
  </si>
  <si>
    <t>410.010.00110</t>
  </si>
  <si>
    <t>x..IT20..x - Klizna hladionička vrata s ručnim otvaranjem, nehrđajući čelik, dimenzije [1,40/2,30] m</t>
  </si>
  <si>
    <t>POZ B20
Klizna hladfionička vrata bez praga i bez brave, uklj. sve okove, brtve, opreme, dodatke, itd., izraditi, isporučiti i montirati.
Dimenzije širine/visine: [1,40/2,30] m
Izvedba: Klizna vrata, 1-krilna
Okvir: od nehrđajućeg čelika
Krilo vrata: od nehrđajućeg lima, minimalne debljine 0,8 mm, površina kružno matirano, debljine [120] mm, sa zamjenjivim brtvama otpornim na hladnoću od veoma elastične gume, s naljepljicom za upozorenje
Okovi: Okovi za kliznu šinu i transportnim valjcima, s mehanizmom spuštanja za brtvljenje vrata, s finim podešavanjem za namještanje krila
Aktivacija: velike vanjske i unutarnje poluge od nehrđajućeg čelika
Ostalo: Okvir vrata odnosno grijanje za krila vrata, s minimalnom snagom od 18 W/m
Dobava i postava gumene zaštite za klizna vrata rashladnih prostorija. Gumena obloga s izbočinama - čvrsto prianjajuće zalijepljeno
• Dunloplan format N, boja stjenovita siva, debljina 2,7 mm, FN 962 ili
• Norament 926 - boja 0716</t>
  </si>
  <si>
    <t>410.010.00115</t>
  </si>
  <si>
    <t>x..IT22.1..x - mimokretna vrata, PE, dimenzije 1,40 / 2,30m</t>
  </si>
  <si>
    <t>POZ B20
Mimokretna vrata s okvirom i krilima vrata, otporna na temperature od -30°C do +60°C, uklj. sve brtve, okove, opreme, dodatke, itd., izraditi, isporučiti i montirati.
Dimenzije širine/visine: ca. 1,40/2,30 m
Izvedba: Mimokretna vrata, 2-krilna
Krilo vrata: Mimokretne ploče od polietilena, debljine ca. 15 mm, bijele, otporne na udarce i lomljenje, s prozorom od prozirne plastike, sa zaštitom protiv nagnječenja prstiju
Okovi: šarke od nehrđajućeg čelika sa samostalnim zatvaranjem</t>
  </si>
  <si>
    <t>410.010.00120</t>
  </si>
  <si>
    <t>x..IT23..x - mimokretna vrata, nehrđujući čelik dimenzija [1,01/2,105] m</t>
  </si>
  <si>
    <t>POZ B24
Mimokretna vrata s okvirom i krilima vrata, s prozorčićem visine/širine 60/60cm , uklj. okovi, opreme, dodatke, itd., izraditi, isporučiti i montirati.
Dimenzije širine/visine: ca. 1,01/2,105 m
Izvedba: Mimokretna vrata, 1-krilna
Okvir: obloga dovratnika vrata od nehrđajućeg čelika
Krilo vrata: od nehrđajućeg lima, minimalne debljine 0,8 mm, kružno matirano. Krilo vrata sa širokom gumenom brtvom, kao zaštita od nagnječenja
Prozor: bridovi prozorčića zaobljeni, višeslojno sigurnosno staklo od 8 mm. Izrada zaštite od pogleda lijepljenjem mliječne folije tip Oracal 8510-90 srebrne boje fina izvedba. Foliju mora postaviti proizvođač vrata u tvornici na stranu vrata okrenutu od prodajnog prostora (strana hodnika ili skladišta) bez šupljina, mjehurića zraka u skladu s uputama proizvođača.U sredini prozora 2 trake prozirnog stakla, širina trake 5 cm, razmak između traka 5 cm.
Zaštita od udaraca:
boja crna ili RAL7024
sa strane prodajnog prostora od portilena/izolena crne boje, debljine 10 mm, visina oko 350 mm,vidljivi rubovi nakošeni
sa strane hodnika od portilena/izolena 200/10 mm, vidljivi rubovi nakošeni.</t>
  </si>
  <si>
    <t>410.010.00125</t>
  </si>
  <si>
    <t>x..IT24..x - zaokretna hladionička vrata, nehrđajući čelik,  dimenzija [1,33/2,36] m</t>
  </si>
  <si>
    <t>POZ F9 i F10
Zaokretna vrata hladnjače s okvirom i krilima vrata, s iskoristivom temperaturom do +0°C, bez praga i bez brave, uklj. sve okove, brtve, opreme, dodatke, itd., izraditi, isporučiti i montirati.
Građevinske dimenzije širine/visine: [1,33/2,36] m
Izvedba: Zaokretna vrata, 1-krilna
Okvir: obloga dovratnika vrata od nehrđajućeg čelika uključivo i toplinsku izolaciju preko cijelog dovratnika
Krilo vrata: od nehrđajućeg lima, minimalne debljine 0,8 mm, kružno matirano, debljine krila 80 mm, sa zamjenjivim brtvama otpornim na hladnoću od veoma elastične gume
Okovi: Okovi za okretna vrata od nehrđajućeg čelika
Aktivacija: velike vanjske i unutarnje poluge od nehrđajućeg čelika
Gornji zatvarač vrata: za vrata hladnjače, sa sustavom za automatsko zatvaranje u slučaju nužde, otvoreno stanje podesivo do 150°
Zaštita od udaraca:
boja crna ili RAL7024
obostrana zaštita od udaraca od portilena/isolena, 200-250/10 mm, s nakošenim vidljivim rubovima
Zaštita od požara: EI90 C</t>
  </si>
  <si>
    <t>410.010.00130</t>
  </si>
  <si>
    <t>x..IT24.1..x - zaokretna hladionička vrata, nehrđajući čelik, dimenzija [1,13/2,16] m</t>
  </si>
  <si>
    <t>POZ B25 i B26
Zaokretna vrata hladnjače s okvirom i krilima vrata, s iskoristivom temperaturom do +0°C, bez praga i bez brave, uklj. sve okove, brtve, opreme, dodatke, itd., izraditi, isporučiti i montirati.
Građevinske dimenzije širine/visine: [1,13/2,16] m
Izvedba: Zaokretna vrata, 1-krilna
Okvir: obloga dovratnika vrata od nehrđajućeg čelika uključivo i toplinsku izolaciju preko cijelog dovratnika
Krilo vrata: od nehrđajućeg lima, minimalne debljine 0,8 mm, kružno matirano, debljine krila 80 mm, sa zamjenjivim brtvama otpornim na hladnoću od veoma elastične gume
Okovi: Okovi za okretna vrata od nehrđajućeg čelika
Aktivacija: velike vanjske i unutarnje poluge od nehrđajućeg čelika
Zaštita od udaraca:
boja crna ili RAL7024
jednostrana zaštita od udaraca od portilena/isolena, crna, 350/10 mm, s nakošenim vidljivim rubovima, jednostrana zaštita od udaraca od portilena/isolena, 200/10 mm</t>
  </si>
  <si>
    <t>410.020</t>
  </si>
  <si>
    <t>Komore 0°C do +4°C</t>
  </si>
  <si>
    <t>410.020.00100</t>
  </si>
  <si>
    <t>x..FB8..x - podna konstrukcija</t>
  </si>
  <si>
    <t>Dobava i postava slojeva poda u komorama sa temperaturom do 0°C, bez estriha i pločica, uklj. priključke i krajeve. Sve izvesti do gotove funkcionalnosti.
Slojevi poda:
Visina konstrukcije: ca. 26 cm
Iskoristivi teret: 30 kN/m2, opterećenja uslijed kotača ručnog i električnog viličara ukupne težine od 4,5 t
Parne brane: Plastična folija, debljine 0,35 mm, s jednostranim slojem od aluminijske folije, debljine 0,1 mm, po cijelom opsegu oblijepljena rubnim kutovima
Toplinska izolacija: Ploče od EPS tvrde pjene (ekspandirani polistirol) prema DIN EN 13163, tlačno opterećenje 200 kPa, toplinska vodljivost 0,035 W/mK, debljine 140 mm (2x70mm)
Brtveni sustav: hladna samoljepljiva brtvena traka od bitumena, rubove saviti prema gore
Razdjeljnog sloja: Folija od polietilena, rubove saviti prema gore
Završna ploča: Beton C 25/30 prema DIN EN 206, konstrukcijski pojačana sa armaturnom mrežom, površina poravnata i zaglađena, debljine 12 cm</t>
  </si>
  <si>
    <t>410.020.00105</t>
  </si>
  <si>
    <t>x..WB11..x - zidna obloga, sendvič ploče [100] mm</t>
  </si>
  <si>
    <t>Dobava i postava zidnih sendvič panela s poliuretanskom jezgrom, debljine [100] mm, s toplinskom vodljivosti 0,024 W/mK od pocinčanih i premazanih čeličnih limova različitih pojedinačnih dimenzija. Izvesti sve do gotove funkcionalnosti.
Visina zida: 2,91 m
Boja: RAL 9001
Spojne fuge: zatvoriti trajnoelastičnim materijalom (između letvica i panela te na spoju zida sa stropom i podom)
Postava panela na podni U profil.</t>
  </si>
  <si>
    <t>410.020.00110</t>
  </si>
  <si>
    <t>x..DE4..x - Spušteni stropovi, sendvič ploče [100] mm</t>
  </si>
  <si>
    <t>Dobava i postava stropnih sendvič panela s poliuretanskom jezgrom, debljine [100] mm, s toplinskom vodljivosti 0,024 W/mK od pocinčanih i premazanih čeličnih limova različitih pojedinačnih dimenzija. Izvedba stropa tako da je dostupan osobi s alatom težine oko 100 kg – potrebno je izvesti dodatni sigurnosni ovjes stropa.Izvesti sve do gotove funkcionalnosti.
Visina postave stropa: 2,60 m
Boja: RAL 9001
Spojne fuge: zatvoriti trajnoelastičnim materijalom</t>
  </si>
  <si>
    <t>410.020.00115</t>
  </si>
  <si>
    <t>- kutne letvice L 50x50x0,6mm, spoj zid-strop sa unutarnje strane</t>
  </si>
  <si>
    <t>Isporučiti i montirati kutne letvice od profila 90˚ od pocinčanog lima 0,6mm i bojanog u RAL prema boji panela. Letvice presjeka L za vanjski i unutarnji spoj zid-strop. U cijenu uključena izrada, doprema na gradilište te kompletna ugradnja.
L 50x50x0,6mm
spoj zid-strop sa unutarnje strane</t>
  </si>
  <si>
    <t>410.020.00120</t>
  </si>
  <si>
    <t>- kutne letvice L 150x50x0,6mm, spoj zid-strop sa vanjske strane</t>
  </si>
  <si>
    <t>Isporučiti i montirati kutne letvice od profila 90˚ od pocinčanog lima 0,6mm i bojanog u RAL prema boji panela. Letvice presjeka L za vanjski i unutarnji spoj zid-strop. U cijenu uključena izrada, doprema na gradilište te kompletna ugradnja.
L 150x50x0,6mm
spoj zid-strop sa vanjske strane</t>
  </si>
  <si>
    <t>410.020.00125</t>
  </si>
  <si>
    <t>- kutne letvice L 80x0,6mm , spoj zid-strop sa vanjske stranee</t>
  </si>
  <si>
    <t>Isporučiti i montirati kutne letvice od profila 90˚ od pocinčanog lima 0,6mm i bojanog u RAL prema boji panela. Letvice presjeka L za vanjski i unutarnji spoj zid-strop. U cijenu uključena izrada, doprema na gradilište te kompletna ugradnja.
L 80x0,6mm
spoj zid-strop sa vanjske strane</t>
  </si>
  <si>
    <t>410.020.00130</t>
  </si>
  <si>
    <t>- kutne letvice L 50x50x0,6mm, unutarnji kutevi</t>
  </si>
  <si>
    <t>Isporučiti i položiti kutne letvice visine cca 2,78m od poluokruglog profila sa mekanim krajevima RAL 9010 bijela. Letvice presjeka 50/50/0,6mm za unutarnji spoj zid-zid. U cijenu uključena izrada, doprema na gradilište te kompletna ugradnja.</t>
  </si>
  <si>
    <t>410.030</t>
  </si>
  <si>
    <t>Komora duboko smrzavanje</t>
  </si>
  <si>
    <t>410.030.00100</t>
  </si>
  <si>
    <t>x..FB9..x - podna konstrukcija</t>
  </si>
  <si>
    <t>Dobava i postava slojeva poda u komorama sa temperaturom do -24°C, bez estriha i pločica, uklj. priključke i krajeve. Sve izvesti do gotove funkcionalnosti.
Slojevi poda:
Visina konstrukcije: ca. 36 cm
Iskoristivi teret: 30 kN/m2, opterećenja uslijed kotača ručnog i električnog viličara ukupne težine od 4,5 t
Parne brane: Plastična folija, debljine 0,35 mm, s jednostranim slojem od aluminijske folije, debljine 0,1 mm, po cijelom opsegu oblijepljena rubnim kutovima
Zaštita od smrzavanja tla: električno grijanje po cijeloj površini, sa snagom grijanja 16 W/m2, sa senzorom temperature
Toplinska izolacija: Ploče od EPS tvrde pjene (ekspandirani polistirol) prema DIN EN 13163, tlačno opterećenje 200 kPa, toplinska vodljivost 0,035 W/mK, debljine 24 cm (12+12cm)
Brtveni sustav: hladna samoljepljiva brtvena traka od bitumena, rubove saviti prema gore
Razdjeljni sloj: Folija od polietilena, rubove saviti prema gore
Završna ploča: Beton C 25/30 prema DIN EN 206, konstrukcijski pojačana sa armaturnom mrežom, površina poravnata i zaglađena, debljine 15 cm, s obuhvatnim grijanjem 0,4 mm u području vrata</t>
  </si>
  <si>
    <t>410.030.00105</t>
  </si>
  <si>
    <t>x..WB11..x - zidna obloga, sendvič ploče [140] mm</t>
  </si>
  <si>
    <t>Dobava i postava zidnih sendvič panela s poliuretanskom jezgrom, debljine [140] mm, s toplinskom vodljivosti 0,024 W/mK od pocinčanih i premazanih čeličnih limova različitih pojedinačnih dimenzija. Izvesti sve do gotove funkcionalnosti.
Visina zida: 3,01 m
Boja: RAL 9001
Spojne fuge: zatvoriti trajnoelastičnim materijalom (između letvica i panela te na spoju zida sa stropom i podom)
Postava panela na podni U profil.</t>
  </si>
  <si>
    <t>410.030.00110</t>
  </si>
  <si>
    <t>x..DE4..x - Spušteni stropovi, sendvič ploče [140] mm</t>
  </si>
  <si>
    <t>Dobava i postava stropnih sendvič panela s poliuretanskom jezgrom, debljine [140] mm, s toplinskom vodljivosti 0,024 W/mK od pocinčanih i premazanih čeličnih limova različitih pojedinačnih dimenzija. Izvedba stropa tako da je dostupan osobi s alatom težine oko 100 kg – potrebno je izvesti dodatni sigurnosni ovjes stropa.Izvesti sve do gotove funkcionalnosti.
Visina postave stropa: 2,60 m
Boja: RAL 9001
Spojne fuge: zatvoriti trajnoelastičnim materijalom</t>
  </si>
  <si>
    <t>410.030.00115</t>
  </si>
  <si>
    <t>x... M23 - sustav alarma za nuždu</t>
  </si>
  <si>
    <t>Sustav za hitne pozive u komori za duboko smrzavanje prema DIN EN 378, uklj. interno povezivanje kablovima, na sljedeći način isporučiti, montirati, priključiti i pustiti u rad:
- Centrala za hitne pozive s mrežnom komponentom i ugrađenom baterijom, s vrstom zaštite IP54, lokalnom optičkom i akustičkom dojavom, sa spajanjem na MSR preko bespotencijalnog kontakta, s visinom montaže 1,80 m iznad gotovog poda
- Gljiva prekidač s resetiranjem na licu mjesta i rasvjetom, IP65, visina prekidača ca. 0,50 m iznad gotovog poda
Zadani proizvod: vidi u Kauflandovoj listi proizvoda</t>
  </si>
  <si>
    <t>410.030.00120</t>
  </si>
  <si>
    <t>x... M23 - Hitni alarmni sustav, doplata za dodatni bespotencijalni kontakt</t>
  </si>
  <si>
    <t>Doplata za gore Navedeni sustav za hitne pozive, za dodatni bespotencijalni kontakt.</t>
  </si>
  <si>
    <t>410.030.00125</t>
  </si>
  <si>
    <t>410.030.00130</t>
  </si>
  <si>
    <t>Isporučiti i montirati kutne letvice od profila 90˚ od pocinčanog lima 0,6mm i bojanog u RAL prema boji panela. Letvice presjeka L za vanjski i unutarnji spoj zid-strop. U cijenu uključena izrada, doprema na gradilište te kompletna ugradnja.
L 200x50x0,6mm
spoj zid-strop sa vanjske strane ( - komora)</t>
  </si>
  <si>
    <t>410.030.00135</t>
  </si>
  <si>
    <t>410.040</t>
  </si>
  <si>
    <t>Pekarska hladnjača</t>
  </si>
  <si>
    <t>410.050</t>
  </si>
  <si>
    <t>410.050.00100</t>
  </si>
  <si>
    <t>x..RS14..x - baza za zaštitu od udara, od masivne mješavine poliestera i kvarca</t>
  </si>
  <si>
    <t>Zaštita od udara
Izvedba 1:
Podnožje za zaštitu od udara od predgotovljenih elemenata, od masivne mješavine poliestera i kvarca sa oplatom od poliestera otpornom na grebanje, boja slična RAL 9001, Cremeweiß. Širina/visina 100/400 mm, gornji rub 45°, koso do 300 mm iznad gotovog poda, sustav POLYSTO, IP40.
Vodonepropusno lijepljenje podnožnih elemenata za pod i zid pomoću specijalnog Hart-Fix ljepila; izolacija na podnim i zidnim priključcima trajno elastičnom masom za fugiranje.</t>
  </si>
  <si>
    <t>410.060</t>
  </si>
  <si>
    <t>410.060.00100</t>
  </si>
  <si>
    <t>- ventil za izjednačavanje tlaka za prostoriju dubokog zamrzavanja</t>
  </si>
  <si>
    <t>Ventil za izjednačenje tlaka za prostoriju dubokog zamrzavanja: plastična uložna cijev, 100 mm promjer i.L. (u svjetlom) – zračne zaklopke na unutrašnjoj strani prostorije, koje se griju grijanjem s prstenastim manžetama. Na vanjsku stranu prostorije treba staviti rešetku s prorezima za prozračivanje. Montaža pored vratiju.
U stavku uključeno spajanje grijača i svih ostalih elemenata na energetsku mrežu kako bi se osigurala potpuna funkcionialnost (uključeno u cijenu).</t>
  </si>
  <si>
    <t>500</t>
  </si>
  <si>
    <t>Tehnička građevinska oprema (TGA)</t>
  </si>
  <si>
    <t>501</t>
  </si>
  <si>
    <t>Tehnologija grijanja / hlađenja</t>
  </si>
  <si>
    <t>501.000</t>
  </si>
  <si>
    <t>ZTV</t>
  </si>
  <si>
    <t>501.020</t>
  </si>
  <si>
    <t>Obrada i priprema rashlednog/ogrijevnog medija</t>
  </si>
  <si>
    <t>501.030</t>
  </si>
  <si>
    <t>Cjevovodi (grijanje) i pribor</t>
  </si>
  <si>
    <t>501.040</t>
  </si>
  <si>
    <t>Cjevovodi (hlađenje) i pribor</t>
  </si>
  <si>
    <t>501.050</t>
  </si>
  <si>
    <t>Pumpe, oprema i pribor</t>
  </si>
  <si>
    <t>501.060</t>
  </si>
  <si>
    <t>Radijatori</t>
  </si>
  <si>
    <t>501.070</t>
  </si>
  <si>
    <t>Površinsko grijanje</t>
  </si>
  <si>
    <t>501.080</t>
  </si>
  <si>
    <t>Izolacija (grijanje)</t>
  </si>
  <si>
    <t>501.090</t>
  </si>
  <si>
    <t>Izolacija (hlađenje)</t>
  </si>
  <si>
    <t>501.100</t>
  </si>
  <si>
    <t>Zračne zavjese</t>
  </si>
  <si>
    <t>501.110</t>
  </si>
  <si>
    <t>Građevinski radovi (proboj zida / bušenje jezgre)</t>
  </si>
  <si>
    <t>501.120</t>
  </si>
  <si>
    <t>Druge usluge</t>
  </si>
  <si>
    <t>501.130</t>
  </si>
  <si>
    <t>501.140</t>
  </si>
  <si>
    <t>502</t>
  </si>
  <si>
    <t>Ventilacijski sustavi</t>
  </si>
  <si>
    <t>502.000</t>
  </si>
  <si>
    <t>502.020</t>
  </si>
  <si>
    <t>Središnji ventilacijski uređaj</t>
  </si>
  <si>
    <t>502.030</t>
  </si>
  <si>
    <t>Sustav ventilacije  za koncesionare</t>
  </si>
  <si>
    <t>502.040</t>
  </si>
  <si>
    <t>Ispušni ventilatori</t>
  </si>
  <si>
    <t>502.050</t>
  </si>
  <si>
    <t>Sustav ventilacije za trgovinu</t>
  </si>
  <si>
    <t>502.060</t>
  </si>
  <si>
    <t>Izolacija</t>
  </si>
  <si>
    <t>502.070</t>
  </si>
  <si>
    <t>Split klimatizacijski sustavi</t>
  </si>
  <si>
    <t>502.080</t>
  </si>
  <si>
    <t>Odvođenje dima / protupožarna ventilacija</t>
  </si>
  <si>
    <t>502.090</t>
  </si>
  <si>
    <t>502.100</t>
  </si>
  <si>
    <t>502.110</t>
  </si>
  <si>
    <t>502.120</t>
  </si>
  <si>
    <t>503</t>
  </si>
  <si>
    <t>Plin, radovi na instalaciji vode, cijevi</t>
  </si>
  <si>
    <t>503.000</t>
  </si>
  <si>
    <t>Dodatni tehnički uvjeti ugovora</t>
  </si>
  <si>
    <t>Dodatni ugovoreni tehnički uvjeti
1. OPĆENITE NAPOMENE
1.1.
Ove napomene spadaju pod DODATNE UGOVORENE
TEHNIČKE UVJETE.
Kao takve one su dio
opisa usluga te postaju važan dio
ugovora.
1.2.
Sljedeće definicije usluga određuju
ugovorene usluge izvođača.
1.3.
Ponuđač potvrđuje da su navedene stope plaća
utvrđene prema cjenovnim i zakonskim propisima
te da uključuju sva uobičajena
svojstva proračuna. Cijene vrijede
tijekom cijelog trajanja izvođenja radova. Sve navedene cijene su neto cijene. Važeći
porez na dodanu vrijednost se dodaje
naknadno.
1.4.
U slučaju proturječnosti dodatnih ugovorenih tehničkih uvjeta
vrijede prvenstveno podaci
iz popisa usluga.
U slučaju proturječnosti između popisa usluga i
crteža za izvođenje određenih radova
vrijede odgovarajući crteži odnosno planovi;
prava koja iz toga proizlaze za izvođača radova time se
ne ograničavaju.
1.5.
Izvedbeni dokumenti koje koristi izvođač radova
moraju nositi oznaku odobrenja od strane naručitelja ili
njegovog arhitekta, kako bi se izbjegli
nesporazumi kod izvođenja radova. Dokumenti koji nisu
odobreni ne smiju se ni koristiti. Međutim,
time se izvođač radova ne oslobađa obveze
vlastite provjere i napomene. Ona
i dalje vrijedi.
1.6.
Popunjavanje radnih prostora i zakopavanje materijala
nije dozvoljeno na gradilištu.
Odlaganje otpada, lomljenog materijala i
građevinskog otpada podrazumijeva korištenje u skladu
propisa odnosno potrebnih mjera
sakupljanja, transporta, obrade i skladištenja
u skladu s propisima i službenim
uputama.
2. POSEBNE NAPOMENE
2.1.
Osnova natječaja je
DIN 18299 - Općenite regulacije za građevinske radove svake
vrste
DIN 18381 - Sustavi za plin, vodu i odvodnju
unutar zgrada
2.2.
Izvođač radova preuzima odgovornost za potpunost
ponuđenih usluga, to znači da se usluge
i sporedne usluge odgovarajuće pozicije
trebaju uračunati, čak i ako nisu
izričito navedene u popisu usluga.
2.3.
Ponuditelj se prije izdavanja
ponude obvezuje da će se detaljno informirati o građevinskim zadaćama
koje treba izvesti, ukoliko su povezane s ponuđenim i planiranim
uslugama, tako da na temelju popisa
usluga nema nikakvih nejasnoća kod
obračuna. Naknadne reklamacije
koje proizlaze iz nepoznavanja planske dokumentacije
neće se uvažavati.
Samostalne izmjene u popisu usluga nisu dozvoljene.
2.4.
Naručitelj nije dužan ustupiti prostorije za boravak ili
sporedne prostorije. Troškovi za ove stavke trebaju se uračunati u
jedinične cijene ponude. Skele i
ostala pomoćna sredstva trebaju se uračunati u skladu s propisima
strukovnih udruga u jedinične cijene
ponude.
2.5.
Uređivanje gradilišta izvodi
se nakon obavještavanja
i u dogovoru s voditeljima gradilišta. Pri tome
izvođač radova preuzima isključivu odgovornost
za sigurno skladištenje i spremanje svojih
strojeva, uređaja, pomoćnih sredstava itd. te
svih materijala koji su predviđeni za ugradnju ili su već ugrađeni, građevinskih elemenata
itd. sve do primopredaje sveobuhvatnih građevinskih usluga, čak
i ako su već prije ugradnje predani
naručitelju.
2.6. Izvedba
Radne skele potrebne za izvođenje vlastitih usluga
trebaju se uračunati u jedinične cijene.
3. SPOREDNE USLUGE
Sve jedinične cijene podrazumijevaju isporuku
i obradu svih potrebnih materijala i sporednih
usluga, sredstva za pričvršćivanje,
transport i uređaje te troškove za:
- potrošnju struje, toplinske energije i vode,
struju obračunatu od strane naručitelja
- troškove za vlastito uređenje
gradilišta
- sigurno skladištenje materijala
- dostatne mjere protiv onečišćenja i
oštećenja
- osiguravanje usluga
- odlaganje građevinskog otpada
- osiguravanje zgrade tijekom radova
- zaštitu građevinskih i objektnih dijelova i njihovih pristupa
od oštećenja
- sigurnosne i mjere za potpornje
- isporuku i postavljanje odnosno montažu
3.1.
Pozicije koje su navedene u sljedećem popisu
usluga sadrže sve usluge
obavljenih radova koji su potrebni za pravilno
ispunjenje ugovornih obveza.
4. OBRAČUN
Usluge se općenito obračunavaju
prema planu otplate koji se dogovara s na naručiteljem.
Djelomične otplate se dogovaraju
prema napretku radova i
planu otplate.
5. OSTALO
Planovi i u njima navedeni objekti koji se izdaju prilikom
natječaja
služe za informaciju.
Ta dokumentacija ponuditelja ne
oslobađa od obveze za vlastitim pribavljanjem svih
potrebnih informacija za određivanje cijene detaljnim pregledavanjem
planskih dokumenata.</t>
  </si>
  <si>
    <t>Prilikom izvršavanja sustava, zahtjevi</t>
  </si>
  <si>
    <t>Prilikom izvođenja objekata treba uzeti u obzir sve zahtjeve
koje su navedene u aktualnoj KaBa-i i njenim dodacima
.
Osim toga treba voditi računa da razina buke
u večernjim i noćnim satima ne premašuje
zakonski propisane vrijednosti.
Ove usluge se ne obračunavaju zasebno već se trebaju
uračunati u jedinične cijene.
Za tehničko ispitivanje funkcionalnosti od strane naručitelja
treba osigurati sudjelovanje odgovarajućeg stručnog
osoblja. Prilikom te provjere ispituju se svi objekti koji
se odnose na pojedine odjeljke kao i opće funkcionalnosti
i upravljanja te se dokumentiraju
putem protokola. Takve provjere i
eventualna naknadna ispitivanja do potpunog uklanjanja svih nedostataka
su dio narudžbe i ne
naplaćuju se posebno.
Svi opisani proizvođači i proizvodi
odabiru se prema referentnoj listi proizvoda iz aktualne KaBa-e
te se kao takvi trebaju uzeti u obzir u obračunu.</t>
  </si>
  <si>
    <t>503.020</t>
  </si>
  <si>
    <t>Sanitarije</t>
  </si>
  <si>
    <t>503.020.00100</t>
  </si>
  <si>
    <t>- Umivaonik u  sanitarijama za kupce</t>
  </si>
  <si>
    <t>SWT1- nabava doprema i montaža umivaonika
- Umivaonik od sanitarnog porculana, pravokutni oblik, širina 60 cm, dubina 47 cm, boja bijela, s rupom za slavinu
- i s preljevom, donja strana izbrušena
- polustup umivaonika kao poklopac odvoda, prikladno za navedeni umivaonik, boja bijela,
- s prikladnim pričvrsnim setom
- stabilan element za montažu kao predzidni element za montažu navedenog umivaonika
- beskontaktna elektronička armatura s podžbuknim mrežnim uređajem 230 V, ugradbena kutija i
- i okvir za pločice, za hladnu i toplu vodu, vrijeme tečenja 7 sekundi, s miješalicom na armaturi
- perlator zaštićen od krađe
- odvodni ventil s poklopcem
- poklopac za sprječavanje neugodnih mirisa iz cijevi, od mjeda, kromirani
- kutni ventili s filtrom za prljavštinu
- kristalno ogledalo 60 x 60 cm, sa skrivenim držačem ogledala,
• Za svako mjesto pranja po 1 sušilo ruku i 2 dozatora sapuna
• Priprema tople vode preko malog el. bojelra od 10 litara, ugrađenog u međustrop sa šuko utikačem od 230 V, WC-područja treba osmisliti racionalno.</t>
  </si>
  <si>
    <t>503.020.00105</t>
  </si>
  <si>
    <t>- Ploča stola za prematanje</t>
  </si>
  <si>
    <t>SWT1.4- ploča stola za prematanje
ploča stola za prematanje od 12 mm HPL ploče (na primjer Fundermax interior FH) Bijela boja. Obrub prema naprijed i bočno
100 mm. Viseće zidno pričvršćenje konzolama od plemenitog čelika.
Bočni i stražnji spoj ploče stola za prematanje sa zidom brtvljenjem s uskom, elastičnom fugom od sanitarnog silikona.
Gornji rub: 850 mm iznad poda, dubina 730mm, dužina prema planu, boja: bijela.
Prag podloga za prematanje, visina 80 mm / dužina 630 mm, prednji rub zaobljen. Prag podloga za prematanje treba se
usmjeriti po sredini na ploči stola za prematanje i fiksirati u ravnini s prednjim rubom.</t>
  </si>
  <si>
    <t>503.020.00110</t>
  </si>
  <si>
    <t>- Umivaonik za osobe sa posebnim potrebama</t>
  </si>
  <si>
    <t>SWT2- nabava doprema i montaža invalidskog umivaonika
• Umivaonik za invalide, širina 60 cm, bijele boje, sa stabilnim stajaćim montažnim elementima. Visina montaže: Gornji rub
75 cm iznad gotovog poda
• Elektronička armatura umivaonika, za toplu i hladnu vodu radarska elektronika s podžbuknim mrežnim dijelom 230 V s ugradbenim ormarićem i okvirom od pločica
• perlator zaštićen od krađe
• odvodni ventil s poklopcem
• Sifon za ugradnju u zid
• Ploča za odlaganje stvari
• Kristalno ogledalo, nagib podesiv pomoću okretne ručice i sajle Visina montaže: Donji rub 135 cm iznad gotovog poda
• Ispusni ventil: s prozračivačem, nepovratnom zaklopkom i vijčanim spojem crijeva DN 15 - ½“ u kromiranoj izvedbi (SAV2)
• Priprema tople vode preko malog el. kotla od 5 litara, ugrađenog u međustrop sa šuko utikačem od 230 V
Obračun po komadu kompletno ugrađenog i u rad puštenog umivaonika.</t>
  </si>
  <si>
    <t>503.020.00115</t>
  </si>
  <si>
    <t>- Umivaonik u  sanitarijama lokala</t>
  </si>
  <si>
    <t>SWT4- nabava doprema i montaža umivaonika
• umivaonik, 60 cm, bijele boje sa stabilnim stajaćim montažnim elementima
• niskotlačna armatura umivaonika s jednom ručicom
• perlator zaštićen od krađe
• odvodni ventil s poklopcem
• sifon za sprečavanje prodora neugodnog mirisa iz cijevi s produženom cijevi
• kutni ventil s filtrom za prljavštinu
• kristalno ogledalo 60 x 40
• držač ogledala
• priprema vode s pomoću malog el. bojlera 10l, uređaj za ugradnju ispod stola sa šuko utikačem 230V
Obračun po komadu kompletno ugrađenog i u rad puštenog umivaonika.</t>
  </si>
  <si>
    <t>503.020.00120</t>
  </si>
  <si>
    <t>- Umivaonik u prodajnom prostoru</t>
  </si>
  <si>
    <t>SWT8- nabava doprema i montaža umivaonika
Umivaonik s pultom (broj prema planu uređenja), koji se vodi preko sepratora za masti, sadrži sljedeće dijelove:
• umivaonik od oplemenjenog čelika 55 cm,
• beskontaktna slavina na mjestu pranja DN 15 bez kontakta, 230 V s oplatom od plemenitog čelika, izljev, miješalica,
izvedba ispod žbuke (UP)
• odvodni ventil
• poklopac za sprječavanje neugodnih mirisa iz cijevi, kromirani.
Obračun po komadu kompletno ugrađenog i u rad puštenog umivaonika.</t>
  </si>
  <si>
    <t>503.020.00125</t>
  </si>
  <si>
    <t>- Umivaonik za osoblje u području uslužnih vitrina</t>
  </si>
  <si>
    <t>SWT9 - nabava doprema i montaža umivaonika
• umivaonik, 60 cm, bijele boje sa stabilnim stajaćim montažnim elementima
• radarska elektronička armatura za umivaonik u obliku stola s miješanjem
• dio strujne mreže za zidnu ugradnju s ugradbenim ormarom i okvirima za ploèice
• perlator zaštićen od krađe
• odvodni ventil
• sifon za sprečavanje prodora neugodnog mirisa iz cijevi
• kutni ventil s filtrom za prljavštinu
• 1 x kristalno ogledalo 60x40, držač ogledala
• ispušni ventil: s ventilatorom, protustrujnom zaklopkom i cijevnim priključkom DN 15-1/2” u kromiranoj izvedbi (SAV1)
Obračun po komadu kompletno ugrađenog i u rad puštenog umivaonika.</t>
  </si>
  <si>
    <t>503.020.00130</t>
  </si>
  <si>
    <t>- Umivaonik za osoblje u području pekarne</t>
  </si>
  <si>
    <t>SWT13 - nabava doprema i montaža umivaonika
Zagrijavanje vode preko SHW4. Umivaonik / sudoper i slavine dostavlja tvrtka, ali treba ih montirati tako da budu spremne
za uporabu. Dovod za hladnu vodu ½“, dovod za toplu vodu ½”, materijal plemeniti čelik V2A. Kanalizacijski priključak za
kombinirani umivaonik DN 50. Obračun po komadu kompletno ugrađenog i u rad puštenog umivaonika.</t>
  </si>
  <si>
    <t>503.020.00135</t>
  </si>
  <si>
    <t>Kutni ventil kao kombinirani kutni ventil DN 10</t>
  </si>
  <si>
    <t>Kutni ventil kao kombinirani kutni ventil DN 10 G 3/8 AG s brtvenim priključnim navojem,
s komfornom ručkom i komorom za mazivo u gornjem dijelu, s ventilom za priključak uređaja s nepovratnim zatvaračem (NZ, EN 1717: EG) i vijčanim spojem za crijevo, s čvrstim konusnim kompresijskim vijčanim spojem od mjedi, s izjednačavanjem dužine, s dugom bazom i okvirom d = 54 mm, od mjedi, kromirani, s DVGW oznakom isporučiti i montirati.</t>
  </si>
  <si>
    <t>St</t>
  </si>
  <si>
    <t>503.020.00140</t>
  </si>
  <si>
    <t>Ventil za regulaciju kuta DN 15 s DRV</t>
  </si>
  <si>
    <t>Kutni regulacijski ventil
kao DIN kutni regulacijski ventil s dvostrukim nepovratnim zatvaračem
Dimenzije: DN 15 G 1/2 AG x DN 10 G 3/8 AG
Površina: kromirana
Referentni proizvod: SCHELL / Br. artikla 052760699
ili istovjetni proizvod,
ponuđeni proizvod/tip:
.......................................................
........................
(ispunjava ponuđač)
Opseg isporuke:
- brtveni priključni navoj (ASAG easy)
- komforna ručka
- duga baza, okvir, promjera 54 mm
- čvrsti konusni kompresijski vijčani spoj od mjedi
s izjednačavanjem dužine
- dvostruki nepovratni zatvarač
Područje uporabe/tehnički podaci:
- sigurna uporaba sukladno EN 1717
- za armature s ručnom glavom na izvlačenje
- razred protočnosti A
Materijal: Mjed u skladu s odredbom o pitkoj vodi
S oznakom: DIN-DVGW certifikat, P-IX 212/IA,
isporučiti i montirati.</t>
  </si>
  <si>
    <t>503.020.00145</t>
  </si>
  <si>
    <t>Okretno ogledalo 600 x 540 mm</t>
  </si>
  <si>
    <t>Okretno ogledalo
kao pravokutno kristalno ogledalo s brušenim rubovima i ugrađenom zaštitnom folijom,
s podesivim nagibom, za zidnu montažu, pravokutno 600 x 540 mm
Element za držanje i ručica od sjajnog poliamida
Boja: bijela
s konopom za okretanje za postavljanje na zid.
Referentni proizvod: HEWI / Br. 801.01.100
ili istovjetni proizvod,
ponuđeni proizvod/tip:
.......................................................
........................
(ispunjava ponuđač)
isporučiti i montirati.</t>
  </si>
  <si>
    <t>503.020.00150</t>
  </si>
  <si>
    <t>- WC školjka u  sanitarijama za kupce</t>
  </si>
  <si>
    <t>SWC1- nabava doprema i montaža WC-a
- zidna WC školjka s dubinskim ispiranjem, bijela, odvod vodoravan, Visina montaže: gornji rub 43 cm iznad gotovog
poda
- stabilni stajaći montažni element s odvodnim koljenom za WC
- vodokotlić podžbukni 6-9 litara
- pokrovna ploča s tipkama za ispuštanje vode, s dvije količine, bijele boje
- WC daska bez poklopca, zaštićena od razbijanja, Duroplast, s protuprovalnim specijalnim zglobovima od nehrđajućeg
čelika
- WC garnitura za četke zaštićena od krađe, pričvršćena na zid
Obračun po komadu kompletno ugrađenog i u rad puštenog WC-a.</t>
  </si>
  <si>
    <t>503.020.00155</t>
  </si>
  <si>
    <t>- WC školjka u  sanitarijama za osobe sa posebnim potrebama</t>
  </si>
  <si>
    <t>SWC2- nabava doprema i montaža invalidskog WC-a
- zidna WC školjka s dubinskim ispiranjem, bijela, odvod vodoravan, Visina montaže uklj. sjedalo za zahod: gornji rub
46-48 cm iznad gotovog poda
- stabilni stajaći montažni element s odvodnim koljenom za WC
- vodokotlić podžbukni 6-9 litara
- poklopac s tipkom za puštanje vode - zaustavljanje istjecanja vode, bijele boje
- 2 preklopna rukohvata s oblogom za ruke i držačem papira i daljinsko aktiviranje (prema DIN 18040)m, visina
montaže: gornji rub preklopnog rukohvata s oblogom 85 cm iznad gotovog poda.
- WC daska bez poklopca, fleksibilna, sigurna od loma
- WC garnitura za četke zaštićena od krađe, pričvršćena na zid, Duroplast, s protuprovalnim specijalnim zglobovima od
nehrđajućeg čelika
- poziv u pomoć kao pritisni gumb ili potezno uže, priključeno na središnji sustav dojave ploča za dojavu i opsluživanje
Obračun po komadu kompletno ugrađenog i u rad puštenog WC-a.</t>
  </si>
  <si>
    <t>503.020.00160</t>
  </si>
  <si>
    <t>- WC školjka u  sanitarijama za osoblje</t>
  </si>
  <si>
    <t>SWC3- nabava doprema i montaža WC-a
- zidna WC školjka s dubinskim ispiranjem, bijela, odvod vodoravan, Visina montaže: gornji rub 43 cm iznad gotovog
poda
- stabilni stajaći montažni element s odvodnim koljenom za WC
- vodokotlić podžbukni 6-9 litara
- pokrovna ploča s tipkama za ispiranje s dvije količine vode, bijele boje
- WC daska bez poklopca, zaštićena od razbijanja, Duroplast, s protuprovalnim specijalnim zglobovima od
nehrđajućeg čelika
- WC garnitura za četke zaštićena od krađe, pričvršćena na zid
- WC držač za toaletni papir, osiguran od krađe
- držač rezervnog papira
- kuka na zidu
Obračun po komadu kompletno ugrađenog i u rad puštenog WC-a.</t>
  </si>
  <si>
    <t>503.020.00165</t>
  </si>
  <si>
    <t>Montažni element za WT 130 cm</t>
  </si>
  <si>
    <t>Montažni element za umivaonik, 112 cm,
za suhogradnju, za armaturu s jednim otvorom
Karakteristike:
- Razmak kod pričvršćivanja umivaonika 538 cm
- Pričvršćivanje priključnog luka visinski podesivo i sa zvučnom izolacijom
- Traverza armature visinski i dubinski podesiva
Tehnički podaci
- Širina (cm): 50 cm
- Visina (cm): 112 cm
- Dubina (cm): 7,5 cm
dodatni opseg isporuke
- 2 priključna kuta Rp 1/2" / R 1/2",
- 2 umetka za zvučnu izolaciju,
- 2 izolacijske čahure,
- Priključni luk od PE-HD, promjera 50 mm,
- Brtva promjera 44 / 32 mm,
- 2 navojne šipke M10,
- Materijal za pričvršćivanje
Referentni proizvod: Geberit / Duofix
Br. artikla: 111.430.00.1
ili istovjetni proizvod,
ponuđeni proizvod/tip:
.......................................................
.......................
(ispunjava ponuđač)</t>
  </si>
  <si>
    <t>503.020.00170</t>
  </si>
  <si>
    <t>Montažni element za WT 112 cm, BF</t>
  </si>
  <si>
    <t>Montažni element za umivaonik, 130 cm,
za suhogradnju, za nadžbuknu armaturu
Karakteristike
- Razmak kod pričvršćivanja umivaonika 538 cm
- Pričvršćivanje priključnog luka visinski
podesivo i sa zvučnom izolacijom
- Traverza armature visinski i dubinski podesiva
Tehnički podaci
- Širina (cm): 50 cm
- Visina (cm): 130 cm
- Dubina (cm): 7,5 cm
dodatni opseg isporuke
- 2 priključna kuta Rp 1/2" / R 1/2",
- 2 umetka za zvučnu izolaciju,
- 2 izolacijske čahure,
- Priključni luk od PE-HD, promjera 50 mm,
- Brtva promjera 44 / 32 mm,
- 2 navojne šipke M10,
- Materijal za pričvršćivanje,
Referentni proizvod: Geberit / Duofix
Br. artikla: 111.437.00.1
ili istovjetni proizvod,
ponuđeni proizvod/tip:
.......................................................
.......................
(ispunjava ponuđač)</t>
  </si>
  <si>
    <t>503.020.00175</t>
  </si>
  <si>
    <t>Montažni element za umivaonik 112 cm,</t>
  </si>
  <si>
    <t>Montažni element za umivaonik, 112 cm,
za suhogradnju za standardnu armaturu s podžbuknim sifonom za umivaonike prilagođene osobama s invaliditetom, bez barijera
Karakteristike
- Razmak kod pričvršćivanja umivaonika 538 cm
- Podžbukni sifon s optimalnim
strujanjem i dobrim mogućnostima samočišćenja
- Visinski podesivi podžbukni sifon
- Pričvršćivanje priključnog luka visinski
podesivo i sa zvučnom izolacijom
- Traverza armature visinski i dubinski podesiva
Tehnički podaci
- Širina (cm): 50 cm
- Visina (cm): 112 cm
- Dubina (cm): 7 cm
dodatni opseg isporuke
- 2 priključna kuta Rp 1/2" / R 1/2",
- 2 umetka za zvučnu izolaciju
- 2 izolacijske čahure
- Građevinska zaštita
- 2 navojne šipke M10
- Materijal za pričvršćivanje
uklj. završni set za podžbukni sifon,
od plastike, sjajno kromiran.
Referentni proizvod: Geberit / Duofix
Br. artikla: 111.480.00.1 i 115.416.21.1
ili istovjetni proizvod,
ponuđeni proizvod/tip:
.......................................................
.......................
(ispunjava ponuđač)</t>
  </si>
  <si>
    <t>503.020.00180</t>
  </si>
  <si>
    <t>Montažni element za držače i hvataljke 112 cm</t>
  </si>
  <si>
    <t>Montažni element za drške i ručke 112 cm
bez barijera, za suhogradnju,
Tehnički podaci
- Širina (cm): 36,5 cm
- Visina (cm): 112 cm
- Dubina (cm): 4 cm
dodatni opseg isporuke
- Materijal za pričvršćivanje
Referentni proizvod: Geberit / Duofix
Br. artikla: 111.790.00.1
ili istovjetni proizvod,
ponuđeni proizvod/tip:
.......................................................
.......................
(ispunjava ponuđač)</t>
  </si>
  <si>
    <t>503.020.00185</t>
  </si>
  <si>
    <t>Montažni element za AGB sa zidnom montažom</t>
  </si>
  <si>
    <t>Montažni element za izljevno korito
s nadžbuknom zidnom armaturom, 130 cm za suhogradnju,
Pričvršćivanje priključnog luka visinski podesivo i sa zvučnom izolacijom
Traverza armature visinski i dubinski podesiva
Tehnički podaci
- Širina (cm): 50 cm
- Visina (cm): 130 cm
- Dubina (cm): 8,3 cm
dodatni opseg isporuke
- 2 priključna kuta Rp 1/2" / R 1/2",
- 2 umetka za zvučnu izolaciju
- 2 izolacijske čahure
- Priključni luk od PE-HD, promjera 50 / 63 mm
- Brtva promjera 57 / 50 mm
- Brtva promjera 57 / 40 mm
- Materijal za pričvršćivanje
Referentni proizvod: Geberit / Duofix
Br. artikla: 111.450.00.1
ili istovjetni proizvod,
ponuđeni proizvod/tip:
.......................................................
.......................
(ispunjava ponuđač)</t>
  </si>
  <si>
    <t>503.020.00190</t>
  </si>
  <si>
    <t>Nosač, izbočina 850 mm</t>
  </si>
  <si>
    <t>Pomoćna ručka
kao stabilna, jednoručna drška, sa sigurnim prihvatom bez klizanja, s ergonomičnim i obrađenim dijelom za prihvat, s mogućnosti blagog pomicanja prema gore i dolje
Dubina 850 mm, širina 140 mm,
Zidna ploča visine 218 mm,
Dužina ručke naknadno podesiva 800 - 900 mm,
s prekrivenim materijalom za pričvršćivanje bez korozije, od aluminija
Boja: bijela
s kromiranim dizajn elementima,
s ručkom obloženom visokokvalitetnim PUR-om
s CE oznakom prema smjernici 93/42/EWG
opteretivost do 100 kg
Referentni proizvod: HEWI / 802.50.W0185
ili istovjetni proizvod,
ponuđeni proizvod/tip:
.......................................................
.......................
(ispunjava ponuđač)</t>
  </si>
  <si>
    <t>503.020.00195</t>
  </si>
  <si>
    <t>Nadogradite držač papira u kompletu</t>
  </si>
  <si>
    <t>Dodatni set za držač papira
kao držač rola za dodatno opremanje prethodno navedene pomoćne ručke 802.50.W0185, s kočnicom, širina 33 mm, visina 145 mm, dubina 117 mm, od aluminija,
Boja: bijela
Referentni proizvod: HEWI / 802.50.W010
ili istovjetni proizvod,
ponuđeni proizvod/tip:
.......................................................
.......................
(ispunjava ponuđač)</t>
  </si>
  <si>
    <t>503.020.00200</t>
  </si>
  <si>
    <t>Držač četke za WC</t>
  </si>
  <si>
    <t>Garnitura četke za zahod
Zamjenjiva ručka četke,
Posuda četke s udubljenim podom u obliku sfere, djelomično otvorenim gornjim dijelom s prstenastim držačem, s okretnim gornjim dijelom, spremnik zaštićen od krađe prekrivenim vijčanim spojevima,
širina 141 mm, visina 470 mm, dubina 140 mm od sjajnog poliamida,
Boja: bijela
Referentni proizvod: HEWI / 477.20.100
ili istovjetni proizvod,
ponuđeni proizvod/tip:
.......................................................
.......................
(ispunjava ponuđač)</t>
  </si>
  <si>
    <t>503.020.00205</t>
  </si>
  <si>
    <t>Držač toaletne role</t>
  </si>
  <si>
    <t>Držač za papir
s prekrivenim vijčanim spojem na držaču za papir za zaštitu od krađe,
Širina: 160 mm,
Visina: 120 m,
promjer šipke 20 mm
uključujući ključ za otključavanje zaštitu protiv krađe, od sjajnog poliamida
Boja: bijela
Referentni proizvod: HEWI / 477.21.150
ili istovjetni proizvod,
ponuđeni proizvod/tip:
.......................................................
.......................
(ispunjava ponuđač)</t>
  </si>
  <si>
    <t>503.020.00210</t>
  </si>
  <si>
    <t>Rezervni držač papira</t>
  </si>
  <si>
    <t>Držač rezervnog papira
kao cilindrični držač s okruglim okvirom, s prekrivenim vijčanim spojem za zaštitu od krađe,
Dužina 120 mm,
Promjer 33 mm,
Okvir promjera 70 mm
od sjajnog poliamida
Boja: bijela
Referentni proizvod: HEWI / 477.21.200
ili istovjetni proizvod,
ponuđeni proizvod/tip:
.......................................................
.......................
(ispunjava ponuđač)</t>
  </si>
  <si>
    <t>503.020.00215</t>
  </si>
  <si>
    <t>Zidna kuka</t>
  </si>
  <si>
    <t>Kukica za zid
kao pravokutna savijena, cilindrična kukica, s okvirom za pričvršćivanje i štitnikom za vrata, s prekrivenim vijčanim spojem za zaštitu od krađe, dubine 105 mm, s promjerom okvira od 70 mm, od sjajnog poliamida,
Boja: bijela
Referentni proizvod: HEWI / 477.90.035
ili istovjetni proizvod,
ponuđeni proizvod/tip:
.......................................................
.......................
(ispunjava ponuđač)</t>
  </si>
  <si>
    <t>503.020.00220</t>
  </si>
  <si>
    <t>- Pisoar za sanitarije kupaca</t>
  </si>
  <si>
    <t>SUR1 - nabava doprema i montaža pisoara
- pisoar, samousisavajući, bijele boje, dovod i odvod zakriveni
- montažni element za pisoar odgovara za niže navedeni vodokotlić za pisoar
- elektronsko upravljanje pisoara za zidnu montažu, prekriven, kao upravljanje pomoću senzora, sa podesivom podžbuknom elektronikom i magnetnim ventilom, sa podesivim vremenom ispiranja i zaštitom od preliva, kontrola razine punjenja i podžbukni mrežni uređaj.
- od 2 pisoara jedan pored drugog plastičnog pregradni zidovi bijele boje u potrebnoj količini. Pričvršćivanje pokriveno od sanitarne keramike sukladno popisu proizvoda.
Obračun po komadu kompletno ugrađenog i u rad puštenog pisoara.</t>
  </si>
  <si>
    <t>503.020.00225</t>
  </si>
  <si>
    <t>Sudoper čelik, emajliran na zid</t>
  </si>
  <si>
    <t>Izljevno korito,
Proizvođač /Tip 'ALAPE/AG.Stahlform 505',
od čelika, emajlirano, bijele boje,
Dimenzije širine/dubine:
ca. 55 x 33 cm
postavljeno na zid, s poluvisokom poleđinom, s podebljanim rubom i zaštitom za rubove, s preklopnom rešetkom. Za pričvršćivanje vijcima. Izljevni ventil za hladnu vodu, s odzračnikom, nepovratnim zatvaračem i priključkom za crijevo DN 15, kromiran.
Sifon s priborom uključujući sifon DIN EN 274 za izljevno korito, kompl. odvodna garnitura,
2 x DN 50, s brtvenim rubom od plastike, otporan na vruću vodu, S priključnim lukom.</t>
  </si>
  <si>
    <t>503.020.00230</t>
  </si>
  <si>
    <t>Elektr. Slavine miješalice. Za WB SWT8, SWT9, SWT13.2</t>
  </si>
  <si>
    <t>Miješalica u standardnoj izvedbi s jednim otvorom za umivaonike, sa senzorom za detekciju približavanja, od mjedi, kromirana, uključujući mrežni element za montažu u zid, s kutijom za montažu, uključujući perlator zaštićen od krađe.
električni priključak: 230 V, 50 Hz, 6 V
Radni napon: 6 V
uključujući transformator, osigurače, zaštitu od
prskanja. Mrežni element se treba vodonepropusno ugraditi ispod odgovarajućeg
umivaonika u ugradbenu kutiju
za pločice. Uključujući ugradbenu kutiju,
s okvirom od pločica.
Proizvod/tip: MEPA / Saniline Dolphin
Br. artikla: 718602 i br. artikla. 718645
ili istovjetni proizvod,
ponuđeni proizvod/tip:
.......................................................
.......................
(ispunjava ponuđač)</t>
  </si>
  <si>
    <t>503.020.00235</t>
  </si>
  <si>
    <t>Jednoručna baterija za sudoper, DN 15</t>
  </si>
  <si>
    <t>Jednoručna miješalica s jednim otvorom za sudopere, DN 15
za otvorene bojlere,
Proizvođač / tip HANSA / Hansamix br. 112 1183
ili istovjetni proizvod,
ponuđeni proizvod/tip:
.......................................................
.......................
(ispunjava ponuđač)
S oznakom:
od mjedi, kromirani, zvučna svojstva prema DIN EN 200 s okretnom cijevnom slavinom i perlatorom, s otvorom za spremanje lanca, lancem i čepom, uključujući perlator zaštićen od krađe za niskotlačne armature.</t>
  </si>
  <si>
    <t>503.020.00240</t>
  </si>
  <si>
    <t>Jednoručna baterija za umivaonik, DN 15</t>
  </si>
  <si>
    <t>Jednoručna miješalica s jednim otvorom za umivaonike, DN 15 za otvorene iz bojlere,
Proizvođač / tip HANSA / Hansamix br. 0113 1183
ili istovjetni proizvod,
ponuđeni proizvod/tip:
.......................................................
.......................
(ispunjava ponuđač)
S oznakom:
od mjedi, kromirani,
Zvučna svojstva prema DIN EN 200
s nepomičnom slavinom,
s perlatorom, zaštićen od krađe M24 x 1.AG
(Br. artikla 59905721)
s upravljačkom ručicom
Dubina do 141 mm.</t>
  </si>
  <si>
    <t>503.020.00245</t>
  </si>
  <si>
    <t>- Električni bojler 10 litara</t>
  </si>
  <si>
    <t>Dobava i montaža električnog bojlera kao tip Simens ili AEG za pripremu tople vode sa ventilima i svom sigurnosno-spojnom armaturom. Podešavanje temperature bez stupnjevanja do 85 ºC, ugrađen kombinirani regulator-limitator. Montaža iznad spuštenih stropova ili niskomontažni na zid. Obračun po komadu kompletno ugrađenog i u rad puštenog bojlera
EGV10 lit 2kW; 230V</t>
  </si>
  <si>
    <t>503.020.00250</t>
  </si>
  <si>
    <t>- Električni bojler 30 litara</t>
  </si>
  <si>
    <t>Dobava i montaža električnog bojlera kao tip Simens ili AEG za pripremu tople vode sa ventilima i svom sigurnosno-spojnom armaturom. Podešavanje temperature bez stupnjevanja do 85 ºC, ugrađen kombinirani regulator-limitator. Montaža iznad spuštenih stropova ili niskomontažni na zid. Obračun po komadu kompletno ugrađenog i u rad puštenog bojlera
EGV30 lit 2kW; 230V</t>
  </si>
  <si>
    <t>503.020.00255</t>
  </si>
  <si>
    <t>- Električni bojler 100 litara</t>
  </si>
  <si>
    <t>Dobava i montaža električnog bojlera kao tip Simens ili AEG za pripremu tople vode sa ventilima i svom sigurnosno-spojnom armaturom. Podešavanje temperature bez stupnjevanja do 85 ºC, ugrađen kombinirani regulator-limitator. Montaža iznad spuštenih stropova ili niskomontažni na zid. Obračun po komadu kompletno ugrađenog i u rad puštenog bojlera.
EGV100 lit; 2kW; 230V - horizontalna izvedba</t>
  </si>
  <si>
    <t>503.020.00260</t>
  </si>
  <si>
    <t>Priključak dvostrukog sudopera od nehrđajućeg čelika isporučen na licu mjesta</t>
  </si>
  <si>
    <t>Priključak isporučenog sudopera od nehrđajućeg čelika,
s izljevnim koritom, ručnom glavom i armaturom, na mrežu hladne, tople i otpadne vode,
uklj. sve potrebne materijale.
Za područje pripreme svježe robe/ribe, pekarnice</t>
  </si>
  <si>
    <t>503.020.00265</t>
  </si>
  <si>
    <t>Priključak sudopera od nehrđajućeg čelika isporučen na licu mjesta</t>
  </si>
  <si>
    <t>Priključak isporučenog sudopera od nehrđajućeg čelika,
i perilice posuđa na mrežu hladne, tople i otpadne vode, uklj. sve potrebne materijale.
Prostor za osoblje</t>
  </si>
  <si>
    <t>503.020.00270</t>
  </si>
  <si>
    <t>Spajanje automata na području osoblja</t>
  </si>
  <si>
    <t>Priključak automata za piće u području za osoblje (Kaufland) i u trgovačkom centru (ulazni prostor) na mrežu hladne vode uključujući sve potrebne materijale.</t>
  </si>
  <si>
    <t>503.020.00275</t>
  </si>
  <si>
    <t>Priključak na pećnicu u samoposlužnoj pekarnici</t>
  </si>
  <si>
    <t>Priključak pećnice u samoposlužnoj pekarnici na mrežu hladne vode uključujući sve potrebne materijale.</t>
  </si>
  <si>
    <t>503.020.00280</t>
  </si>
  <si>
    <t>Fugiranje</t>
  </si>
  <si>
    <t>Punjenje fuga s trajno elastičnom ispunom od silikona, bijele odnosno sive boje,
između sanitarnih elemenata i zida.</t>
  </si>
  <si>
    <t>503.020.00285</t>
  </si>
  <si>
    <t>- Limena vindabona</t>
  </si>
  <si>
    <t>SAG1 - nabava doprema i montaža slivnika (limena vindabona)
• slivnik sa stražnjom stijenkom
• čelični lim bijele boje 55 cm
• garnitura odvoda sa sifonom za sprečavanje prodora neugodnog mirisa
• perlator zaštićen od krađe
• preklopna rešetka
• sifon
• ispušni ventil za hladnu vodu s ventilatorom, protustrujnom zaklopkom i priključkom za cijev DN 15 – ½ u kromiranoj izvedbi (SAV1)
Obračun po komadu kompletno ugrađenog i u rad puštenog slivnika (limena vindabona)</t>
  </si>
  <si>
    <t>503.020.00290</t>
  </si>
  <si>
    <t>SAG2 - nabava doprema i montaža slivnika (limena vindabona)
• slivnik sa stražnjom stjenkom, čelični lim bijele boje, 55 cm
• garnitura odvoda sa sifonom za sprečavanje prodora neugodnog mirisa i priključak za perilicu
• zidna baterija ½” s okretnim ispustom, čvrsto pričvršćen, hladna i topla voda
• perlator zaštićen od krađe
• preklopna rešetka
• sifon
• ispušni ventil za hladnu vodu: s ventilatorom, protustrujnom zaklopkom i priključkom za cijev DN 15 – ½“ ukromiranoj
izvedbi (SAV1)
• ispušni ventil za hladnu vodu: s ventilatorom, protustrujnom zaklopkom i priključkom za cijev, DN 20 – ¾“ u kromiranoj
izvedbi, uz konstrukciju iznad slivnika. Dovod DN 20 (kod podžbuknih instalacija, kao ventil u zidnu bateriju može se
integrirati odvodni ventil)
• priprema tople vode za prostorije za strojeve za čišćenje: priključiti na uređaj za pripremu tople vode (SHW2) - ukoliko
se SHW2 ne nalazi u prostoriji sa strojevima za čišćenje, tada odvojeni bojler za toplu vodu 30 litara
Obračun po komadu kompletno ugrađenog i u rad slivnika (limena vindabona)</t>
  </si>
  <si>
    <t>503.020.00295</t>
  </si>
  <si>
    <t>SAG2.1 - nabava doprema i montaža slivnika (limena vindabona)
• slivnik sa stražnjom stjenkom, čelični lim bijele boje, 55 cm
• s preklopnom rešetkom
• ispusna garnitura sa zatvaračem za sprječavanje širenja neugodnih mirisa (sifon od plastike)
• dvoručna zidna miješalica ½“, nadžbuka, sa zakretnim ispustom, čvrsto priključena, hladna i topla voda
• perlator zaštićen od krađe
• Priprema tople vode spremnik tople vode kao otvoreni uređaj za gornju montažu, 10 litara
Obračun po komadu kompletno ugrađenog i u rad puštenog slivnika (limena vindabona).</t>
  </si>
  <si>
    <t>503.020.00300</t>
  </si>
  <si>
    <t>- Ispusni ventil</t>
  </si>
  <si>
    <t>SAV1 - nabava doprema i montaža ispusnog ventila (holedner slavina)
Ispusni ventil s ventilatorom, protustrujna zaklopka i navrtanj za crijevo, nazivni promjer 15 u kromiranoj izvedbi. Obračun po komadu kompletno montiranog ispusnog ventila.</t>
  </si>
  <si>
    <t>503.020.00305</t>
  </si>
  <si>
    <t>SAV4 - Priključak vode za uređaj za čišćenje
Ispusni ventil za hladnu vodu s ventilatorom, protustrujnom zaklopkom, navrtnjem za crijevo DN20-3/4 cola, kromirana izvedba
Visina otpr. 1,80 m iznad poda
Uređaji za čišćenje "ECOLAB Topmaster" ili "TANA-Chemie" smiju se koristiti samo s hladnom vodom.</t>
  </si>
  <si>
    <t>503.020.00310</t>
  </si>
  <si>
    <t>- Priljučak za hladnu vodu</t>
  </si>
  <si>
    <t>SWA1-Priključak vode za piće i priključak odvoda kanalizacije. Postaviti u kut stražnjeg zida koncensionarske površine, ne na bočne
zidove. Cjevovod vode za piće završava 15 cm iznad spuštenog stropa, s armaturom za zatvaranje i brojačem potrošnje vode
kao M-Bus brojač, propisno plombiran, baždaren i označen brojem. Odvod kanalizacije nazivnog promjera 100 mm mora se
postaviti direktno iznad gotovog poda. Dodatni cjevovodi su u nadležnosti najmoprimca.</t>
  </si>
  <si>
    <t>503.020.00315</t>
  </si>
  <si>
    <t>SWA5.1. - Priključak za vodu za piće: vod za hladnu vodu ispod žbuke ½“,za automat za vruće napitke s kutnim ventilom vanjski navoj3/8“. Položaj prema podacima dobavljača automata za vruće napitke.
Obračun po komadu kompletno montiranog ispusnog ventila.</t>
  </si>
  <si>
    <t>503.020.00320</t>
  </si>
  <si>
    <t>- Priključci za pećnicu</t>
  </si>
  <si>
    <t>Izvedba:
Priključci za pećnice:
- Dovodna voda sa 3x ispusnim ventilom sa smanjenim tlakom, maks. 3 bara, ¾'' regulator tlaka u području pećnice (dobava i montaža).
Visina iznad gotovog poda cca. 70 cm. Dovodne cijevi vode za pećnice (nadolaze odozgo) moraju se moći
pojedinačno blokirati.
- Priključak za odovd: cjevovod od plastičnih cijevi otpornih na visoke temperature (HT-cijev) DN50 za odvod
kondenzirane vode iz pećnica i ventilacijske haube.Na stražnjoj strani peći sa slobodnim izlazom preko podnog odvoda (SBE3).</t>
  </si>
  <si>
    <t>503.030</t>
  </si>
  <si>
    <t>Mreža za opskrbu pitkom vodom</t>
  </si>
  <si>
    <t>503.030.00110</t>
  </si>
  <si>
    <t>Plastična cijev 16 x 2.2</t>
  </si>
  <si>
    <t>Cjevovodi od stabilnih sivih
PE-Xc/Al/PE-Xc spojnih cijevi s više slojeva, za instalacije pitke vode prema DIN 1988 / EN 806, otporni na difuziju, kompresijski spoj od crvenog lijeva ili silicijske bronce kao sustav s optimiranim gubicima tlaka, bez O-prstena, s ispitanom sigurnošću i certifikatom, s lijevanim potpornjem i predmontiranom čahurom od nehrđajućeg čelika, nerazdvojnom, s certifikatom o ispitivanju, uklj. oblikovane i spojne elemente i brtveni materijal, uklj. pričvršćenja za cijevi, s izolacijom protiv vibracija u tijelu, s prikladnim tiplama koje su odobrene od strane građevinskog nadzora.
Vanjski promjer x debljina zida: 16 x 2,2 mm
isporučiti i montirati.</t>
  </si>
  <si>
    <t>503.030.00115</t>
  </si>
  <si>
    <t>Plastični cjevovod 20 x 2,8</t>
  </si>
  <si>
    <t>Cjevovodi od stabilnih sivih
PE-Xc/Al/PE-Xc spojnih cijevi s više slojeva, za instalacije pitke vode prema DIN 1988 / EN 806, otporni na difuziju, kompresijski spoj od crvenog lijeva ili silicijske bronce kao sustav s optimiranim gubicima tlaka, bez O-prstena, s ispitanom sigurnošću i certifikatom, s lijevanim potpornjem i predmontiranom čahurom od nehrđajućeg čelika, nerazdvojnom, s certifikatom o ispitivanju, uklj. oblikovane i spojne elemente i brtveni materijal, uklj. pričvršćenja za cijevi, s izolacijom protiv vibracija u tijelu, s prikladnim tiplama koje su odobrene od strane građevinskog nadzora.
Vanjski promjer x debljina zida: 20 x 2,8 mm
isporučiti i montirati.</t>
  </si>
  <si>
    <t>503.030.00120</t>
  </si>
  <si>
    <t>Plastični cjevovod 25 x 2,7</t>
  </si>
  <si>
    <t>Cjevovodi od stabilnih sivih
PE-Xc/Al/PE-Xc spojnih cijevi s više slojeva, za instalacije pitke vode prema DIN 1988 / EN 806, otporni na difuziju, kompresijski spoj od crvenog lijeva ili silicijske bronce kao sustav s optimiranim gubicima tlaka, bez O-prstena, s ispitanom sigurnošću i certifikatom, s lijevanim potpornjem i predmontiranom čahurom od nehrđajućeg čelika, nerazdvojnom, s certifikatom o ispitivanju, uklj. oblikovane i spojne elemente i brtveni materijal, uklj. pričvršćenja za cijevi, s izolacijom protiv vibracija u tijelu, s prikladnim tiplama koje su odobrene od strane građevinskog nadzora.
Vanjski promjer x debljina zida: 25 x 2,7 mm
isporučiti i montirati.</t>
  </si>
  <si>
    <t>503.030.00125</t>
  </si>
  <si>
    <t>Plastična cijev 32 x 3,2</t>
  </si>
  <si>
    <t>Cjevovodi od stabilnih sivih
PE-Xc/Al/PE-Xc spojnih cijevi s više slojeva, za instalacije pitke vode prema DIN 1988 / EN 806, otporni na difuziju, kompresijski spoj od crvenog lijeva ili silicijske bronce kao sustav s optimiranim gubicima tlaka, bez O-prstena, s ispitanom sigurnošću i certifikatom, s lijevanim potpornjem i predmontiranom čahurom od nehrđajućeg čelika, nerazdvojnom, s certifikatom o ispitivanju, uklj. oblikovane i spojne elemente i brtveni materijal, uklj. pričvršćenja za cijevi, s izolacijom protiv vibracija u tijelu, s prikladnim tiplama koje su odobrene od strane građevinskog nadzora.
Vanjski promjer x debljina zida: 32 x 3,2 mm
isporučiti i montirati.</t>
  </si>
  <si>
    <t>503.030.00130</t>
  </si>
  <si>
    <t>Plastična cijev 40 x 3,5</t>
  </si>
  <si>
    <t>Cjevovodi od stabilnih sivih
PE-Xc/Al/PE-Xc spojnih cijevi s više slojeva, za instalacije pitke vode prema DIN 1988 / EN 806, otporni na difuziju, kompresijski spoj od crvenog lijeva ili silicijske bronce kao sustav s optimiranim gubicima tlaka, bez O-prstena, s ispitanom sigurnošću i certifikatom, s lijevanim potpornjem i predmontiranom čahurom od nehrđajućeg čelika, nerazdvojnom, s certifikatom o ispitivanju, uklj. oblikovane i spojne elemente i brtveni materijal, uklj. pričvršćenja za cijevi, s izolacijom protiv vibracija u tijelu, s prikladnim tiplama koje su odobrene od strane građevinskog nadzora.
Vanjski promjer x debljina zida: 40 x 3,5 mm
isporučiti i montirati.</t>
  </si>
  <si>
    <t>503.030.00135</t>
  </si>
  <si>
    <t>Plastična cijev 50 x 4,0</t>
  </si>
  <si>
    <t>Cjevovodi od stabilnih sivih
PE-Xc/Al/PE-Xc spojnih cijevi s više slojeva, za instalacije pitke vode prema DIN 1988 / EN 806, otporni na difuziju, kompresijski spoj od crvenog lijeva ili silicijske bronce kao sustav s optimiranim gubicima tlaka, bez O-prstena, s ispitanom sigurnošću i certifikatom, s lijevanim potpornjem i predmontiranom čahurom od nehrđajućeg čelika, nerazdvojnom, s certifikatom o ispitivanju, uklj. oblikovane i spojne elemente i brtveni materijal, uklj. pričvršćenja za cijevi, s izolacijom protiv vibracija u tijelu, s prikladnim tiplama koje su odobrene od strane građevinskog nadzora.
Vanjski promjer x debljina zida: 50 x 4,0 mm
isporučiti i montirati.</t>
  </si>
  <si>
    <t>503.030.00140</t>
  </si>
  <si>
    <t>Zaporni ventil slobodnog protoka, DN 40 s ispusnim ventilom</t>
  </si>
  <si>
    <t>Zaporni ventil slobodnog protoka,
Proizvod/tip: KEMPER / Figura 173 2G ili istovjetni proizvod,
ponuđeni proizvod/tip:
.......................................................
........................
(ispunjava ponuđač)
DN 40 - 42 mm,
u nakošenom položaju, s ventilom za pražnjenje, s kućištem i gornjim dijelom od crvenog lijeva, bez mrtvog prostora, s EPDM brtvama prema DIN EN 1213, odobrenje prema DVGW-u i vezano za zaštitu od buke, PN 16, obostrano s vanjskim navojem, uklj. kompresijski vijčani spoj prikladan za prethodno navedeni cijevni sustav s konturnom brtvom, s maticom za vanjski navoj, EPDM-brtvama i izolacijskom oblogom,
kompletno isporučiti i montirati.</t>
  </si>
  <si>
    <t>503.030.00145</t>
  </si>
  <si>
    <t>Zaporni ventil slobodnog protoka, DN 50 s ispušnim ventilom</t>
  </si>
  <si>
    <t>Zaporni ventil slobodnog protoka,
Proizvod/tip: KEMPER / Figura 173 2G ili istovjetni proizvod,
ponuđeni proizvod/tip:
.......................................................
........................
(ispunjava ponuđač)
DN 50 - 54 mm,
u nakošenom položaju, s ventilom za pražnjenje, s kućištem i gornjim dijelom od crvenog lijeva, bez mrtvog prostora, s EPDM brtvama prema DIN EN 1213, odobrenje prema DVGW-u i vezano za zaštitu od buke, PN 16, obostrano s vanjskim navojem, uklj. kompresijski vijčani spoj prikladan za prethodno navedeni cijevni sustav s konturnom brtvom, s maticom za vanjski navoj, EPDM-brtvama i izolacijskom oblogom,
kompletno isporučiti i montirati.</t>
  </si>
  <si>
    <t>503.030.00150</t>
  </si>
  <si>
    <t>Vodomjer sa kotačem, snaga 2,5 m3 / h</t>
  </si>
  <si>
    <t>Brojilo vode s kotačićem,
Proizvod/tip: METHERM / Modularis,
Snaga 2,5 m3/h,
za slobodno postavljanje,
dužina konstrukcije 190 mm,
DN 20,
kućište od mjedi,
s komunikacijskim modulom, M-Bus modul,
uklj. troškove za ovjeru,
uklj. sve potrebne materijale za spajanje i
brtvljenje.</t>
  </si>
  <si>
    <t>503.030.00155</t>
  </si>
  <si>
    <t>Vodomjer sanitarne potrošnje</t>
  </si>
  <si>
    <t>Brojilo vode sanitarne potrošnje u vodomjernom oknu,
protok 1,4 l/s
DN 40,
s komunikacijskim modulom, M-Bus modul,
prema uvjetima vodovoda Osijek
uklj. sve potrebne materijale za spajanje i
brtvljenje.</t>
  </si>
  <si>
    <t>503.030.00160</t>
  </si>
  <si>
    <t>Vodomjer hidrantske potrošnje</t>
  </si>
  <si>
    <t>Brojilo vode hidrantske mreže ,
protok 30 l/s ,
DN 200,
s komunikacijskim modulom, M-Bus modul,
prema uvjetima voovoda Osijek
uklj. sve potrebne materijale za spajanje i
brtvljenje.</t>
  </si>
  <si>
    <t>503.030.00165</t>
  </si>
  <si>
    <t>- Lijevano željezni fazonski komad</t>
  </si>
  <si>
    <t>Nabava, doprema i montaža i lijevano željeznih fazonskih komada i drugih spojnog materijala za pogonski tlak 12,5 bara, za montažu na priključku, oknu vodomjera i hidrantima. Raznošenje fazonskih komada duž rova. Montaža prirubnicom brtvenim gumenim prstenom ili klingeritom, uključivo sav brtveni materijal s vijcima, te izolacija spojeva bitumenskim premazom. Stavkom obuhvaćeni kompletni monterski i građevinski radovi, te sav poreban materijal. Obračun se vrši po kompletno izvedenoj montaži fazonskih komada.
FF komad l= 1200 mm; DN200</t>
  </si>
  <si>
    <t>503.030.00170</t>
  </si>
  <si>
    <t>Nabava, doprema i montaža i lijevano željeznih fazonskih komada i drugih spojnog materijala za pogonski tlak 12,5 bara, za montažu na priključku, oknu vodomjera i hidrantima. Raznošenje fazonskih komada duž rova. Montaža prirubnicom brtvenim gumenim prstenom ili klingeritom, uključivo sav brtveni materijal s vijcima, te izolacija spojeva bitumenskim premazom. Stavkom obuhvaćeni kompletni monterski i građevinski radovi, te sav poreban materijal. Obračun se vrši po kompletno izvedenoj montaži fazonskih komada.
FF komad l= 200 mm; DN200</t>
  </si>
  <si>
    <t>503.030.00175</t>
  </si>
  <si>
    <t>Nabava, doprema i montaža i lijevano željeznih fazonskih komada i drugih spojnog materijala za pogonski tlak 12,5 bara, za montažu na priključku, oknu vodomjera i hidrantima. Raznošenje fazonskih komada duž rova. Montaža prirubnicom brtvenim gumenim prstenom ili klingeritom, uključivo sav brtveni materijal s vijcima, te izolacija spojeva bitumenskim premazom. Stavkom obuhvaćeni kompletni monterski i građevinski radovi, te sav poreban materijal. Obračun se vrši po kompletno izvedenoj montaži fazonskih komada.
FF komad l= 200 mm; DN50</t>
  </si>
  <si>
    <t>503.030.00180</t>
  </si>
  <si>
    <t>Nabava, doprema i montaža i lijevano željeznih fazonskih komada i drugih spojnog materijala za pogonski tlak 12,5 bara, za montažu na priključku, oknu vodomjera i hidrantima. Raznošenje fazonskih komada duž rova. Montaža prirubnicom brtvenim gumenim prstenom ili klingeritom, uključivo sav brtveni materijal s vijcima, te izolacija spojeva bitumenskim premazom. Stavkom obuhvaćeni kompletni monterski i građevinski radovi, te sav poreban materijal. Obračun se vrši po kompletno izvedenoj montaži fazonskih komada.
TT komad DN200</t>
  </si>
  <si>
    <t>503.030.00185</t>
  </si>
  <si>
    <t>Nabava, doprema i montaža i lijevano željeznih fazonskih komada i drugih spojnog materijala za pogonski tlak 12,5 bara, za montažu na priključku, oknu vodomjera i hidrantima. Raznošenje fazonskih komada duž rova. Montaža prirubnicom brtvenim gumenim prstenom ili klingeritom, uključivo sav brtveni materijal s vijcima, te izolacija spojeva bitumenskim premazom. Stavkom obuhvaćeni kompletni monterski i građevinski radovi, te sav poreban materijal. Obračun se vrši po kompletno izvedenoj montaži fazonskih komada.
Q komad DN20</t>
  </si>
  <si>
    <t>503.030.00190</t>
  </si>
  <si>
    <t>Nabava, doprema i montaža i lijevano željeznih fazonskih komada i drugih spojnog materijala za pogonski tlak 12,5 bara, za montažu na priključku, oknu vodomjera i hidrantima. Raznošenje fazonskih komada duž rova. Montaža prirubnicom brtvenim gumenim prstenom ili klingeritom, uključivo sav brtveni materijal s vijcima, te izolacija spojeva bitumenskim premazom. Stavkom obuhvaćeni kompletni monterski i građevinski radovi, te sav poreban materijal. Obračun se vrši po kompletno izvedenoj montaži fazonskih komada.
FFR komad DN200/DN80</t>
  </si>
  <si>
    <t>503.030.00195</t>
  </si>
  <si>
    <t>Nabava, doprema i montaža i lijevano željeznih fazonskih komada i drugih spojnog materijala za pogonski tlak 12,5 bara, za montažu na priključku, oknu vodomjera i hidrantima. Raznošenje fazonskih komada duž rova. Montaža prirubnicom brtvenim gumenim prstenom ili klingeritom, uključivo sav brtveni materijal s vijcima, te izolacija spojeva bitumenskim premazom. Stavkom obuhvaćeni kompletni monterski i građevinski radovi, te sav poreban materijal. Obračun se vrši po kompletno izvedenoj montaži fazonskih komada.
FFR komad DN80/DN50</t>
  </si>
  <si>
    <t>503.030.00200</t>
  </si>
  <si>
    <t>Nabava, doprema i montaža i lijevano željeznih fazonskih komada i drugih spojnog materijala za pogonski tlak 12,5 bara, za montažu na priključku, oknu vodomjera i hidrantima. Raznošenje fazonskih komada duž rova. Montaža prirubnicom brtvenim gumenim prstenom ili klingeritom, uključivo sav brtveni materijal s vijcima, te izolacija spojeva bitumenskim premazom. Stavkom obuhvaćeni kompletni monterski i građevinski radovi, te sav poreban materijal. Obračun se vrši po kompletno izvedenoj montaži fazonskih komada.
MDK komad DN200</t>
  </si>
  <si>
    <t>503.030.00205</t>
  </si>
  <si>
    <t>Nabava, doprema i montaža i lijevano željeznih fazonskih komada i drugih spojnog materijala za pogonski tlak 12,5 bara, za montažu na priključku, oknu vodomjera i hidrantima. Raznošenje fazonskih komada duž rova. Montaža prirubnicom brtvenim gumenim prstenom ili klingeritom, uključivo sav brtveni materijal s vijcima, te izolacija spojeva bitumenskim premazom. Stavkom obuhvaćeni kompletni monterski i građevinski radovi, te sav poreban materijal. Obračun se vrši po kompletno izvedenoj montaži fazonskih komada.
MDK komad DN50</t>
  </si>
  <si>
    <t>503.030.00215</t>
  </si>
  <si>
    <t>- Zaun</t>
  </si>
  <si>
    <t>Nabava, doprema i montaža i lijevano željeznih fazonskih komada i drugih spojnog materijala za pogonski tlak 12,5 bara, za montažu na priključku, oknu vodomjera i hidrantima. Raznošenje fazonskih komada duž rova. Montaža prirubnicom brtvenim gumenim prstenom ili klingeritom, uključivo sav brtveni materijal s vijcima, te izolacija spojeva bitumenskim premazom. Stavkom obuhvaćeni kompletni monterski i građevinski radovi, te sav poreban materijal. Obračun se vrši po kompletno izvedenoj montaži fazonskih komada.
Zasun DN200</t>
  </si>
  <si>
    <t>503.030.00220</t>
  </si>
  <si>
    <t>Nabava, doprema i montaža i lijevano željeznih fazonskih komada i drugih spojnog materijala za pogonski tlak 12,5 bara, za montažu na priključku, oknu vodomjera i hidrantima. Raznošenje fazonskih komada duž rova. Montaža prirubnicom brtvenim gumenim prstenom ili klingeritom, uključivo sav brtveni materijal s vijcima, te izolacija spojeva bitumenskim premazom. Stavkom obuhvaćeni kompletni monterski i građevinski radovi, te sav poreban materijal. Obračun se vrši po kompletno izvedenoj montaži fazonskih komada.
Zasun DN50</t>
  </si>
  <si>
    <t>503.030.00225</t>
  </si>
  <si>
    <t>- Teleskopsko vreteno sa zaštitnom cijevi</t>
  </si>
  <si>
    <t>Nabava, doprema i montaža teleskopskok vretena sa zaštitnom cijevi. Stavkom obuhvaćeni kompletni monterski i građevinski radovi, te sav poreban materijal. Obračun se vrši po kompletno izvedenoj montaži fazonskih komada.</t>
  </si>
  <si>
    <t>503.030.00230</t>
  </si>
  <si>
    <t>- Hvatač nečistoća</t>
  </si>
  <si>
    <t>Nabava, doprema i montaža hvatača nečistoća Stavkom obuhvaćeni kompletni monterski i građevinski radovi, te sav poreban materijal. Obračun se vrši po kompletno izvedenoj montaži fazonskih komada.
Hvatač nečistoća DN200</t>
  </si>
  <si>
    <t>503.030.00235</t>
  </si>
  <si>
    <t>Nabava, doprema i montaža hvatača nečistoća Stavkom obuhvaćeni kompletni monterski i građevinski radovi, te sav poreban materijal. Obračun se vrši po kompletno izvedenoj montaži fazonskih komada.
Hvatač nečistoća DN50</t>
  </si>
  <si>
    <t>503.030.00240</t>
  </si>
  <si>
    <t>- ZOPT</t>
  </si>
  <si>
    <t>'Nabava, doprema i montaža vodomjera Stavkom obuhvaćeni kompletni monterski i građevinski radovi, te sav poreban materijal. Obračun se vrši po kompletno izvedenoj montaži fazonskih komada.
ZOPT DN200</t>
  </si>
  <si>
    <t>503.030.00245</t>
  </si>
  <si>
    <t>503.030.00250</t>
  </si>
  <si>
    <t>- spojnica</t>
  </si>
  <si>
    <t>'Nabava, doprema i montaža spojnice PEHD cijevi Stavkom obuhvaćeni kompletni monterski i građevinski radovi, te sav poreban materijal. Obračun se vrši po kompletno izvedenoj montaži fazonskih komada.
spojnica DN200</t>
  </si>
  <si>
    <t>503.030.00255</t>
  </si>
  <si>
    <t>'Nabava, doprema i montaža spojnice PEHD cijevi Stavkom obuhvaćeni kompletni monterski i građevinski radovi, te sav poreban materijal. Obračun se vrši po kompletno izvedenoj montaži fazonskih komada.
spojnica DN50</t>
  </si>
  <si>
    <t>503.030.00260</t>
  </si>
  <si>
    <t>Nabava, doprema i montaža vodovodnih ljevano željeznih fazonskih komada i drugog spojnog materijala za pogonski tlak 16 bara, za montažu nadzemnog hidranata.
Raznošenje fazonskih komada duž rova. Montaža prirubnicom brtvenim gumenim prstenom ili klingeritom, uključivo sav brtveni materijal s vijcima, te izolacija spojeva bitumenskim premazom.
Fazonski komadi su od nodularnog ljeva i spajaju se sa PE-HD cijevima preko tipskih spojnica.
nadzemni hidrant NO100 mm (s kuglom)</t>
  </si>
  <si>
    <t>503.030.00265</t>
  </si>
  <si>
    <t>Nabava, doprema i montaža vodovodnih ljevano željeznih fazonskih komada i drugog spojnog materijala za pogonski tlak 16 bara, za montažu nadzemnog hidranata.
Raznošenje fazonskih komada duž rova. Montaža prirubnicom brtvenim gumenim prstenom ili klingeritom, uključivo sav brtveni materijal s vijcima, te izolacija spojeva bitumenskim premazom.
Fazonski komadi su od nodularnog ljeva i spajaju se sa PE-HD cijevima preko tipskih spojnica.
ulična kapa za zasun</t>
  </si>
  <si>
    <t>503.030.00270</t>
  </si>
  <si>
    <t>503.030.00275</t>
  </si>
  <si>
    <t>Nabava, doprema i montaža vodovodnih ljevano željeznih fazonskih komada i drugog spojnog materijala za pogonski tlak 16 bara, za montažu nadzemnog hidranata.
Raznošenje fazonskih komada duž rova. Montaža prirubnicom brtvenim gumenim prstenom ili klingeritom, uključivo sav brtveni materijal s vijcima, te izolacija spojeva bitumenskim premazom.
Fazonski komadi su od nodularnog ljeva i spajaju se sa PE-HD cijevima preko tipskih spojnica.
lučni komad sa stopalom NO100, N90°</t>
  </si>
  <si>
    <t>503.030.00280</t>
  </si>
  <si>
    <t>503.030.00285</t>
  </si>
  <si>
    <t>Nabava, doprema i montaža vodovodnih ljevano željeznih fazonskih komada i drugog spojnog materijala za pogonski tlak 16 bara, za montažu nadzemnog hidranata.
Raznošenje fazonskih komada duž rova. Montaža prirubnicom brtvenim gumenim prstenom ili klingeritom, uključivo sav brtveni materijal s vijcima, te izolacija spojeva bitumenskim premazom.
Fazonski komadi su od nodularnog ljeva i spajaju se sa PE-HD cijevima preko tipskih spojnica.
teleskopsko vreteno sa zaštitnom cijevi</t>
  </si>
  <si>
    <t>503.030.00290</t>
  </si>
  <si>
    <t>Nabava, doprema i montaža vodovodnih ljevano željeznih fazonskih komada i drugog spojnog materijala za pogonski tlak 16 bara, za montažu nadzemnog hidranata.
Raznošenje fazonskih komada duž rova. Montaža prirubnicom brtvenim gumenim prstenom ili klingeritom, uključivo sav brtveni materijal s vijcima, te izolacija spojeva bitumenskim premazom.
Fazonski komadi su od nodularnog ljeva i spajaju se sa PE-HD cijevima preko tipskih spojnica.
spojni komad sa prirubnicama FF NO100, l cca 200mm</t>
  </si>
  <si>
    <t>503.030.00295</t>
  </si>
  <si>
    <t>Nabava, doprema i montaža vodovodnih ljevano željeznih fazonskih komada i drugog spojnog materijala za pogonski tlak 16 bara, za montažu nadzemnog hidranata.
Raznošenje fazonskih komada duž rova. Montaža prirubnicom brtvenim gumenim prstenom ili klingeritom, uključivo sav brtveni materijal s vijcima, te izolacija spojeva bitumenskim premazom.
Fazonski komadi su od nodularnog ljeva i spajaju se sa PE-HD cijevima preko tipskih spojnica.
kugla za pražnjenje</t>
  </si>
  <si>
    <t>503.030.00300</t>
  </si>
  <si>
    <t>Nabava, doprema i montaža vodovodnih ljevano željeznih fazonskih komada i drugog spojnog materijala za pogonski tlak 16 bara, za montažu nadzemnog hidranata.
Raznošenje fazonskih komada duž rova. Montaža prirubnicom brtvenim gumenim prstenom ili klingeritom, uključivo sav brtveni materijal s vijcima, te izolacija spojeva bitumenskim premazom.
Fazonski komadi su od nodularnog ljeva i spajaju se sa PE-HD cijevima preko tipskih spojnica.
T komad 150/100</t>
  </si>
  <si>
    <t>503.030.00305</t>
  </si>
  <si>
    <t>Nabava, doprema i montaža vodovodnih ljevano željeznih fazonskih komada i drugog spojnog materijala za pogonski tlak 16 bara, za montažu nadzemnog hidranata.
Raznošenje fazonskih komada duž rova. Montaža prirubnicom brtvenim gumenim prstenom ili klingeritom, uključivo sav brtveni materijal s vijcima, te izolacija spojeva bitumenskim premazom.
Fazonski komadi su od nodularnog ljeva i spajaju se sa PE-HD cijevima preko tipskih spojnica.
spojnica za PEHD NO 100</t>
  </si>
  <si>
    <t>503.030.00310</t>
  </si>
  <si>
    <t>Nabava, doprema i montaža i lijevano željeznih fazonskih komada i drugih spojnog materijala za pogonski tlak 16 bara, za montažu na priključku, oknu vodomjera i hidrantima. Raznošenje fazonskih komada duž rova. Montaža prirubnicom brtvenim gumenim prstenom ili klingeritom, uključivo sav brtveni materijal s vijcima, te izolacija spojeva bitumenskim premazom. Stavkom obuhvaćeni kompletni monterski i građevinski radovi, te sav poreban materijal. Obračun se vrši po kompletno izvedenoj montaži fazonskih komada.
Zasun DN100</t>
  </si>
  <si>
    <t>503.040</t>
  </si>
  <si>
    <t>Prljava voda cijevne mreže</t>
  </si>
  <si>
    <t>503.040.00100</t>
  </si>
  <si>
    <t>Kanalizacijske cijevi, DN 32</t>
  </si>
  <si>
    <t>Odvodne cijevi, DN 32
kao zvučno izolirani odvodni sustav kuće za odvodne sustave prema DIN EN 12056 i DIN
1986-100, unutar zgrada, s PP spojnom cijevi pojačanom mineralnim vlaknima od bezhalogene plastike, s oblikovanom utičnom spojnicom i gotovim brtvenim prstenom koji se postavlja na gradilištu.
Otporne na vruću vodu: do 97 °C,
razina zvuka prilikom instalacije (prema EN 14366):
=22 dB (A) za 4 l/s, s potvrdom o zvučnoj izolaciji
Zapaljivost: Razred B2, s općenitim odobrenjem od strane građevinskog nadzora,
kompatibilne s HT oblikovanim elementima bez uporabe dodatnih prijelaznih elemenata.
Dužina: sve dužine
uklj. oblikovane i spojne elemente,
sigurnosne obujmice i brtveni materijal uklj.
pričvršćenja za cijevi, s izolacijom protiv vibracija u tijelu, s prikladnim
tiplama koje su odobrene od strane građevinskog nadzora.
Referentni proizvod: REHAU / Raupiano Plus, DN 32
ili istovjetni proizvod,
ponuđeni proizvod/tip:
.......................................................
........................
(ispunjava ponuđač)
isporučiti i montirati</t>
  </si>
  <si>
    <t>503.040.00105</t>
  </si>
  <si>
    <t>Kanalizacijske cijevi, DN 40</t>
  </si>
  <si>
    <t>Odvodne cijevi, DN 40
kao zvučno izolirani odvodni sustav kuće za odvodne sustave prema DIN EN 12056 i DIN
1986-100, unutar zgrada, s PP spojnom cijevi pojačanom mineralnim vlaknima od bezhalogene plastike, s oblikovanom utičnom spojnicom i gotovim brtvenim prstenom koji se postavlja na gradilištu.
Otporne na vruću vodu: do 97 °C,
razina zvuka prilikom instalacije (prema EN 14366):
=22 dB (A) za 4 l/s, s potvrdom o zvučnoj izolaciji
Zapaljivost: Razred B2, s općenitim odobrenjem od strane građevinskog nadzora,
kompatibilne s HT oblikovanim elementima bez uporabe dodatnih prijelaznih elemenata.
Dužina: sve dužine
uklj. oblikovane i spojne elemente,
sigurnosne obujmice i brtveni materijal uklj.
pričvršćenja za cijevi, s izolacijom protiv vibracija u tijelu, s prikladnim
tiplama koje su odobrene od strane građevinskog nadzora.
Referentni proizvod: REHAU / Raupiano Plus, DN 40
ili istovjetni proizvod,
ponuđeni proizvod/tip:
.......................................................
........................
(ispunjava ponuđač)
isporučiti i montirati</t>
  </si>
  <si>
    <t>503.040.00110</t>
  </si>
  <si>
    <t>Kanalizacijske cijevi, DN 50</t>
  </si>
  <si>
    <t>Odvodne cijevi, DN 50
kao zvučno izolirani odvodni sustav kuće za odvodne sustave prema DIN EN 12056 i DIN
1986-100, unutar zgrada, s PP spojnom cijevi pojačanom mineralnim vlaknima od bezhalogene plastike, s oblikovanom utičnom spojnicom i gotovim brtvenim prstenom koji se postavlja na gradilištu.
Otporne na vruću vodu: do 97 °C,
razina zvuka prilikom instalacije (prema EN 14366):
=22 dB (A) za 4 l/s, s potvrdom o zvučnoj izolaciji
Zapaljivost: Razred B2, s općenitim odobrenjem od strane građevinskog nadzora,
kompatibilne s HT oblikovanim elementima bez uporabe dodatnih prijelaznih elemenata.
Dužina: sve dužine
uklj. oblikovane i spojne elemente,
sigurnosne obujmice i brtveni materijal uklj.
pričvršćenja za cijevi, s izolacijom protiv vibracija u tijelu, s prikladnim
tiplama koje su odobrene od strane građevinskog nadzora.
Referentni proizvod: REHAU / Raupiano Plus, DN 50
ili istovjetni proizvod,
ponuđeni proizvod/tip:
.......................................................
........................
(ispunjava ponuđač)
isporučiti i montirati</t>
  </si>
  <si>
    <t>503.040.00115</t>
  </si>
  <si>
    <t>Kanalizacijske cijevi, DN 75</t>
  </si>
  <si>
    <t>Odvodne cijevi, DN 75
kao zvučno izolirani odvodni sustav kuće za odvodne sustave prema DIN EN 12056 i DIN
1986-100, unutar zgrada, s PP spojnom cijevi pojačanom mineralnim vlaknima od bezhalogene plastike, s oblikovanom utičnom spojnicom i gotovim brtvenim prstenom koji se postavlja na gradilištu.
Otporne na vruću vodu: do 97 °C,
razina zvuka prilikom instalacije (prema EN 14366):
=22 dB (A) za 4 l/s, s potvrdom o zvučnoj izolaciji
Zapaljivost: Razred B2, s općenitim odobrenjem od strane građevinskog nadzora,
kompatibilne s HT oblikovanim elementima bez uporabe dodatnih prijelaznih elemenata.
Dužina: sve dužine
uklj. oblikovane i spojne elemente,
sigurnosne obujmice i brtveni materijal uklj.
pričvršćenja za cijevi, s izolacijom protiv vibracija u tijelu, s prikladnim
tiplama koje su odobrene od strane građevinskog nadzora.
Referentni proizvod: REHAU / Raupiano Plus, DN 75
ili istovjetni proizvod,
ponuđeni proizvod/tip:
.......................................................
........................
(ispunjava ponuđač)
isporučiti i montirati</t>
  </si>
  <si>
    <t>503.040.00120</t>
  </si>
  <si>
    <t>Kanalizacijske cijevi, DN 110</t>
  </si>
  <si>
    <t>Odvodne cijevi, DN 110
kao zvučno izolirani odvodni sustav kuće za odvodne sustave prema DIN EN 12056 i DIN
1986-100, unutar zgrada, s PP spojnom cijevi pojačanom mineralnim vlaknima od bezhalogene plastike, s oblikovanom utičnom spojnicom i gotovim brtvenim prstenom koji se postavlja na gradilištu.
Otporne na vruću vodu: do 97 °C,
razina zvuka prilikom instalacije (prema EN 14366):
=22 dB (A) za 4 l/s, s potvrdom o zvučnoj izolaciji
Zapaljivost: Razred B2, s općenitim odobrenjem od strane građevinskog nadzora,
kompatibilne s HT oblikovanim elementima bez uporabe dodatnih prijelaznih elemenata.
Dužina: sve dužine
uklj. oblikovane i spojne elemente,
sigurnosne obujmice i brtveni materijal uklj.
pričvršćenja za cijevi, s izolacijom protiv vibracija u tijelu, s prikladnim
tiplama koje su odobrene od strane građevinskog nadzora.
Referentni proizvod: REHAU / Raupiano Plus, DN 110
ili istovjetni proizvod,
ponuđeni proizvod/tip:
.......................................................
........................
(ispunjava ponuđač)
isporučiti i montirati</t>
  </si>
  <si>
    <t>503.040.00125</t>
  </si>
  <si>
    <t>- Podni odvod od lijevanog željeza, DN 100, s rešetkom</t>
  </si>
  <si>
    <t>Nabava, doprema i montaža podnog slivnik od lijevanog željeza, izljev DN 100 vertiklani, s bijelim premazom na epoxy bazi, ispitanim prema
DIN EN 1253, Razred negorivosti materijala A1, nezapaljiv prema AbZ.Z-19.17-2144
s integriranom zvučnom izolacijom prema VDI 4100:2012, SST III = 22 dB(A),
Sa prirubnicom za uklještenje h.i. i otvorima za sekundarno dreniranje, zaštitnim poklopcem za vrijeme ugradnje i priključkom za uzemljenje, sa sifonom od plastike, u dva dijela s mogućnosti rastavljanja i čišćenja.
Gornji dio slivnika ,s okvirom od nehrđajućeg čelika 150 x 150 mm,
s mrežastom rešetkom od nehrđajućeg čelika dimenzije 142x142mm, bez mogućnosti zaključavanja Razred opterećenja L15, promjer izljeva 125 mm,sa tvornički spojenim platnom za spoj na plitke h.i. premaze.
Stavka uključuje i sito za nečistoće od nehrđajućeg čelika, materijal 1.4301
za promjer sita 180 mm, sa širinom proreza od 6 mm
Referentni proizvod: ACO PASSAVANT / Br. artikla.
5571.60.20
5128.10.55, 5141.97.22 i 7000.03.19
ili istovjetni proizvod,
ponuđeni proizvod/tip:
.......................................................
........................
(ispunjava ponuđač)</t>
  </si>
  <si>
    <t>503.040.00130</t>
  </si>
  <si>
    <t>- Podni odvod izrađen od nehrđajućeg čelika, DN 100, s rešetkom</t>
  </si>
  <si>
    <t>Donji dio slivnika ACO INOX 218 donjeg izljevnog dijela industrijskog slivnika izrađenog prema HRN EN 1253, s izvadivim zaporom za miris (sifonom), promjera tijela 218 mm, visine 170 mm i vertiklanim odvodom DN 100. Promjer prirubnice za uklještenje hidroizolacije 418 mm. Sve izrađeno iz nehrđajućeg čelika AISI 304 sa gumenim brtvenim prstenom. Minimalni protok slivnika 6,2 l/Sek prema HRN EN 1253-1, Higijenski dizajn prema EN1672, EN ISO 14159 i EHEDG dokument strana 8,13 i 44
ACO INOX 218 dosjeda za rešetku 268x268 mm industrijskog slivnika, izrađenog iz nehrđajućeg čelika AISI 304 prema HRN EN 1253. Okvir dimenzija 300x300 mm, ukupne visine 104 mm sa Extended rubom za prihvat plitke hidroizolacije ispod keramike. Promjer izljeva Ø200 za spoj na donji dio ACO INOX 218 industrijskog slivnika.
ACO INOX 218 protuklizne prečkaste rešetke 268x268 mm za industrijske slivnike, izrađene iz nehrđajućeg čelika AISI 304 prema HRN EN 1253. Visina rešetke 25 mm. Rešetka izvedena prema EHEDG higijenskim standardima sa zaobljenim rubovima i punim uzdužnim varom na svim prečkama. Zaštitna obrada materijala pikopasiviziranjem radi otpornosti na koroziju. Rešetka nosivosti M125 prema HRN EN 1253-1
ACO INOX 218 sito za nečistoće iz nehrđajućeg čelika AISI 304 prema HRN EN 1253. Promjer sita 222 mm, visina 50 mm, za vertiklani izljev.
Referentni proizvod: ACO PASSAVANT
Br. artikla 408065, 408243, 408037
i 416908
ili istovjetni proizvod,
ponuđeni proizvod/tip:
.......................................................
........................
(ispunjava ponuđač)</t>
  </si>
  <si>
    <t>503.040.00135</t>
  </si>
  <si>
    <t>- Podni odvod od lijevanog željeza, DN 100 s kantom</t>
  </si>
  <si>
    <t>Donji dio ACO INOX industrijskog slivnika TIP 142 , izrađenog prema EN 1253 iz nehrđajućeg čelika 1.4301, sa vertikalnim izljevom DN100, sa izvadivim higijenskim zaporom za miris (sifonom), promjera tijela 142 mm, sa prirubnicom za uklještenje hidroizolacije promjera 344 mm. Sve izrađeno iz nehrđajućeg čelika AISI 304 sa gumenim brtvenim prstenom. Minimalni protok slivnika 1,6 l/Sek prema HRN EN 1253-1, Higijenski dizajn prema EN1672, EN ISO 14159 i EHEDG dokument strana 8,13 i 44
ACO Hygienic 142 dosjeda za rešetku 168x168 mm industrijskog slivnika, izrađenog iz nehrđajućeg čelika AISI 304 prema HRN EN 1253. Okvir dimenzija 200x200 mm, ukupne visine 99 mm. Promjer izljeva Ø125 za spoj na donji dio ACO INOX 142 industrijskog slivnika.
Dosjed higijenskog dizajna izrađen tehnologijom dubokog vučenja sa svim kutevima u radijusu radi lakšeg čišćenja i održavanja, prema EHEDG i HACCP standardima.
ACO INOX 142 protuklizne mrežaste rešetke 168x168 mm za industrijske slivnike, izrađene iz elektropoliranog nehrđajućeg čelika AISI 304 prema HRN EN 1253. Visina rešetke 25 mm. Nosivost L15.
ACO INOX 142 sito za nečistoće iz nehrđajućeg čelika AISI 304 prema HRN EN 1253. Promjer sita 142mm, visina 45 mm, za vertiklani izljev.
Referentni proizvod: ACO PASSAVANT
Br. artikla 414718, 414832, 408090
i 416900
ili istovjetni proizvod,
ponuđeni proizvod/tip:
.......................................................
........................
(ispunjava ponuđač)</t>
  </si>
  <si>
    <t>503.040.00140</t>
  </si>
  <si>
    <t>- Podni slivnik od nehrđajućeg čelika 800x800</t>
  </si>
  <si>
    <t>Donji dio slivnika ACO INOX 218 donjeg izljevnog dijela industrijskog slivnika izrađenog prema HRN EN 1253, s izvadivim zaporom za miris (sifonom), promjera tijela 218 mm, visine 170 mm i vertiklanim odvodom DN 100. Promjer prirubnice za uklještenje hidroizolacije 418 mm. Sve izrađeno iz nehrđajućeg čelika AISI 304 sa gumenim brtvenim prstenom. Minimalni protok slivnika 6,2 l/Sek prema HRN EN 1253-1, Higijenski dizajn prema EN1672, EN ISO 14159 i EHEDG dokument strana 8,13 i 44
ACO kanala za odvodnju kuhinje u higijenskoj izvedbi dimenzije 800x830mm. Dubine na izljevu 80mm. Tijelo kanala iz nehrđajućeg čelika AISI 304 dodatno zaštićen postupkom piko-pasivizacije. Svi spojevi izrađeni sa radijusom većim od 3 mm prema higijenskom dizajnu HRN EN 14159 te EHEDG standardima za prehrambenu industriju, radi lakšeg čišćenja i održavanja. Tijelo izvedeno sa padom prema sredini i izljevom Ø 200 mm za spoj na podni slivnik 218..
ACO INOX 218 protuklizne mrežaste rešetke 768x398 mm za industrijske slivnike, izrađene iz elektropoliranog nehrđajućeg čelika AISI 304 prema HRN EN 1253. Visina rešetke 30 mm. Nosivost L15. Razred protukliznosti R11
ACO INOX 218 sito za nečistoće iz nehrđajućeg čelika AISI 304 prema HRN EN 1253. Promjer sita 222 mm, visina 50 mm, za vertiklani izljev.
Referentni proizvod: ACO PASSAVANT
Br. artikla 408065, 416672, 416878
i 416908
ili istovjetni proizvod,
ponuđeni proizvod/tip:
.......................................................
........................
(ispunjava ponuđač)</t>
  </si>
  <si>
    <t>503.040.00145</t>
  </si>
  <si>
    <t>Spajanje sudopera koje isporučuje kupac</t>
  </si>
  <si>
    <t>Priključak isporučenog kombiniranog korita odnosno dvostrukog korita na mrežu otpadne vode, uključujući sve potrebne materijale, uključujući izradu otvora za mješalicu slavine.</t>
  </si>
  <si>
    <t>503.040.00150</t>
  </si>
  <si>
    <t>Priključak na pećnicu u pekarnici</t>
  </si>
  <si>
    <t>Priključak pećnice u pekarnici na mrežu otpadne vode, s HT cijevi DN 50 (3 x 1,00 m)
kao slobodni izljev preko podnog odvoda uključujući lukove (6 komada), uključujući sve potrebne sitne dijelove i dijelove za pričvršćivanje.</t>
  </si>
  <si>
    <t>503.050</t>
  </si>
  <si>
    <t>Mreža cijevi za kišnicu</t>
  </si>
  <si>
    <t>503.050.00100</t>
  </si>
  <si>
    <t>- Podtlačni sustava odvodnje oborinskih krovnih voda</t>
  </si>
  <si>
    <t>Dobava i montaža podtlačnog sustava odvodnje oborinskih krovnih voda kao: ACO JET. Hidraulički proračun prema HRN EN 12056-3 i DIN 1986-100/VDI 3806), vodolovna grla prema (HRN EN 1253-1:2003-09 i HRN EN 1253-2: 2004-03),
Sve prema izvedbenim shemama, uputama i nadzoru proizvođača. Sva dokumentacija mora biti prema važećoj zakonskoj regulativi RH
Rješenje proizvođača oznake ACO.
Podtlačni sustav sastoji se od:
- ACO JET uljevni element s horizontalnim priključkom DN 70 izveden od inoxa AISI 304, univerzalnom prirubnicom za spoj na TPO, PVC ili bitumensku hidroizolacijsku foliju, zaštitnom košarom i izolacijskim elementom, zajedno sa izolacijskim tijelom protiv kondenzacije;
- ACO grijač 230V/25W sa termostatom;
- ACO GMX PIPE prema DIN-EN 1123 cjevovod sa svim potrebnim fazonskim komadima i spojnim priborom; specifikacijom proizvođača obuhvaćeno tm trase od DN70 i DN100 klasa negorivosti materijala A1, pocinčani čelik, spajanje na utični kolčak, u ponudi su i dodatne obujmice na spojevima.
- dobave kompletne tehničke i atestne dokumentacije za ACO JET podtlačni sistem odvodnje krovnih oborinskih voda.
Obračun se vrši po kompletu ACO JET podtlačni sistem odvodnje krovnih oborinskih voda.</t>
  </si>
  <si>
    <t>503.060</t>
  </si>
  <si>
    <t>Izolacije linijske mreže</t>
  </si>
  <si>
    <t>503.060.00100</t>
  </si>
  <si>
    <t>Toplinska izolacija DN 12, topla voda</t>
  </si>
  <si>
    <t>Toplinska izolacija na cjevovodima za toplu pitku vodu,
Izolacija od fizički umrežene polietilenske pjene sa zatvorenom strukturom, pojačana dodatnom folijom od mrežne tkanine otporne na trganje, s čvorovima na mjestima križanja, za sve materijale cijevi, za postavljenje u izbočeni zid i zidne proreze najvažnija svojstva proizvoda:
lambda vrijednost 0,036 W/(m*K) na 40 °C
robusna površina, otporna na trganje
CE oznaka prema EN 14313 za cjelokupno
europsko tržište
Razred materijala: B2
Razred materijala prema DIN EN 13501-1: EL
Toplinska vodljivost: l40°C = 0,036 W/(m×K)
Difuzijska otpornost na vodenu paru: m ³ 5200
Temperaturna otpornost (trajno): od 80 °C do
+100 °C
Isporučena dužina: 2 m / zatvoreno crijevo
debljina izolacijskog sloja: 11 mm
Vanjski promjer cijevi: da = 15 mm (DN 12)
Referentni proizvod: Missel / VS 10-15
Br. artikla 104-1015
ili istovjetni proizvod,
ponuđeni proizvod/tip:
.......................................................
........................
(ispunjava ponuđač)</t>
  </si>
  <si>
    <t>503.060.00105</t>
  </si>
  <si>
    <t>Toplinska izolacija DN 15, topla voda</t>
  </si>
  <si>
    <t>Toplinska izolacija na cjevovodima za toplu pitku vodu,
Izolacija od fizički umrežene polietilenske pjene sa zatvorenom strukturom, pojačana
dodatnom folijom od mrežne tkanine otporne na trganje, s čvorovima na mjestima križanja, za sve materijale cijevi, za postavljenje u izbočeni zid i zidne proreze najvažnija svojstva proizvoda:
lambda vrijednost 0,036 W/(m*K) na 40 °C
CE oznaka prema EN 14313 za cjelokupno
europsko tržište
Razred materijala: B2
Razred materijala prema DIN EN 13501-1: EL
Toplinska vodljivost: l40°C = 0,036 W/(m×K)
Difuzijska otpornost na vodenu paru: m ³ 5200
Temperaturna otpornost (trajno): od 80 °C do
+100 °C
Isporučena dužina: 2 m / zatvoreno crijevo
debljina izolacijskog sloja: 11 mm
Vanjski promjer cijevi: da = 18 mm (DN 15)
Referentni proizvod: Missel / VS 10-18
Br. artikla 104-1018
ili istovjetni proizvod,
ponuđeni proizvod/tip:
.......................................................
........................
(ispunjava ponuđač)</t>
  </si>
  <si>
    <t>503.060.00110</t>
  </si>
  <si>
    <t>Toplinska izolacija DN 20, topla voda</t>
  </si>
  <si>
    <t>Toplinska izolacija na cjevovodima za toplu pitku vodu,
Izolacija od fizički umrežene polietilenske pjene sa zatvorenom strukturom, pojačana dodatnom folijom od mrežne tkanine otporne na trganje, s čvorovima na mjestima križanja, za sve materijale cijevi, za postavljenje u izbočeni zid i zidne proreze najvažnija svojstva proizvoda:
lambda vrijednost 0,036 W/(m*K) na 40 °C
CE oznaka prema EN 14313 za cjelokupno
europsko tržište
Razred materijala: B2
Razred materijala prema DIN EN 13501-1: EL
Toplinska vodljivost: l40°C = 0,036 W/(m×K)
Difuzijska otpornost na vodenu paru: m ³ 5200
Temperaturna otpornost (trajno): od 80 °C do
+100 °C
Isporučena dužina: 2 m / zatvoreno crijevo
debljina izolacijskog sloja: 11 mm
Vanjski promjer cijevi: da = 22 mm (DN 20)
Referentni proizvod: Missel / VS 10-22
Br. artikla 104-1022
ili istovjetni proizvod,
ponuđeni proizvod/tip:
.......................................................
........................
(ispunjava ponuđač)</t>
  </si>
  <si>
    <t>503.060.00115</t>
  </si>
  <si>
    <t>Toplinska izolacija DN 25, topla voda</t>
  </si>
  <si>
    <t>Toplinska izolacija na cjevovodima za toplu pitku vodu,
Izolacija od fizički umrežene polietilenske pjene sa zatvorenom strukturom, pojačana dodatnom folijom od mrežne tkanine otporne na trganje, s čvorovima na mjestima križanja, za sve materijale cijevi, za postavljenje u izbočeni zid i zidne proreze najvažnija svojstva proizvoda:
lambda vrijednost 0,036 W/(m*K) na 40 °C
CE oznaka prema EN 14313 za cjelokupno
europsko tržište
Razred materijala: B2
Razred materijala prema DIN EN 13501-1: EL
Toplinska vodljivost: l40°C = 0,036 W/(m×K)
Difuzijska otpornost na vodenu paru: m ³ 5200
Temperaturna otpornost (trajno): od 80 °C do
+100 °C
Isporučena dužina: 2 m / zatvoreno crijevo
debljina izolacijskog sloja: 11 mm
Vanjski promjer cijevi: da = 28 mm (DN 25)
Referentni proizvod: Missel / VS 15-28
Br. artikla 104-1528
ili istovjetni proizvod,
ponuđeni proizvod/tip:
.......................................................
........................
(ispunjava ponuđač)</t>
  </si>
  <si>
    <t>503.060.00120</t>
  </si>
  <si>
    <t>Toplinska izolacija DN 12, hladna voda</t>
  </si>
  <si>
    <t>Toplinska izolacija na cjevovodima za toplu pitku vodu,
Izolacija od fizički umrežene polietilenske pjene sa zatvorenom strukturom, pojačana dodatnom folijom od mrežne tkanine otporne na trganje, s čvorovima na mjestima križanja, za sve materijale cijevi, za postavljenje u izbočeni zid i zidne proreze najvažnija svojstva proizvoda:
Lambda vrijednost 0,033 W/(m*K) na 10 °C
CE oznaka prema EN 14313 za cjelokupno
europsko tržište
Razred materijala: B2
Razred materijala prema DIN EN 13501-1: EL
Toplinska vodljivost: l10°C = 0,033 W/(m×K)
Difuzijska otpornost na vodenu paru: m ³ 5200
Temperaturna otpornost (trajno): od 80 °C do
+100 °C
Isporučena dužina: 2m
debljina izolacijskog sloja: 9 mm
Vanjski promjer cijevi: da = 15 mm (DN 12)
Referentni proizvod: Missel / VS 9-15
Br. artikla 104-0915
ili istovjetni proizvod,
ponuđeni proizvod/tip:
.......................................................
........................
(ispunjava ponuđač)</t>
  </si>
  <si>
    <t>503.060.00125</t>
  </si>
  <si>
    <t>Toplinska izolacija DN 15, hladna voda</t>
  </si>
  <si>
    <t>Toplinska izolacija na cjevovodima za toplu pitku vodu,
Izolacija od fizički umrežene polietilenske pjene sa zatvorenom strukturom, pojačana dodatnom folijom od mrežne tkanine otporne na trganje, s čvorovima na mjestima križanja, za sve materijale cijevi, za postavljenje u izbočeni zid i zidne proreze najvažnija svojstva proizvoda:
Lambda vrijednost 0,033 W/(m*K) na 10 °C
CE oznaka prema EN 14313 za cjelokupno
europsko tržište
Razred materijala: B2
Razred materijala prema DIN EN 13501-1: EL
Toplinska vodljivost: l10°C = 0,033 W/(m×K)
Difuzijska otpornost na vodenu paru: m ³ 5200
Temperaturna otpornost (trajno): od 80 °C do
+100 °C
Isporučena dužina: 2m
debljina izolacijskog sloja: 9 mm
Vanjski promjer cijevi: da = 18 mm (DN 15)
Referentni proizvod: Missel / VS 9-18
Br. artikla 104-0918
ili istovjetni proizvod,
ponuđeni proizvod/tip:
.......................................................
........................
(ispunjava ponuđač)</t>
  </si>
  <si>
    <t>503.060.00130</t>
  </si>
  <si>
    <t>Toplinska izolacija DN 20, hladna voda</t>
  </si>
  <si>
    <t>Toplinska izolacija na cjevovodima za toplu pitku vodu,
Izolacija od fizički umrežene polietilenske pjene sa zatvorenom strukturom, pojačana dodatnom folijom od mrežne tkanine otporne na trganje, s čvorovima na mjestima križanja, za sve materijale cijevi, za postavljenje u izbočeni zid i zidne proreze najvažnija svojstva proizvoda:
Lambda vrijednost 0,033 W/(m*K) na 10 °C
CE oznaka prema EN 14313 za cjelokupno
europsko tržište
Razred materijala: B2
Razred materijala prema DIN EN 13501-1: EL
Toplinska vodljivost: l10°C = 0,033 W/(m×K)
Difuzijska otpornost na vodenu paru: m ³ 5200
Temperaturna otpornost (trajno): od 80 °C do
+100 °C
Isporučena dužina: 2m
debljina izolacijskog sloja: 9 mm
Vanjski promjer cijevi: da = 22 mm (DN 20)
Referentni proizvod: Missel / VS 9-22
Br. artikla 104-0922
ili istovjetni proizvod,
ponuđeni proizvod/tip:
.......................................................
........................
(ispunjava ponuđač)</t>
  </si>
  <si>
    <t>503.060.00135</t>
  </si>
  <si>
    <t>Toplinska izolacija DN 25, hladna voda</t>
  </si>
  <si>
    <t>Toplinska izolacija na cjevovodima za hladnu pitku vodu,
Izolacija od fizički
umrežene polietilenske pjene sa zatvorenom strukturom, pojačana
dodatnom folijom od mrežne tkanine otporne na trganje,
s čvorovima na mjestima križanja, za sve materijale cijevi,
za postavljenje u izbočeni zid i zidne proreze
najvažnija svojstva proizvoda:
Lambda vrijednost 0,033 W/(m*K) na 10 °C
CE oznaka prema EN 14313 za cjelokupno
europsko tržište
Razred materijala: B2
Razred materijala prema DIN EN 13501-1: EL
Toplinska vodljivost: l10°C = 0,033 W/(m×K)
Difuzijska otpornost na vodenu paru: m ³ 5200
Temperaturna otpornost (trajno): od 80 °C do
+100 °C
Isporučena dužina: 2m
debljina izolacijskog sloja: 9 mm
Vanjski promjer cijevi: da = 28 mm (DN 25)
Referentni proizvod: Missel / VS 9-28
Br. artikla 104-0928
ili istovjetni proizvod,
ponuđeni proizvod/tip:
.......................................................
........................
(ispunjava ponuđač)</t>
  </si>
  <si>
    <t>503.060.00140</t>
  </si>
  <si>
    <t>Toplinska izolacija 35 mm mineralnih vlakana</t>
  </si>
  <si>
    <t>Toplinska izolacija na cjevovodima,
temperatura medija '+ 10 °C do + 70 °C',
okolišna temperatura '+ 20 °C',
izolacija od nezapaljivih materijala
Razred materijala A,
u zgradama,
visina cijevi iznad tla ‘do ........ m',
vanjski promjer cijevi do 35,0 mm,
cijev od 'nehrđajućeg čelika
uključujući sve dodatke (lukove, spojnice, grane,
nastavke, itd.)'.
Izolacija se sastoji od:
Strunjača od mineralnih vlakana,
toplinske vodljivosti '
.......................................................
...............
(ispunjava ponuđač)',
s prevlakom od aluminijske folije,
zavezati trakom,
uzdužne i okrugle niti zalijepiti trakom,
širina 'prema potrebi',
Proizvod '
.......................................................
............
(ispunjava ponuđač)',
Teško zapaljivo ljepilo,
Izolacijski sloj 'otporan na difuziju',
Izolacijski sloj debljine 30 mm.</t>
  </si>
  <si>
    <t>503.060.00145</t>
  </si>
  <si>
    <t>Toplinska izolacija 42 mm mineralna vlakna</t>
  </si>
  <si>
    <t>Toplinska izolacija na cjevovodima,
temperatura medija '+ 10 °C do + 70 °C',
okolišna temperatura '+ 20 °C',
izolacija od nezapaljivih materijala
Razred materijala A,
u zgradama,
visina cijevi iznad tla ‘do ........ m',
vanjski promjer cijevi do 42,0 mm,
cijev od 'nehrđajućeg čelika
uključujući sve dodatke (lukove, spojnice, grane,
nastavke, itd.)'.
Izolacija se sastoji od:
Strunjača od mineralnih vlakana,
toplinske vodljivosti '
.......................................................
...............
(ispunjava ponuđač)',
s prevlakom od aluminijske folije,
zavezati trakom,
uzdužne i okrugle niti zalijepiti trakom,
širina 'prema potrebi',
Proizvod '
.......................................................
............
(ispunjava ponuđač)',
Teško zapaljivo ljepilo,
Izolacijski sloj 'otporan na difuziju',
Izolacijski sloj debljine 30 mm.</t>
  </si>
  <si>
    <t>503.070</t>
  </si>
  <si>
    <t>503.080</t>
  </si>
  <si>
    <t>Ostale usluge</t>
  </si>
  <si>
    <t>503.090</t>
  </si>
  <si>
    <t>503.090.00100</t>
  </si>
  <si>
    <t>Upute za rad i održavanje</t>
  </si>
  <si>
    <t>Tehnička dokumentacija
Svi primopredajni i revizijski dokumenti se elektroničkim putem
(bez papira) u odgovarajućem formatu trebaju
predati, odnosno skenirani poslati (npr. primopredajni izvještaji).
Revizijski planovi se kao plot datoteke i DWG datoteke
trebaju predati sukladno Kauflandovoj CAD smjernici.
Kod važnih dokumenata kao što su službene primopredaje,
primopredaje protupožarnih sustava kao i potvrde službenika
ili instituta za ispitivanja, s originalnim potpisima,
signaturama ili pečatima, Kauflandu se treba predati jedan
dodatni primjerak u papirnatom obliku
.
Svi dokumenti,
potvrde i planovi u papirnatom obliku, trebaju se predati u DIN
A4 fasciklama koje se označene brojčanom oznakom
u skladu sa zadanom strukturom.
Dokumenti koji se trebaju objaviti na oglasnoj ploči kao i knjige ispitivanja
za tehnička postrojenja, koja su predmet opetovane provjere i
koja moraju biti dostupna u zgradi,
također se u papirnatom obliku trebaju
predati Kauflandu.
Za predaju primopredajnih i revizijskih dokumenata
smije se koristiti isključivo elektronički sustav "cFolders"
. Odgovarajući primopredajni izvještaji ili
potvrde s potpisima, signaturama ili
pečatima trebaju se skenirati i također elektronički predati
pomoću "cFolders“ sučelja.
Arhitekt odnosno planer koji je odgovoran za nadzor gradilišta
provjerene i predane
primopredajne i revizijske
dokumente u odgovarajućem formatu i
sljedećoj strukturi postavlja
na "cFolders“ platformu.
Potrebna struktura datoteka može se iščitati iz aktualne
KaBa-e.
Gotove sheme postrojenja u ispravnoj veličini
(minimalno A3), laminirane, postaviti na prikladno mjesto
na centrali.
Potrebna je dodatna obuka osoblja
nakon ca. 2 do 3 mjeseca.</t>
  </si>
  <si>
    <t>503.090.00105</t>
  </si>
  <si>
    <t>Ispiranje gore navedenih odvoda otpadnih voda</t>
  </si>
  <si>
    <t>Ispiranje gore navedenih odvodnih cijevi i
cijevi za masnu vodu
(u nekoliko dijelova) uključujući
ispitivanje nepropusnosti i protokol.</t>
  </si>
  <si>
    <t>503.090.00110</t>
  </si>
  <si>
    <t>Isperite izbočene cijevi za kišnicu</t>
  </si>
  <si>
    <t>Ispiranje gore navedenih cijevi za kišnicu
(u nekoliko dijelova)
uključujući ispitivanje nepropusnosti i protokol.</t>
  </si>
  <si>
    <t>503.090.00115</t>
  </si>
  <si>
    <t>Uspostavite električnu vezu</t>
  </si>
  <si>
    <t>Stručna izrada električnih
priključaka za sve cirkulacijske crpke,
sustave za podizanje, dodatna grijanja, spremnike tople vode,
protočne bojlere, upravljačke jedinice pisoara, bezdodirne
miješalice itd.
kao i stručno puštanje u rad u
dogovoru s električarom na terenu.</t>
  </si>
  <si>
    <t>503.090.00120</t>
  </si>
  <si>
    <t>- Ispitivanje tlakom</t>
  </si>
  <si>
    <t>Tlačno ispitivanje cijevne mreže nakon montaže cjevovoda na ispitni tlak od 15 bara prema propisima DIN-a 4279. Ispitivanje provesti prema uputstvima nadležnog distributera vode i tehničkim uvjetima ovog projekta. Ispitivanje se vrši uz prisustvo nadzornog inženjera. O tlačnom ispitivanju voditi zapisnik sa potpisom vršioca ispitivanja, nadzornog inženjera i odgovornih osoba. Rezultat tlačnog ispitivanja obvezno evidentirati u građevinski dnevnik. U stavku je uključena dobava pumpe i mjernog uređaja kao i ostalog potrebnog pribora za provedbu tlačne probe.</t>
  </si>
  <si>
    <t>503.090.00125</t>
  </si>
  <si>
    <t>Dezinficirati i isprati</t>
  </si>
  <si>
    <t>Dezinfekcija i naknadno ispiranje cjevovoda za pitku vodu, prema DIN 1988 i DVGW W 291, vodom, puštanje u rad po pojedinim odsjecima, za sve i u nekoliko dijelova,
DN cijevi = sve dimenzije = paušalno.</t>
  </si>
  <si>
    <t>503.090.00130</t>
  </si>
  <si>
    <t>- Ispitivanje kanala na vodonepropusnost i funkcionalnost</t>
  </si>
  <si>
    <t>Provjera ispravnosti gotovog kanala i ispitivanje kanala i revizijskih okana na vodonepropusnost prema HRN EN 1610:2015 i drugim važećim propisima, uz ishođenje atesta za tehnički pregled i primopredaju s izradom izvješća o ispitivanju.
Ispitivanje se vrši na djelomično zatrpanom kanalu - spojevi moraju biti slobodni i vidljivi. Ispitivanje vrši osoba (laboratorij) ovlaštena prema normi HRN EN ISO/IEC 17025:2007.
Stavka uključuje sav upotrijebljeni materijal, opremu i rad ovlaštene osobe.
Obračun po m' ispitanog izvedenog kanala s oknima.</t>
  </si>
  <si>
    <t>503.090.00135</t>
  </si>
  <si>
    <t>- Mehaničko čišćenje kanala, revizijskih okana i priključaka</t>
  </si>
  <si>
    <t>Mehaničko čišćenje kanala, revizijskih okana i priključaka prije ispitivanja vodonepropusnosti i kao priprema za CCTV inspekciju. Ispiranje prethodi snimanju TV kamerom i ispitivanju kanala na vodonepropusnost i funkcionalnost. U cijenu uključena potrebna količina vode potreban za ispiranje kanala.
Obračun po m' ispranog kanala s oknima.</t>
  </si>
  <si>
    <t>503.090.00140</t>
  </si>
  <si>
    <t>- Snimanje izvedenog stanja</t>
  </si>
  <si>
    <t>CCTV inspekcija (optički pregled) kanala s izradom pripadajućeg izvještaja prema protokolu snimanja te zapisa na CD-u (DVD) kao dokaz o ispravno izvedenom kanalu i revizijskim oknima. CCTV inpekcija se provodi sukladno normi Uvjeti za sustave odvodnje izvan zgrada – 2. dio: Sustav kodiranja optičkog nadzora HRN EN 13508-2/AC.
Obračun po m' snimljenog kanala.</t>
  </si>
  <si>
    <t>503.090.00145</t>
  </si>
  <si>
    <t>- Ispitivanje vodonepropusnosti separatora</t>
  </si>
  <si>
    <t>Ispitivanje vodo nepropusnosti separatora
Ispitivanje separatora na vodo nepropusnost prema HRN EN 1508. Ispitivanje treba provesti organizacije s važećom akreditacijom za provođenje ispitivanja prema navedenoj normi uz obaveznu prisutnost nadzornog inženjera tokom ispitivanja. O dobivenim rezultatima ispitivanja izdaje se Izvještaj kojeg treba predočiti kod tehničkog prijema.</t>
  </si>
  <si>
    <t>503.090.00150</t>
  </si>
  <si>
    <t>- Pribavljanje izjave o izvršenoj tlačnoj probi</t>
  </si>
  <si>
    <t>Pregled i ispitivanje ispravnosti stabilnog sustava za gašenje požara - vanjske i unutarnje hidrantske mreže od strane neovisne i ovlaštene tvrtka s valjanim certifikatskim rješenjem za obavljanje ove djelatnosti. Nakon provedenog ispitivanja izdaje se Zapisnik s Uvjerenjem o pregledu ispravnosti sustava</t>
  </si>
  <si>
    <t>503.090.00155</t>
  </si>
  <si>
    <t>- Pribavljanje izjave o kvaliteti vode</t>
  </si>
  <si>
    <t>Nakon dezinfekcije i drugog ispiranja uzeti uzorke za ispitivanje kod Zavoda za javno zdravstvo uz izdavanje uvjerenja (ili druge ovlaštene ustanove prema Pravilniku o zdravstvenoj ispravnosti vode za piće (NN 182/04)). Obračun po kompletu pribavljene izjave o kvaliteti vode od strabe Zavoda za javno zdravstvo.</t>
  </si>
  <si>
    <t>503.090.00160</t>
  </si>
  <si>
    <t>Puštanje u rad i probne vožnje svih građevinskih usluga</t>
  </si>
  <si>
    <t>Puštanje u rad i testiranje u prisutnosti svih odjeljaka za TGA,
ustupanje stručne radne snage kod puštanja u rad,
ispitivanja i testiranja rada svih sustava tehnike zgrade:
- Cjelokupni elektrotehnički sustav jake i slabe struje s
vatrodojavnom centralom,
protuprovalnom centralom itd.
- Cijelokupna MSR tehnika
- RLT, rashladni, sanitarni sustavi i sustavi grijanja
- Sprinkleri (za gašenje požara),
- Protupožarni sustavi odnosno tehnika (odimljavanje)
- Testiranje za sve hitne slučajeve i slučajeve požara,
- Testiranje radnih stanja TGA odjeljaka
Kauflandov standard prema KaBa-i,
- „Vožnja u koloni“ prema smjernicama ponašanja u slučaju požara,
uključujući protokoliranje rezultata,
analizu i uklanjanje svih nedostataka
u suradnji sa svim odjeljcima.</t>
  </si>
  <si>
    <t>503.090.00165</t>
  </si>
  <si>
    <t>Dobivanje mikrobiološkog izvješća</t>
  </si>
  <si>
    <t>Sakupljanje mikrobioloških procjena
kod odgovorne zdravstvene institucije za
postrojenje pitke vode, 1 x prije početka gradnje,
1 x međuprocjena nakon određenog napretka u gradnji
i 1 x prije krajnje primopredaje.</t>
  </si>
  <si>
    <t>503.090.00170</t>
  </si>
  <si>
    <t>Ispitivanje sigurnosti i funkcionalnosti,</t>
  </si>
  <si>
    <t>Sigurnosna i funkcijska ispitivanja,
puštanje u rad, primopredaja i obučavanje
uz protokoliranje navedenog dodatnog grijanja za cijevi
uključujući obučavanje osoblja za rukovanje
uklj. potvrdu.</t>
  </si>
  <si>
    <t>503.100</t>
  </si>
  <si>
    <t>504</t>
  </si>
  <si>
    <t>Sustavi za gašenje požara</t>
  </si>
  <si>
    <t>504.010</t>
  </si>
  <si>
    <t>504.020</t>
  </si>
  <si>
    <t>Upravljanje prskalicama / pumpe</t>
  </si>
  <si>
    <t>504.030</t>
  </si>
  <si>
    <t>Cijevna mreža (mokro područje)</t>
  </si>
  <si>
    <t>504.030.00500</t>
  </si>
  <si>
    <t>Cjevovod DN 50</t>
  </si>
  <si>
    <t>Cjevovod za vodu za gašenje
kao „mokri vod“ DIN 14 461 dio 1
od zavarene čelične cijevi s premazom u prahu
RAL 9010 odnosno prema najnovijem stanju KaBa-e,
DIN 2440',
DN (xxx)
spojeno spojnicom
u odgovarajućoj boji,
postaviti u zgradama,
uključ. oblikovane i spojne elemente, sredstva za zavarivanje ili
lemljenje i brtvljenje.
Čvrste točke, sustavi za pričvršćivanje teških cijevi s
obujmicama, konstrukcije vodilica i nosive konstrukcije obračunavaju se zasebno.
Pričvrsnice za cijevi s certificiranim tiplama uključ.
vanjske cijevi za provođenje kroz zid i strop,
zbog zaštite od buke popuniti negorivim materijalima,
sa završnim rozetama.
Visina montaže iznad ograde/poda između 3,5 i 5 m.</t>
  </si>
  <si>
    <t>504.030.00505</t>
  </si>
  <si>
    <t>Cjevovod DN 80</t>
  </si>
  <si>
    <t>504.040</t>
  </si>
  <si>
    <t>Mreža cjevovoda (suho područje)</t>
  </si>
  <si>
    <t>504.050</t>
  </si>
  <si>
    <t>Zidni hidrantni sustav</t>
  </si>
  <si>
    <t>504.050.00100</t>
  </si>
  <si>
    <t>FSG kombinacija zidnih hidranata</t>
  </si>
  <si>
    <t>FSG kombinacija zidnih hidranata
Model 510 CM SO
za pomoć laicima i za opskrbu vodom za gašenje požara za
vatrogasce, s pretincem za aparat za
gašenje požara ispod pretinca za zidni
hidrant, s ugradbenom napravom za ručni detektor požara iznad pretinca za
zidni hidrant.
Unutarnja oprema sastoji se od:
1 vijčanog spoja DN 50 DIN 14461.5-4
1 priključnog ventila za crijevo DN 50 DIN 14461.3 s
C čvrstim spojem od mjedi
1 koluta za crijevo kroz koji se provodi voda montiranog
na kliznik s mogućnosti izvlačenja
, lakiranog RAL 3001, sa spojnim crijevom sa spojem
C52/DN 25 pod kutom, od mjedi
1 x 30 m tlačnog crijeva postojanog oblika DN 25
sukladno PrEN 694 predispitanog
1 čeličnog crijeva EN 671-1 DN 25 s poprečnim presjekom otvora
6 mm, s namotanim crijevom, sva 4
priključka utisnuta, pod tlakom 1,6 MPa.
1 ormara, model 510 CM SO, u posebnoj izvedbi
Uski hidrant
Nadžbukni ormar vrste konstrukcije C š/v/d: 390x1500x700
od čeličnog lima, obrađenih bridova i zavaren
s vratima utisnutima u okvir,
otvaranje pod 180°
s vijčanim spojevima pričvršćenim okovima visine 60,
s mogućnosti promjene strane otvaranja vrata,
ugradbeni kutnik za ručni detektor požara, sa zaštitom za kabel,
s mogućnosti podešavanja dubine i mogućnosti demontaže,
otvor za vrata 134x134 iznad
pretinca za hidrant u zidu
Pretinac za aparat za gašenje požara visine 250, zapečaćen
Zatvarač: upuštena preklopna drška, od metala,
s mogućnosti plombe
Svi čelični dijelovi lakirani prema GUV 07 § 11 RAL 3001
s držačem za prskalicu
Podkonstrukcija s kontinuiranim U profilom visine oko 100
s otvorom za priključak za vodu sa stražnje strane, na sredini kroz
strop.
1 uređaj za gašenje prahom prema EN 3, 12 kg, razred protupožarne zaštite ABC
Oznaka: Samoljepljiva folija
1 piktogram "zidni hidrant" 200x200 sukladno VBG 125
1 piktogram "aparat za gašenje požara" 200x200 sukladno VBG 125
1 korisnički priručnik DIN A5, Rotrand
1 upute za instalaciju 194.1-4
Ili istovjetni proizvod prema nacionalnim propisima
Proizvod/tip:
.......................................................
.......................
(ispunjava ponuđač)</t>
  </si>
  <si>
    <t>504.050.00200</t>
  </si>
  <si>
    <t>FSG kombinacija zidnih hidranata
Model 162 CM K SO
prema DIN EN 671-1/2.96 i DIN 14461.1/4.96
za pomoć laicima i za opskrbu vodom za gašenje požara za
vatrogasce, s pretincem za aparat za gašenje požara ispod pretinca za zidni
hidrant.
Unutarnja oprema (kompatibilna s EN 671-1 s certifikatom nadležnog
državnog ispitnog tijela) sastoji se od:
1 vijčanog spoja DN 50 DIN 14461.5-4
1 priključnog ventila za crijevo DN 50 DIN 14461.3 s
C čvrstim spojem od mjedi
1 koluta za crijevo kroz koji se provodi voda s rotacijskim krakom
, lakiranog RAL 3001
, i spojnog crijeva sa spojem C52/DN 25
pod kutom, od mjeda
1 x 30 m tlačnog crijeva postojanog oblika DN 25
sukladno PrEN 694 predispitanog
1 čeličnog crijeva EN 671-1 DN 25 s poprečnim presjekom otvora
6 mm, s namotanim crijevom, sva 4
priključka utisnuta, pod tlakom 1,6 MPa.
1 ormara, model 162 M
Nadžbukni ormar vrste konstrukcije C š/v/d: 740x1240x250
od čeličnog lima, obrađenih bridova i zavaren
Nadžbukna izvedba s dvjema vratima, otvaranje pod 180°
s vijčanim spojevima pričvršćenim okovima visine 60,
s mogućnosti promjene strane otvaranja vrata,
pretinac za aparat za gašenje požara visine 250, zapečaćen
Zatvarač: upuštena preklopna drška, od metala,
s mogućnosti plombe
Nehrđajući čelik s držačem rotacijskog kraka, s
držačem za prskalicu.
Otvor za priključak za vodu sukladno DIN s gornje strane
Podkonstrukcija s kontinuiranim U profilom visine oko 380
1 uređaj za gašenje prahom prema EN 3, 12 kg, razred protupožarne zaštite ABC
Oznaka: Samoljepljiva folija
1 piktogram "zidni hidrant" 200x200 sukladno VBG 125
1 piktogram "aparat za gašenje požara" 200x200 sukladno VBG 125
1 korisnički priručnik DIN A5, Rotrand
1 upute za instalaciju 194.1-4
Ili istovjetni proizvod prema nacionalnim propisima
Proizvod/tip:
.......................................................
.......................
(ispunjava ponuđač)</t>
  </si>
  <si>
    <t>504.050.00500</t>
  </si>
  <si>
    <t>504.050.00505</t>
  </si>
  <si>
    <t>504.060</t>
  </si>
  <si>
    <t>504.070</t>
  </si>
  <si>
    <t>504.080</t>
  </si>
  <si>
    <t>504.090</t>
  </si>
  <si>
    <t>505</t>
  </si>
  <si>
    <t>MSR tehnologija</t>
  </si>
  <si>
    <t>505.010</t>
  </si>
  <si>
    <t>505.020</t>
  </si>
  <si>
    <t>ISP 1 KKV + grijanje</t>
  </si>
  <si>
    <t>505.030</t>
  </si>
  <si>
    <t>ISP 2 Centralni ventilacijski i pomoćni sustavi</t>
  </si>
  <si>
    <t>505.040</t>
  </si>
  <si>
    <t>Kontrola tržišta i izvještavanje o greškama</t>
  </si>
  <si>
    <t>505.050</t>
  </si>
  <si>
    <t>BACnet, M-Bus veza i L-Box</t>
  </si>
  <si>
    <t>505.060</t>
  </si>
  <si>
    <t>505.070</t>
  </si>
  <si>
    <t>506</t>
  </si>
  <si>
    <t>Zaštita od groma / uzemljenje temelja</t>
  </si>
  <si>
    <t>506.010</t>
  </si>
  <si>
    <t>506.020</t>
  </si>
  <si>
    <t>Vanjska zaštita od munje</t>
  </si>
  <si>
    <t>506.030</t>
  </si>
  <si>
    <t>Temeljne elektrode za uzemljenje i kabeli za uzemljenje</t>
  </si>
  <si>
    <t>506.040</t>
  </si>
  <si>
    <t>Duboka zemljana šipka</t>
  </si>
  <si>
    <t>506.050</t>
  </si>
  <si>
    <t>506.060</t>
  </si>
  <si>
    <t>507</t>
  </si>
  <si>
    <t>napajanje</t>
  </si>
  <si>
    <t>507.010</t>
  </si>
  <si>
    <t>Opskrba zgrada</t>
  </si>
  <si>
    <t>507.020</t>
  </si>
  <si>
    <t>Stanična zgrada</t>
  </si>
  <si>
    <t>507.030</t>
  </si>
  <si>
    <t>Srednjonaponski / rasklopni uređaji</t>
  </si>
  <si>
    <t>507.040</t>
  </si>
  <si>
    <t>Srednji napon / mjerenje</t>
  </si>
  <si>
    <t>507.050</t>
  </si>
  <si>
    <t>Transformator i NN postrojenja</t>
  </si>
  <si>
    <t>507.060</t>
  </si>
  <si>
    <t>Dvostruki pod</t>
  </si>
  <si>
    <t>507.070</t>
  </si>
  <si>
    <t>Sustav napajanja u nuždi</t>
  </si>
  <si>
    <t>507.080</t>
  </si>
  <si>
    <t>Ostale usluge / dokazi</t>
  </si>
  <si>
    <t>507.090</t>
  </si>
  <si>
    <t>Prihvatni / funkcionalni testovi</t>
  </si>
  <si>
    <t>508</t>
  </si>
  <si>
    <t>Visokonaponski sustavi</t>
  </si>
  <si>
    <t>508.010</t>
  </si>
  <si>
    <t>508.020</t>
  </si>
  <si>
    <t>Distribucije</t>
  </si>
  <si>
    <t>508.030</t>
  </si>
  <si>
    <t>Zaštita od prenapona</t>
  </si>
  <si>
    <t>508.040</t>
  </si>
  <si>
    <t>Prikupljanje podataka o energiji</t>
  </si>
  <si>
    <t>508.050</t>
  </si>
  <si>
    <t>Sustav kompenzacije</t>
  </si>
  <si>
    <t>508.060</t>
  </si>
  <si>
    <t>Sustavi polaganja kabela / vodova</t>
  </si>
  <si>
    <t>508.070</t>
  </si>
  <si>
    <t>kablovi i žice</t>
  </si>
  <si>
    <t>508.090</t>
  </si>
  <si>
    <t>Instalacijski uređaji</t>
  </si>
  <si>
    <t>508.100</t>
  </si>
  <si>
    <t>MSR kabliranje (mreža i sustavi polaganja)</t>
  </si>
  <si>
    <t>508.105</t>
  </si>
  <si>
    <t>Rasvjeta Zumtobel</t>
  </si>
  <si>
    <t>508.106</t>
  </si>
  <si>
    <t>Rasvjeta Oktalite</t>
  </si>
  <si>
    <t>508.107</t>
  </si>
  <si>
    <t>Rasvjeta Signify</t>
  </si>
  <si>
    <t>508.150</t>
  </si>
  <si>
    <t>Osvjetljenje parkirališta,  dostavno dvorište,  reklame</t>
  </si>
  <si>
    <t>508.160</t>
  </si>
  <si>
    <t>Osvjetljenje  parkirališta</t>
  </si>
  <si>
    <t>508.170</t>
  </si>
  <si>
    <t>Osvjetljenje nadgrađene razine parkirališta</t>
  </si>
  <si>
    <t>508.180</t>
  </si>
  <si>
    <t>Sigurnosna rasvjeta</t>
  </si>
  <si>
    <t>508.190</t>
  </si>
  <si>
    <t>Proboji zidova, bušenje jezgre, vatrogasne barijere</t>
  </si>
  <si>
    <t>508.200</t>
  </si>
  <si>
    <t>Priključci uređaja, tržišne veze (ELMA)</t>
  </si>
  <si>
    <t>508.210</t>
  </si>
  <si>
    <t>508.220</t>
  </si>
  <si>
    <t>508.230</t>
  </si>
  <si>
    <t>509</t>
  </si>
  <si>
    <t>Sustavi telekomunikacija i informacijske tehnologije</t>
  </si>
  <si>
    <t>509.010</t>
  </si>
  <si>
    <t>IT i telefonska mreža</t>
  </si>
  <si>
    <t>509.020</t>
  </si>
  <si>
    <t>Antenski sustav kabelske mreže</t>
  </si>
  <si>
    <t>509.030</t>
  </si>
  <si>
    <t>Mreža video nadzora</t>
  </si>
  <si>
    <t>509.040</t>
  </si>
  <si>
    <t>Mreža alarmnog sustava za upad</t>
  </si>
  <si>
    <t>509.050</t>
  </si>
  <si>
    <t>Glasovni alarmni sustav</t>
  </si>
  <si>
    <t>509.060</t>
  </si>
  <si>
    <t>Protupožarni sustav</t>
  </si>
  <si>
    <t>509.070</t>
  </si>
  <si>
    <t>BOS radio</t>
  </si>
  <si>
    <t>509.080</t>
  </si>
  <si>
    <t>700</t>
  </si>
  <si>
    <t>Otvoreni prostori</t>
  </si>
  <si>
    <t>701</t>
  </si>
  <si>
    <t>Vanjske površine</t>
  </si>
  <si>
    <t>701.000</t>
  </si>
  <si>
    <t>1.) Dodatni ugovoreni tehnički uvjeti dio su troškovnika te u slučaju ugovaranja postaju dio ugovora. Izvođač radova se dakle obavezuje na sve usluge radove i primjene koje proizlaze iz ovih uvjeta te su one uračunate u cijenu, ukoliko nisu zasebno ponuđene.
2.) Cijene stavki se prikazuju kao neto iznos u državnoj valuti. Važeći zakonski propisani porez na dodanu vrijednost obračunava se zasebno.
3.) U slučaju proturječnosti dodatnih ugovorenih tehničkih uvjeta vrijede prvenstveno podaci iz troškovnika. U slučaju proturječnosti između troškovnika i tehničke dokumentacije koja se predaje prilikom natječaja, vrijedi tehnička dokumentacija.
4.) Prije početka davanja ponude, ponuditelj je dužan pažljivo pročitati kompletan tekst općih uvjeta uz troškovnik, općih i posebnih uvjeta uz svaku grupu radova, tekst samog troškovnika i ostale dijelove tehničke dokumentacije. Ako opis bilo koje stavke u troškovniku dovodi do sumnje o načinu izvedbe ili upotrebu gradiva zahtijevane kvalitete, treba prije predaje ponude zatražiti pojašnjenje od ovlaštene osobe Investitora. Naknadno pozivanje na manjkavost ili nepoznavanje projektno-tehničke dokumentacije ili opisa u troškovniku neće se uzeti u obzir, niti smatrati razlogom za produženje roka izvedbe, a niti će se priznati bilo kakva razlika u cijeni s tog naslova.
5.) Tehnička dokumentacija koja se predaje prilikom natječaja informativnog je karaktera, a ponuđač je dužan u svom trošku izvršiti kontrolu projektno tehničke dokumentacije u smislu točnosti, tehničke ispravnosti, izvedivosti i međusobne usklađenosti. Sve eventualne primjedbe ponuditelj/izvoditelj dužan je pravovremeno uz ponudu, a u svakom slučaju prije izvedbe u pisanom obliku dostaviti Nadzoru i Naručitelju
6.) Ponuditelj je dužan provesti i kontrolu lokacije na licu mjesta prije davanja ponude. Jedinične cijene za pojedine vrste radova sadrže i sve one posredne troškove koji nisu iskazani u troškovniku, ali su neminovni za izvršenje radova predviđenih projektom.
7.) Organizacija gradilišta uračunata je u cijenu, ukoliko nije ponuđena kao zasebna stavka.
8.) Dizalice za podizanje, skele, strojevi, alati, pomoćna sredstva i konstrukcije uzeti su u obzir te su uračunati u jediničnu cijenu.
9.) Skele za radove na fasadi i radove na krovu predmet su ovog natječaja. Ponuditelj smije koristiti postojeće skele uz poštivanje sigurnosnih uvjeta i na vlastitu odgovornost. Preinake na skelama nisu dozvoljene te se one moraju predati u ispravnom stanju u kojem su i preuzete.
10.) Kompletnu režiju gradilišta usigurava i rješava ponuditelj/izvođač i i uključena je u jediničnu cijenu.
11.) Ponuditelj je obvezan redovno prikupljati i ,pravilno skladištiti i odvoziti na ovlašteni deponij sve otpadne materijale, ostatke, krhotine, građevinski otpad, ambalaže, obični otpad i slično o vlastitom trošku. Kod odlaganja otpada potrebno je pridržavati se svih javnopravnih uputa i propisa.
12.) Onečišćenja koja uslijed radova nastaju na susjednim terenima, zgradama, putovima, cestama, trgovima i slično, izvođač radova treba svakodnevno čistiti.
13.) Izvođač preuzima odgovornost za osiguravanje, skladištenje i spremanje vlastite građevinske opreme, strojeva, uređaja, alata i slično. Jednako vrijedi i za građevinske materijale, elemente i za ugradnju određenih uređaja i objekata sve do primopredaje obavljenih građevinskih radova.
14.) Prilikom izvođenja radova, izvoditelj treba zaštititi sve susjedne plohe, dijelove konstrukcije i prethodno izvedene radove na prikladan način a u skladu sa pravilima zaštite na radu, tako da ne dođe do oštećenja istih. Troškove zaštite treba izvoditelj ukalkulirati u ponudbenu cijenu izvođenja radova. Ukoliko ipak dođe do oštećenja prethodno izvedenih radova za koje je odgovoran izvoditelj ili njegov kooperant, dužan je iste o svom trošku dovesti u stanje prije oštećenja ili naručiti iste radove kod drugog izvoditelja na svoj teret.
15.) Sve potrebne mjere prema javnopravnim uputama i propisima za sigurnost i zaštitu zdravlja trebaju se uzeti u obzir te ih se treba pridržavati prilikom izvođenja radova.
16.) Prilikom davanja ponude i izvođenja radova treba se uzeti u obzir, uračunati i pridržavati se
- svih državnih i javnopravnih zakona, smjernica i propisa
- svih odgovarajućih tehničkih standarda, pravila i smjernica
- općeprihvaćenih pravila tehnike
- uputa, propisa i napomena proizvođača za ugradnju i obradu
- Kauflandovih građevinskih opisa, ugovorenih uvjeta i ostalih Kauflandovih dokumenata i planova.
17.) Stavke troškovnika obuhvačaju konačno dovršenje radova definiranih po količini i kvaliteti, onosno podrazumijevaju se kao gotove, potpune i funkcionirajuće, uklj. sve potrebne male dijelove i sredstva za pričvršćivanje, pomoćne materijale i sredstva, podkonstrukcije itd., kao i sve dodatne i posebne usluge - čak i kada one nisu detaljno opisane.
18.) Ako su treće stranke uključene u izvođenje predradnji, izvođač radova ih treba provjeravati. U slučaju nepravilnosti ili prigovora pravovremeno treba informirati naručitelja, tako da može tehnički i organizacijski dovršiti poslove.
19.) Obavezno se treba pridržavati svih Kauflandovih proizvodnih uputa, osim ako postoje opravdani razlozi za odstupanje (npr. dostupnost). U tom slučaju izvođač treba ponuditi istovjetni proizvod ili sustav te potvrditi istovjetnost. O njoj odlučuje naručitelj.
20.) Sustavi se izvode isključivo pomoću komponenata koje su predviđene od strane proizvođača sustava.
21.) Svi materijali, građevinski elementi i uređaji koji neposredno utječu na izgled i funkcionalnost prije ugradnje se trebaju provjeriti. Ugrađuju se tek nakon što naručitelj ili ovlaštena osoba odobri ugradnju na gradilištu. O vrsti i obliku uzorka odlučuje naručitelj.
22.) Ako nije drukčije propisano, izmjene postojećih projektnih rješenja od strane ponuditelja/izvođača a koje utječu na mehaničku stabilnost, ponuditelj/izvođač je dužan u svom trošku ishoditi sve suglasnosti, dozvole i sl.
Projekt izvedenog stanja ukalkulirati u jedničnu cijenu te dostaviti Kauflandu u pisanom i digitalnom obliku.
23.) Svi radovi na objektu te primjenjeni sistemi gradnje moraju biti izvedeni prema pravilu struke, odnosnu u granicama dopuštenih tolerancija.
24.) Ukoliko je ugovoreni termin izvršenja objekta uključen i zimski odnosno ljetni period, to se neće posebno izvođaču priznavati na ime naknade za rad pri niskoj temperaturi, zaštita konstrukcija od hladnoće i vrućine, te atmosferskih nepogoda, sve mora biti uključeno u jediničnu cijenu. Za vrijeme zime objekat se mora zaštititi. Svi eventualni smrznuti dijelovi moraju se ukloniti i izvesti ponovo bez bilo kakve naplate. Ukoliko je temperatura niža od temperature pri kojoj je dozvoljen dotični rad, a Investitor ipak traži da se radi, Izvođač si ima pravo zaračunati naknadu po normi 6,006 ali u tom slučaju Izvođač snosi punu odgovornost za ispravnost i kvalitetu rada. To isto vrijedi i za zaštitu radova tokom ljeta od prebrzog sušenja uslijed visoke temperature.
25.) U jediničnu cijenu rada izvođač treba obuhvatiti i slijedeće radove, koji se neće zasebno platiti kao naknadni rad, čak i ako nisu izričito navedenei u troškovniku:
- sve vrste transporta građevinskih materijala, elemenata, uređaja, objekata itd. do mjesta ugradnje
- potrebne i uobičajene pripreme i predobrade tla
- sve vrste bušenja, zavarivanja, lijepljenja, malih dijelova, sredstava za pričvršćivanje, međupoložaja, izolacije, brtvljenja, folija, spojeva itd. koje su potrebne za priključak, montažu i pričvršćivanje građevinskih dijelova i elemenata
- stručna priprema i priključak na sve okolne dijelove, ugradbene i nadgradne elemente i propuste
- sve izrade kutova, spojnih površina i elemenata, završnih elemenata, slobodnih krajeva itd.
- sve podloge za montažu, priključak i pričvršćivanje kao što su beton, zidani elementi, čelik, aluminij, limovi, gips karton, itd.
- potrebne spojne, kose i okrugle rezove te ostatke rezanja
- Izrada otvora i proreza za instalacije i ugradbene elemente drugih izvođača
- interno povezivanje kablovima i priključak objekata, dovod prema električnim trošilima na gradilištu od strane elektro izvođača</t>
  </si>
  <si>
    <t>Ograničenje usluga za vanjske sadržaje</t>
  </si>
  <si>
    <t>U sljedećim pozicijama potrebno je uzeti u obzir i uračunati sljedeće usluge, čak i ako nisu izričito navedene:
- Zaštitu postojećih stabala i grmlja
- lokalizaciju i po potrebi osiguravanje postojećih vodova u radnom području izvođača
- Transporte i skladištenja radnog materijala izvođača, npr. za stvaranje slobodnog prostora za druge radove
- Ručne radove ukoliko nije moguće koristiti strojeve</t>
  </si>
  <si>
    <t>701.010</t>
  </si>
  <si>
    <t>Rubnjaci</t>
  </si>
  <si>
    <t>701.010.00100</t>
  </si>
  <si>
    <t>- Skošeni betonski rubnjak dim. 15x25 cm</t>
  </si>
  <si>
    <t>Izvedba kolničkih rubnjaka 15/25cm. Visine 8 cm iznad asfalta. Postavljaju se na prostoru parkirališta osobnih automobila. Rubnjaci su od betona C40/50 prema EN 1340:2003 (E), spadaju u 3. razred visoke otpornosti na klimatske uvjete, habanje i visoke su čvrstoće.Klasifikacija DTI: Otpornost na vremenske uvjete (otpornost na smrzavanje i sol za odmrzavanje) klasa 3 (D),otpornost na progibanje klasa 2 (T), otpornost na trljanje klasa 4 (I)
Ova stavka obuhvaća:
- dobavu gotovih zakošenih betonskih rubnjaka C 40/50, te razvoz rubnjaka po gradilištu,
- pripremu podloge, čišćenje, otkop ili nasipavanje sa nabijanjem kod podloge od kamena,
- izrada i ugradbnja betona C 12/15 podloge i zaloge, 0,15m3/m1
- polaganje rubnjaka u beton po pravcu i niveleti sa razmakom (spojnicom) do 1 cm,
- svi prijevozi i prijenosti betona i pomoćnog materijala,
- zalijevanje spojnica cementnim mortom omjera 1:4,
- njega betona,
- ispitivanje kvalitete rubnjaka sa pribavljanjem atesta
Izvedba radova, obračun radova i kontrola kvalitete prema OTU 3-04.7.1.
Obračunato po ml ugrađenog rubnjaka uzdignuto i upušteno do potpune pogonske gotovosti.</t>
  </si>
  <si>
    <t>701.010.00105</t>
  </si>
  <si>
    <t>- doplata za betonske rubnjake 15/25cm, unutarnji kut</t>
  </si>
  <si>
    <t>Doplata za gore navedeni betonski rubnjak za izradu unutarnjih ili vanjskih kutova pomoću gotovih radijalnih rubnjaka.
Radijus: 0,5 m</t>
  </si>
  <si>
    <t>701.010.00110</t>
  </si>
  <si>
    <t>- Skošeni betonski rubnjak dim. 15x30 cm</t>
  </si>
  <si>
    <t>Izvedba kolničkih rubnjaka 15/30cm. Visine 15cm iznad asfalta. Postavljaju se na prostoru gospodarskog dvorišta. Rubnjaci su od betona C40/50 prema EN 1340:2003 (E), spadaju u 3. razred visoke otpornosti na klimatske uvjete, habanje i visoke su čvrstoće.Klasifikacija DTI: Otpornost na vremenske uvjete (otpornost na smrzavanje i sol za odmrzavanje) klasa 3 (D),otpornost na progibanje klasa 2 (T), otpornost na trljanje klasa 4 (I)
Ova stavka obuhvaća:
- dobavu gotovih zakošenih betonskih rubnjaka C 40/50, te razvoz rubnjaka po gradilištu,
- pripremu podloge, čišćenje, otkop ili nasipavanje sa nabijanjem kod podloge od kamena,
- izrada i ugradbnja betona C 12/15 podloge i zaloge, 0,15m3/m1
- polaganje rubnjaka u beton po pravcu i niveleti sa razmakom (spojnicom) do 1 cm,
- svi prijevozi i prijenosti betona i pomoćnog materijala,
- zalijevanje spojnica cementnim mortom omjera 1:4,
- njega betona,
- ispitivanje kvalitete rubnjaka sa pribavljanjem atesta
Izvedba radova, obračun radova i kontrola kvalitete prema OTU 3-04.7.1.
Obračunato po ml ugrađenog rubnjaka uzdignuto i upušteno do potpune pogonske gotovosti.</t>
  </si>
  <si>
    <t>701.010.00115</t>
  </si>
  <si>
    <t>- ravni parkovni betonski rubnjak dim. 8x20 cm</t>
  </si>
  <si>
    <t>Izvedba parkovnog rubnjaka 8/20cm. Rubnjaci su od betona C40/50 prema EN 1340:2003 (E), spadaju u 3. razred visoke otpornosti na klimatske uvjete, habanje i visoke su čvrstoće.Klasifikacija DTI: Otpornost na vremenske uvjete (otpornost na smrzavanje i sol za odmrzavanje) klasa 3 (D),otpornost na progibanje klasa 2 (T), otpornost na trljanje klasa 4 (I)
Ova stavka obuhvaća:
- dobavu gotovih ravnih parkovnih betonskih rubnjaka C 40/50, te razvoz rubnjaka po gradilištu,
- pripremu podloge, čišćenje, otkop ili nasipavanje sa nabijanjem kod podloge od kamena,
- izrada i ugradbnja betona C 12/15 podloge i zaloge, 0,15m3/m1
- polaganje rubnjaka u beton po pravcu i niveleti sa razmakom (spojnicom) do 1 cm,
- svi prijevozi i prijenosti betona i pomoćnog materijala,
- zalijevanje spojnica cementnim mortom omjera 1:4,
- njega betona,
- ispitivanje kvalitete rubnjaka sa pribavljanjem atesta
Izvedba radova, obračun radova i kontrola kvalitete prema OTU 3-04.7.1.
Obračunato po ml ugrađenog rubnjaka uzdignuto i upušteno do potpune pogonske gotovosti.</t>
  </si>
  <si>
    <t>701.010.00120</t>
  </si>
  <si>
    <t>- Odvodni rubnjaci</t>
  </si>
  <si>
    <t>Nabava, prijevoz i ugradnja rubnjaka s integriranim odvodnim kanalom od polimerbetona otpornog na smrzavanje i soli (tip kao ACO Kerbdrain ili jednakovrijedan), uključena izrada, planiranje i zbijanje podloge, nabava podložnog materijala, svi prijevozi i prijenosi, privremeno skladištenje, razvoz i postavljanje predgotovljenih elemenata, obrada sljubnica, postavljanje i demontaža potrebne oplate, rad na ugradnji i njezi betona. Stavkom je obuhvaćen sav rad, oprema i materijal potreban za potpuno dovršenje stavke. Obračun je po m1.</t>
  </si>
  <si>
    <t>701.010.00125</t>
  </si>
  <si>
    <t>- Odvodni rubnjaci - sabirnik</t>
  </si>
  <si>
    <t>Nabava, prijevoz i ugradnja tipskog sabirnika iz rubnjaka s integriranim odvodnim kanalom od polimerbetona otpornog na smrzavanje i soli (tip kao ACO Kerbdrain ili jednakovrijedan), prema detaljima u projektu. Stavkom je obuhvaćen sav rad, oprema i materijal potreban za potpuno dovršenje stavke. Obračun je po komadu.</t>
  </si>
  <si>
    <t>701.020</t>
  </si>
  <si>
    <t>Montažni potporni zid</t>
  </si>
  <si>
    <t>701.030</t>
  </si>
  <si>
    <t>Vanjske stepenice</t>
  </si>
  <si>
    <t>701.040</t>
  </si>
  <si>
    <t>Kanali i slivnici</t>
  </si>
  <si>
    <t>701.040.00100</t>
  </si>
  <si>
    <t>x..EW1..x - cestovni betonski slivnik</t>
  </si>
  <si>
    <t>Izrada vodonepropusnih montažnih betonskih predgotovljenih elemenata slivnika od betonskih cijevi promjera 50 cm ukupne dubine 1,8 - 2,2m (od kote rešetke do kote dna slivnika). Beton C 30/37.Oko slivničke cijevi treba izvesti oblogu od nepropusnog betona St. 3-04.5 OTU, HRN U.N1.050, U.E3.050. Betonske cijevi moraju biti atestiranje, a njihovu upotrebu odobrava nadzorni inženjer. U cijenu koštanja obračunat je sav potreban materijal i radna snaga. Obračunato po komadu kompletno izvedenog vodolovnog grla sa priključkom, do potpune pogonske gotovosti. Klasično vodolovno grlo s rešetkom, perforiranom pocinčanom kantom za otpatke i taložnicom, promjera priključne cijevi Φ 160 (200)mm. 2 slivnika od 27, se izvode bez taložnice kao mini slivnik, prema projektu.
U cijenu ulazi: a) iskop rova za priključak vodolovnih grla na kanalizacijsku mrežu, sa ravnim odsijecanjem stranica rova, razupiranje rova i fino niveliranje dna rova na visinu,
b) iskop za vodolovna grla,
c) zatrpavanje kanalskog jarka i oko vodolovnih grla cementom stabilizacijom uz nabijanje,
d) odvoz materijala nakon iskopa, uključivo utovar, prijevoz, istovar, razastiranje i ugradnja na deponiji na udaljenosti do 10 km
e) izrada priključaka
f) probijanje zidova betonskih okana za priključak cijevi DN 160. Na mjestima gdje se priključne cijevi slivnika priključuju na kanalsku cijev upotrijebiti fazne komade UNO-45/160(200) u smjeru tečenja
g) izrada betonske ploče dna vodolovnih grla iz nabijenog betona C 16/20 sa aditivima za vodnepropusnost,
f) izvedba gotovih rupa prema projektu za priključak cijevi DN 160. Na mjestima gdje se priključne cijevi slivnika priključuju na kanalsku cijev upotrijebiti fazne komade UNO-45/160(200) u smjeru tečenja
g) izrada betonske ploče dna vodolovnih grla iz nabijenog betona C 16/20 sa aditivima za vodnepropusnost,
h) dobava, doprema i ugradba gotovih betonskih cijevi dužine 3,00 m, Φ 50 cm za vodolovna grla ugrađenih na smježi beton ploče dna,
i) izrada jednostrane oplate oko betonske cijevi Φ 50 cm, izrada betonske obloge oko slivničke cijevi od betona C 16/20 sa aditivima za neprospusnost
j) izrada, doprema i ugradnja armirano-betonske ploče (okvira) od C 16/20, debljine 8 cm</t>
  </si>
  <si>
    <t>701.040.00105</t>
  </si>
  <si>
    <t>- linijska rešetka cestovne oborinske odvodnje</t>
  </si>
  <si>
    <t>Nabava materijala i izrada linijskih rešetki kod dostavnog doka. Tijelo kanala iz polimer betona. Kanal se polaže na armiranu betonsku podlogu C25/30 prema detalju iz projekta. Kanal spajati preko sabirnika na reviziona okna. Obračun po m1 kompletno izvedenih linijskih rešetki do potpune pogonske gotovosti. Kanal spajati preko sabirnog elementa na oborinsku kanalizaciju. Revizioni element na suprotnoj strani.
Nazivna širina: prema projektu
Nagib žlijeba: min. 0,5%
Poklopac: Rešetka od lijevanog željeza, s vijčanim spojevima
Priključci za cijevi: do DN 160]
Razred opterećenja: 400kN</t>
  </si>
  <si>
    <t>701.040.00110</t>
  </si>
  <si>
    <t>x..EW2..x - betonska kanalica</t>
  </si>
  <si>
    <t>Izvedba betonskih kanalica 30/10, 3 cm dubine. Ova stavka obuhvaća:
- dobavu gotovih betonskih kanalica C 40/50, te razvoz kanalica po gradilištu,
- pripremu podloge, čišćenje, otkop ili nasipavanje sa nabijanjem kod podloge od kamena,
- izrada i ugradbnja betona C 12/15 podloge i zaloge,
- polaganje kanalica u beton po pravcu i niveleti sa razmakom (spojnicom) do 1 cm,
- svi prijevozi i prijenosti betona i pomoćnog materijala,
- zalijevanje spojnica cementnim mortom omjera 1:4,
- njega betona,
- ispitivanje kvalitete kanalica sa pribavljanjem atesta.
Izvedba radova, obračun radova i kontrola kvalitete prema OTU 3-04.7.1.
Obračunato po ml ugrađene kanalice do potpune pogonske gotovosti.</t>
  </si>
  <si>
    <t>701.050</t>
  </si>
  <si>
    <t>Opločenje</t>
  </si>
  <si>
    <t>701.050.00100</t>
  </si>
  <si>
    <t>- opločenje 6 cm</t>
  </si>
  <si>
    <t>Popločani sloj od betonskih opločnika prema DIN EN 1338, otporan na smrzavanje i sol, isporučiti, postaviti na jednakoj visini u sloju oštrog pijeska Ø4-8mm debljine 3-5 cm, ispuniti pijeskom dok se ne popune sve fuge, otresti, po potrebi ponovo obraditi pijeskom i nakon toga ukloniti prekomjerni pijesak, uklj. prilagođene rezove.
Boja: siva
Površina: s oštrim rubovima ili mikro kosinom
Dimenzije kamena: 20/20 x 6 cm ili 10/20 x 6 cm
Tlačna otpornost: min. 60 N/mm2
Način polaganja: Na pola dužine
Dozvoljena visinska odstupanja: +/- 2 cm od zadane vrijednosti i +/-1 cm na ispitnoj dionici od 4 m</t>
  </si>
  <si>
    <t>701.050.00105</t>
  </si>
  <si>
    <t>x..FB10..x - ulazni prostor za popločavanje, opločenje debjine 6cm, teflonski premaz</t>
  </si>
  <si>
    <t>Popločani sloj od betonskih opločnika prema DIN EN 1338, otporan na smrzavanje i sol, isporučiti, postaviti na jednakoj visini na u sloju oštrog pijeska Ø4-8mm debljine 3-5 cm, ispuniti pijeskom dok se ne popune sve fuge, otresti, po potrebi ponovo obraditi pijeskom i nakon toga ukloniti prekomjerni pijesak, uklj. prilagođene rezove.
Boja: antracit
Površina: s oštrim rubovima ili mikro kosinama, plastični teflon premaz
Dimenzije kamena: 16/24 x 8 cm
Tlačna otpornost: min. 60 N/mm2
Način polaganja: 1/3 spoj
Dozvoljena visinska odstupanja: +/- 2 cm od zadane vrijednosti i +/-1 cm na ispitnoj dionici od 4 m
Referentni proizvodi: sukladno Kauflandovom opisu gradilišta</t>
  </si>
  <si>
    <t>701.060</t>
  </si>
  <si>
    <t>Asfaltna površina</t>
  </si>
  <si>
    <t>701.060.00100</t>
  </si>
  <si>
    <t>x..FH1..x - asfaltni kolni prilazi za automobile</t>
  </si>
  <si>
    <t>Izvedba kolnika parkirališta osobnih vozila ukupne debljine 12cm. Kolnička konstrukcija sastoji se od:
AC 32 base, BIT 50/70 AG6 M2, debljine d=8cm
AC 11 surf, BIT 50/70 AG4 M3, debljine d=4cm.
Ova stavka obuhvaća:
- dobavu i dopremu asfaltne mješavine
- čišćenje i prskanje podloge za AC 32 base i AC 11 surf
- razastiranje, valjanje i njega AC 32 base i AC 11 surf
Obuhvaćen je sav materijal, rad i alat na izradi sloja kao i sva potrebna tekuća i kontrolna ispitivanja s izradom atesta za dokaz kvalitete ugrađenog sloja. Izrada radova, obračun radova i kontrola kvalitete prema Razradi tehničkih svojstava i zahtjeva za građevne proizvode za proizvodnju asfaltnih mješavina i za asfaltne slojeve kolnika HC,lipanj 2015. i prilozima ovog projekta.
Izvedbi habajućeg sloja može se prići nakon ispitanog i po nadzornom inženjeru preuzetom donjem nosivom sloju.
Obračunato po m2 ugrađenog sloja, sve do potpune pogonske gotovosti.</t>
  </si>
  <si>
    <t>701.060.00105</t>
  </si>
  <si>
    <t>701.060.00110</t>
  </si>
  <si>
    <t>- asfaltne pješačke staze</t>
  </si>
  <si>
    <t>Izvedba asfaltnih pješačkih staza ukupne debljine 9cm. Asfaltna konstrukcija sastoji se od:
AC 16 base, BIT 50/70 AG6 M2, debljine d=6cm
AC 8 surf, BIT 50/70 AG4 M3, debljine d=3cm.
Ova stavka obuhvaća:
- dobavu i dopremu asfaltne mješavine
- čišćenje i prskanje podloge za AC 16 base i AC 8 surf
- razastiranje, valjanje i njega AC 16 base i AC 8 surf
Obuhvaćen je sav materijal, rad i alat na izradi sloja kao i sva potrebna tekuća i kontrolna ispitivanja s izradom atesta za dokaz kvalitete ugrađenog sloja. Izrada radova, obračun radova i kontrola kvalitete prema Razradi tehničkih svojstava i zahtjeva za građevne proizvode za proizvodnju asfaltnih mješavina i za asfaltne slojeve kolnika HC,lipanj 2015. i prilozima ovog projekta.
Izvedbi habajućeg sloja može se prići nakon ispitanog i po nadzornom inženjeru preuzetom donjem nosivom sloju.
Obračunato po m2 ugrađenog sloja, sve do potpune pogonske gotovosti.</t>
  </si>
  <si>
    <t>701.070</t>
  </si>
  <si>
    <t>702</t>
  </si>
  <si>
    <t>Zelene površine</t>
  </si>
  <si>
    <t>702.000</t>
  </si>
  <si>
    <t>Ograničenje usluga za ozelenjavanje</t>
  </si>
  <si>
    <t>U sljedećim pozicijama potrebno je uzeti u obzir i uračunati sljedeće usluge, čak i ako nisu izričito navedene:
- Zaštitu postojećih stabala i grmlja
- lokalizaciju i po potrebi osiguravanje postojećih vodova u radnom području izvođača
- Transporte i skladištenja radnog materijala izvođača, npr. za stvaranje slobodnog prostora za druge radove
- Ručne radove ukoliko nije moguće koristiti strojeve
- Poravnavanje neravnih mjesta
- Pravilan priključak na susjedne elemente
- Navodnjavanje biljaka nakon sadnje</t>
  </si>
  <si>
    <t>702.010</t>
  </si>
  <si>
    <t>Gornji sloj tla</t>
  </si>
  <si>
    <t>702.010.00100</t>
  </si>
  <si>
    <t>x..PF1, PF2, PF3..x - stvoriti finu podlogu, površinu sadnje</t>
  </si>
  <si>
    <t>Nabava materijala - humusa i izrada obloge pokosa nasipa i drugih zelenih površina te gnojenje, OTU 2-15.1.
Površine obraditi motokultivatorom; pokupiti i odstraniti kamenje preko 5 cm promjera, korov, štetnike, teško razgradive dijelove biljaka. Rabiti i sredstava za poboljšanje i gnojenje tla: dijelove biljaka. Šumski humus dobre kvalitete, cca. 2-3 cm debljine odgovara 2-3 m3 / 100 m2 organsko-mineralna gnojiva, čista hranjiva količina NPK 10/10/15, cca. 100-150 g/m2 sukladno uputama proizvođača. Obračunato po m2 obrađenih zelenih površina.
Debljina sloja: 0.15 m</t>
  </si>
  <si>
    <t>702.010.00105</t>
  </si>
  <si>
    <t>- Travnata rešetka pojačane nosivosti, od plastike</t>
  </si>
  <si>
    <t>- Travnata rešetka pojačane nosivosti prema projektu. U zasebnim stavkama troškovnika obrađeni: Mehanički zbijeni nosivi sloj, humusiranje i sijanje trave. Stavka uključuje: nabavu, dobavu i ugradbu travnate rešetke debljine 4 cm, uključujući podložni sloj pijeska debljine 3cm prema projektu. U stavku ulaze svi troškovi nabave materijala i ugradnje , prijevoz, oprema i sve ostalo što je potrebno za izvođenje radova sukladno projektu.</t>
  </si>
  <si>
    <t>702.010.00110</t>
  </si>
  <si>
    <t>- Betonska travnata rešetka</t>
  </si>
  <si>
    <t>- Betonske travnate rešetke debljine 10cm . Stavka obuhvaća dobavu i ugradnju betonskih travnatih rešetki debljine 10cm  tipa kao SEMMELROCK ili slično, od C30/37. Uključujući podložni sloj pijeska debljine 4cm.
Mehanički zbijeni nosivi sloj, humusiranje i sijanje trave obrađeno u zasebnim stavkama. U stavku ulaze svi troškovi nabave materijala i ugradnje betonske travnate rešetke, prijevoz, oprema i sve ostalo što je potrebno za izvođenje radova sukladno projektu.</t>
  </si>
  <si>
    <t>702.020</t>
  </si>
  <si>
    <t>biljni pokrov</t>
  </si>
  <si>
    <t>702.030</t>
  </si>
  <si>
    <t>Živica i osamljena stabla</t>
  </si>
  <si>
    <t>702.040</t>
  </si>
  <si>
    <t>Drveće</t>
  </si>
  <si>
    <t>702.050</t>
  </si>
  <si>
    <t>Ukrasno bilje</t>
  </si>
  <si>
    <t>702.060</t>
  </si>
  <si>
    <t>Rad na travnjaku</t>
  </si>
  <si>
    <t>702.060.00100</t>
  </si>
  <si>
    <t>x..PF1..x - sjetva travnjaka, uređenih travnjaka</t>
  </si>
  <si>
    <t>Sijanje trave, mediteranski tip 1kg/20m2 njegovanje i prve dvije košnje, sve prema OTU 2-15.1. Obuhvaća sve navedeno, nabavu i ugradnju do pune pogonske gotovosti.
Obračunato po m2 obrađenih zelenih površina.</t>
  </si>
  <si>
    <t>702.070</t>
  </si>
  <si>
    <t>702.080</t>
  </si>
  <si>
    <t>703</t>
  </si>
  <si>
    <t>Oprema</t>
  </si>
  <si>
    <t>703.000</t>
  </si>
  <si>
    <t>703.010</t>
  </si>
  <si>
    <t>Sustavi ograde</t>
  </si>
  <si>
    <t>703.020</t>
  </si>
  <si>
    <t>Sustavi vrata</t>
  </si>
  <si>
    <t>703.030</t>
  </si>
  <si>
    <t>703.040</t>
  </si>
  <si>
    <t>704</t>
  </si>
  <si>
    <t>Reklame</t>
  </si>
  <si>
    <t>704.000</t>
  </si>
  <si>
    <t>Opseg usluga, sustavi za oglašavanje</t>
  </si>
  <si>
    <t>U sljedećim pozicijama potrebno je uzeti u obzir i uračunati sljedeće usluge, čak i ako nisu izričito navedene:
- Mjerenje i niveliranje usluga od zadanih mjernih točaka odnosno osi
- obojane limove i pravokutne dijelove za priključke, krajeve i prijelaze
- eventualna oštećenja na površini i / ili slojevima pravilno ukloniti
- potrebne podkonstrukcije i pojačanja
- sva sredstva za pričvršćivanje su trajno zaštićena od korozije
- Gotove zavarene šavove spremne za lakiranje
- Izoliranje kontaktnih površina kod moguće kontaktne korozije
- trajno elastične brtve na svim spojnim fugama prema graničnim elementima, uklj. ispunu fuga</t>
  </si>
  <si>
    <t>704.010</t>
  </si>
  <si>
    <t>Fasadne reklame</t>
  </si>
  <si>
    <t>704.010.00100</t>
  </si>
  <si>
    <t>x..WA1..x - Kaufland fasadni logotip 40 / 4,0 m</t>
  </si>
  <si>
    <t>Kaufland reklamni element kao fasadni logotip, dimenzija 4.000/4.000/250 mm, na sljedeći način izraditi, isporučiti, montirati i spojiti:
Reklamna konstrukcija sa svjetlećim ormarićem s translucentnim zategnutim platnom. Zavareni, aluminijski cijevni okvir od više dijelova šupljih profila 50/50/3 mm odnosno prema statičkim zahtjevima. Prednja strana s obuhvatnim aluminijskim profilom za platno.
Poleđina od aluminijskog lima, debljine 3 mm. Poleđina spojena na cijevni okvir, boja unutarnje strane čisto bijela - RAL 9010, vidljiva vanjska strana, boja sivo-bijela RAL 9002.
Bočne stjenke od aluminijskog lima, debljine 3 mm, boja čisto bijela RAL 9010. Bočni dijelovi se mogu skinuti, tako da se može pristupiti platnu i LED modulima za održavanje.
Reklamna površina: navučeno PVC platno s pozadinskim osvjetljenjem, B1, 660 g/m2. Logotip i natpis Kaufland zalijepljen pomoću snažne folije "ORACAL 8500 prozirne, crvene br.16“ ili "AVERY prozirne, crvene br. 4506". Platno se drži na mjestu pomoću podesivih kopči, razmak između kopči ca. 100 mm.
Rasvjeta: Homogeno osvjetljenje reklamnog elementa s unutarnjim LED/3-strukim LED modulima, 0,5 - 1,1 W po LED/LED modulu. Boja svjetla LED lampica u spektru od 6.300 - maksimalno 7.100 Kelvina. Gustoća svjetlosti na vanjskoj strani na bijelim površinama platna 100 cd/m2.
Priključak LED/LED modula na upravljačke uređaje (transformatori, 12 V, klasa zaštite IP68), u potrebnoj količini. Upravljački uređaji i LED/LED moduli prikladni za temperaturno područje +60°C do -24°C. Raspored upravljačkih uređaja s unutarnje strane, u donjem dijelu svjetlećeg elementa. Utičnica za priključak na struju s unutarnje strane.</t>
  </si>
  <si>
    <t>704.010.00105</t>
  </si>
  <si>
    <t>x..UW1..x - potkonstrukcija logotipa fasade Kaufland</t>
  </si>
  <si>
    <t>POZ 701
Podkonstrukciju za Kauflandov fasadni logotip od profilnog čelika, čelične cijevi ili čelični puni profili u različitim pojedinačnim dužinama i presjecima, uklj. gornje ploče, prirubnice, bušene rupe, zavarene spojeve, sredstva za pričvršćivanje i spajanje izraditi, sistemske elemente kao što su sidra, zatezne brave, itd., izraditi, isporučiti i montirati.
Logotip se postavlja na dvije pozicije na krovu (stavka uključuje obje konstrukcije, a iskaz kilaže je ukupan za obje konstrukcije).
Građevinski čelik: S235 prema EN 10025
Površina: pocinčana, vidljivi dijelovi u boji lakirani bojom od umjetne smole
Boje: sukladno Kauflandovoj paleti boja</t>
  </si>
  <si>
    <t>704.020</t>
  </si>
  <si>
    <t>Reklamni panoi</t>
  </si>
  <si>
    <t>704.020.00100</t>
  </si>
  <si>
    <t>x..UW7..x - Podkonstrukcija za reklamne plakate velike površine, 5.000 x 3.500 mm</t>
  </si>
  <si>
    <t>Podkonstrukciju za velike reklamne plakate u okviru, dimenzija 5.000 / 3.500 mm izraditi, isporučiti i montirati na sljedeći način:
Čelična konstrukcija okvira od šupljih profila, ca. 50/50 mm, vruće pocinčana i premazana u RAL boji po odabiru Kauflanda, s rupama za pričvršćenje, veliki reklamni plakat ca. 10 mm.
Pričvršćenje konstrukcije okvira pomoću navojnih šipki, spoj pomoću tipli i vijaka M16 u nosivoj posudi betonskog sendvič zida, broj i razmak prema statičkim zahtjevima.
Montaža isporučenih velikih reklamnih plakata s okvirom i platnom s natpisom pomoću vijčanih spojeva na gore navedenu podkonstrukciju.</t>
  </si>
  <si>
    <t>704.030</t>
  </si>
  <si>
    <t>Reklamni totem</t>
  </si>
  <si>
    <t>704.030.00100</t>
  </si>
  <si>
    <t>x..WA2..x - Kauflandova stela</t>
  </si>
  <si>
    <t>Kaufland reklamni element kao totem, dimenzije 2,0/6,0 m, dimenzije svjetleće kutije 1,75/1,75 m, na sljedeći način izraditi, isporučiti, montirati i spojiti:
Cijevni okvir od aluminija ili procinčanog čelika prema statičkom proračunu, s podnim pločama za pričvršćenje na temelj.
Obloge okvirne konstrukcije od limenih segmenata u redovnoj raspodjeli. Segmenti od aluminijskog lima ili aluminijskih dibond ploča, debljine 3 mm, s vodoravnim preklapanjem, rubovi u području svjetleće kutije reklamnog elementa pod 90 stupnjeva. Boja / premaz prema podacima Kauflanda u RAL 7011, željezno siva. Limeni segmenti moraju biti zamjenjivi. Pričvršćenje se izvodi sa strane u području koje nije vidljivo s prednje strane, pomoću vijaka za zaštitu od krađe.
Sjenilo u području postolja, visine ca. 200 mm. Boja postolja RAL 7011, željezno siva
Natpis limenih segmenata izvodi se prema Kauflandovim podacima: Invertirani natpis na čeličnim tablama, izrađen laserom, natpis s bijelom 3 mm jezgrom od akrilnog stakla. Natpisi su opremljeni pozadinskim LED osvjetljenjem. Ikone su također osvijetljene LED lampicama te su izrađene od bijele 3mm jezgre od akrilnog stakla, s prikladnom ljepljivom folijom u boji.
Natpis se izvodi u fontu "Kaufland bold".
Svjetleća kutija sa zavarenim aluminijskim cijevnim okvirima, od više dijelova šupljih profila 40/40/3 mm odnosno prema statičkim zahtjevima. Svjetleća kutija pričvršćuje se na stup.
Obostrane reklamne površine: navučeno PVC platno s pozadinskim osvjetljenjem, B1, 660 g/m2. Kaufland-logotip i natpis Kaufland zalijepljen pomoću snažne folije "ORACAL 8500 prozirne, crvene br.16“ ili "AVERY prozirne, crvene br. 4506". Platno se drži na mjestu pomoću podesivih kopči, razmak između kopči ca. 100 mm.
Bočni dijelovi se mogu skinuti, tako da se može pristupiti transformatoru i LED modulima za održavanje. Boja limenih bočnih dijelova, RAL 9010 čisto bijela.
Rasvjeta: Homogeno obostrano osvjetljenje reklamnog elementa s unutarnjim LED/3-strukim LED modulima, 0,5 - 1,1 W po LED/LED modulu. Boja svjetla LED lampica u spektru od 6.300 - maksimalno 7.100 Kelvina. Gustoća svjetlosti na vanjskoj strani na bijelim površinama platna 100 cd/m2.
Priključak LED/LED modula na upravljačke uređaje (transformatori, 12 V, klasa zaštite IP68), u potrebnoj količini. Upravljački uređaji i LED/LED moduli prikladni za temperaturno područje +60°C do -24°C. Raspored upravljačkih uređaja s unutarnje strane, u donjem dijelu svjetlećeg elementa. Utičnica za priključak na struju s unutarnje strane.
Temelj od armiranog betona (obrađen u zasebnim stavkama). Potrebne ugradbene dijelove za pričvršćenje stupa na temelj trebaju se predati odjeljku odgovornom za radove s betonom i armiranim betonom.</t>
  </si>
  <si>
    <t>704.040</t>
  </si>
  <si>
    <t>Reklamni piloni</t>
  </si>
  <si>
    <t>704.040.00100</t>
  </si>
  <si>
    <t>x..WA6..x - pilon Kaufland, visina 16 m</t>
  </si>
  <si>
    <t>POZ 601
Kaufland reklamni element kao pilon, visine 16 m, dimenzije svjetleće kutije 4/4 m, na sljedeći način izraditi, isporučiti, montirati i spojiti:
Svjetleća kutija u tehničkoj i konstrukcijskoj izvedbi kao Kauflandov fasadni logotip (WA1), 3 komada po pilonu, pričvršćene na donju konstrukciju.
Pilon stup od čeličnih cijevnih profila dimenzije [ Ø 711/10] mm, vruće pocinčan i lakiran s premazom i bojom od umjetne smole, RAL 7016 - boja antracita, otporna protiv ultraljubičastog zračenja, uklj. revizijske otvore sa zaključavanjem za elektro instalacije, pričvršćen na betonski temelj.
Podkonstrukcija za pričvršćenje svjetlećih kutija na pilon stup od čeličnih cijevnih profila, vruće pocinčana ukupne težine [ 6.000 ] kg.
Temelj od armiranog betona obrađen u zasebnoj stavci. Potrebne ugradbene dijelove za pričvršćenje pilona na temelj trebaju se predati odjeljku odgovornom za radove s betonom i armiranim betonom.</t>
  </si>
  <si>
    <t>704.050</t>
  </si>
  <si>
    <t>705</t>
  </si>
  <si>
    <t>Znakovi / oznake</t>
  </si>
  <si>
    <t>705.000</t>
  </si>
  <si>
    <t>Opseg usluga, znakovi/oznake</t>
  </si>
  <si>
    <t>U sljedećim pozicijama potrebno je uzeti u obzir i uračunati sljedeće usluge, čak i ako nisu izričito navedene:
- Mjerenje i niveliranje usluga od zadanih mjernih točaka odnosno osi
- zaštita površina koja se ne premazuju bojanjem
- korištenje usisnih uređaja kod radova brušenja
- sve potrebne spojne ploče, varovi, mali dijelovi i ostali pričvrsni elementi koji su potrebni za spajanje i pričvršćenje čeličnih elemenata
- svi spojni elementi su pocinčani
- kontrola kvalitete zaštite od korozije čeličnih elemenata provodi se prema OTU.
- izvedba radova, obračun radova i kontrola kvalitete prema OTU 9-01.
- obračunato po komadu potpuno završenog prometnog znaka do potpune pogonske gotovosti</t>
  </si>
  <si>
    <t>705.010</t>
  </si>
  <si>
    <t>Vertikalna signalizacija</t>
  </si>
  <si>
    <t>705.010.00100</t>
  </si>
  <si>
    <t>- Prometni znakovi izričitih naredbi i znakovi opasnosti, postava na stupu - 1 znak na stupu</t>
  </si>
  <si>
    <t>Dobava i postava prometnih znakova izričitih naredbi i znakova opasnosti, različitog sadržaja i dimenzija u reflektirajučoj tehnici za postavu na terenu, u svemu prema projeku prometne opreme i Pravilniku o prometnim znakovima, opremi i signalizaciji na cestama. Prometni znakovi rade se od aluminijskog lima, uokvireno, na koji se stavlja reflektirajuća folija “High Intesity”, a pričvršćuje se na stup pomoću obujmice i dva zavrtnja. Stupovi prometnih znakova postavljaju se u betonske temelje kvalitete C 25/30, vel. 40x40x60 cm ili se pričvršćuju za krunu AB zida. Visina stupa do donjeg ruba znaka je 2,10 m.
Postavljanje prometnih znakova obračunava se po komadu postavljenog znaka zajedno sa stupom i temeljem. U cijenu ulazi izrada i bojenje znakova i stupova, lijepljenje folije, iskop i betoniranje temelja, učvršćenje znakova i stupova, prijevoz znakova i drugog materijala te drugi poslovi vezani uz postavljanje prometnih znakova.</t>
  </si>
  <si>
    <t>705.010.00105</t>
  </si>
  <si>
    <t>- Prometni znakovi obavijesti, postava na stupu - 1 znak na stupu</t>
  </si>
  <si>
    <t>Dobava i postava prometnih znakova obavijesti različitog sadržaja i dimenzija u reflektirajučoj tehnici za postavu na terenu, u svemu prema projeku prometne opreme i Pravilniku o prometnim znakovima, opremi i signalizaciji na cestama. Prometni znakovi rade se od aluminijskog lima, uokvireno, na koji se stavlja reflektirajuća folija “High Intesity”, a pričvršćuje se na stup pomoću obujmice i dva zavrtnja. Stupovi prometnih znakova postavljaju se u betonske temelje kvalitete C 25/30, vel. 40x40x60 cm ili se pričvršćuju za krunu AB zida. Visina stupa do donjeg ruba znaka je 2,10 m.
Postavljanje prometnih znakova obračunava se po komadu postavljenog znaka zajedno sa stupom i temeljem. U cijenu ulazi izrada i bojenje znakova i stupova, lijepljenje folije, iskop i betoniranje temelja, učvršćenje znakova i stupova, prijevoz znakova i drugog materijala te drugi poslovi vezani uz postavljanje prometnih znakova.</t>
  </si>
  <si>
    <t>705.010.00110</t>
  </si>
  <si>
    <t>- Prometni znakovi obavijesti, postava na stupu - 2 znaka na stupu</t>
  </si>
  <si>
    <t>705.010.00115</t>
  </si>
  <si>
    <t>- Prometni znakovi, dopunske table</t>
  </si>
  <si>
    <t>Dobava i postava prometnih dopunskih tabli različitog sadržaja i dimenzija u reflektirajučoj tehnici za postavu na terenu, u svemu prema projeku prometne opreme i Pravilniku o prometnim znakovima, opremi i signalizaciji na cestama. Dopunske table rade se od aluminijskog lima, uokvireno, na koji se stavlja reflektirajuća folija “High Intesity”, a pričvršćuje se na stup pomoću obujmice i dva zavrtnja.</t>
  </si>
  <si>
    <t>705.020</t>
  </si>
  <si>
    <t>Horizontalna signalizacija</t>
  </si>
  <si>
    <t>705.020.00100</t>
  </si>
  <si>
    <t>- označavanje područja hladnom plastikom, puna crta</t>
  </si>
  <si>
    <t>Izrada horizontalne signalizacije hladnom plastikom klase V, debljina sloja 2mm, boja bijela, položena oznaka. Prije izrade potrebno odraditi čišćenje i iskolčenje površina za označavanje. Pokrovne fuge zaštititi prikladnim ljepljivim trakama, tako da ih se ne premazuje previše. Izrada označavanja sa ravnim rubovim korištenjem šablona. Ovaj rad obuhvaća postavljanje oznaka za regulaciju prometa na kolniku, a izvodi se prema projektu prometne opreme, Pravilniku o prometnim znakovima, opremi i signalizaciji na cestama i OTU. Izvođač je dužan prije početka radov na izradi horizontalne signalizacije dostaviti nadzornom inženjeru na uvid prethodna ispitivanja (ateste) o pogodnosti materijala za ove radove. Izrada radova, obračun radova i kontrola kvalitete prema OTU t. 9-02.
Izvedba: H01 - puna crta d=12cm
Podloga: asfalt</t>
  </si>
  <si>
    <t>705.020.00105</t>
  </si>
  <si>
    <t>- označavanje područja hladnom plastikom, isprekidana crta</t>
  </si>
  <si>
    <t>Usluga prema gornjem opisu, ali izvedba oznake H03 - isprekidanea crta d=12cm, dužine punog/praznog polja 1m</t>
  </si>
  <si>
    <t>705.020.00110</t>
  </si>
  <si>
    <t>- označavanje područja hladnom plastikom, isprekidana crta zaustavljanja, pješački prijelazi, šrafure, trokuti</t>
  </si>
  <si>
    <t>Usluga prema gornjem opisu, ali izvedba oznake H15 - isprekidanea crta zaustavljanja d=30cm, pješački prijelazi, šrafure, trokuti, sve prema projektu</t>
  </si>
  <si>
    <t>705.020.00115</t>
  </si>
  <si>
    <t>- označavanje područja hladnom plastikom, strelice</t>
  </si>
  <si>
    <t>Usluga prema gornjem opisu, ali izvedba oznake H22, H23, H24, H29, H30 - strelice dužine 1,6m</t>
  </si>
  <si>
    <t>705.020.00120</t>
  </si>
  <si>
    <t>- označavanje područja hladnom plastikom, parkiralište za osobe s invaliditetom</t>
  </si>
  <si>
    <t>Usluga prema gornjem opisu, ali izvedba oznake H57-1 - obilježavanje mjesta za parkiranje osoba s invaliditetom</t>
  </si>
  <si>
    <t>705.020.00125</t>
  </si>
  <si>
    <t>- označavanje područja hladnom plastikom, piktogram osobe s invaliditetom</t>
  </si>
  <si>
    <t>Usluga prema gornjem opisu, ali izvedba piktograma osobe s invaliditetom dim 80/80cm.</t>
  </si>
  <si>
    <t>705.020.00130</t>
  </si>
  <si>
    <t>- označavanje područja hladnom plastikom, piktogram e-punionica</t>
  </si>
  <si>
    <t>Usluga prema gornjem opisu, ali izvedba piktograma stanice za punjenje električnog vozila dim 80/80cm.</t>
  </si>
  <si>
    <t>705.030</t>
  </si>
  <si>
    <t>-</t>
  </si>
  <si>
    <r>
      <t xml:space="preserve">Dobava materijala za izvedbu sustava ravnog krova.
Parna brana: reakcija na požar F od polietilenske folije ojačane mrežicom u svrhu povećanja čvrstoće , debljine 0,2 mm, s jednim slojem, s preklapanjem i lijepljenim spojevima
</t>
    </r>
    <r>
      <rPr>
        <sz val="11"/>
        <color rgb="FFFF0000"/>
        <rFont val="Calibri"/>
        <family val="2"/>
        <charset val="238"/>
        <scheme val="minor"/>
      </rPr>
      <t>PONUĐENA DOBAVA I MONTAŽA</t>
    </r>
  </si>
  <si>
    <r>
      <t xml:space="preserve">Dobava materijala za izvedbu sustava ravnog krova.
Toplinska izolacija: ploče od kamene vune dvoslojne gustoće ROCKWOOL HARDROCK 1000, reakcije na požar razred A1 prema HRN EN 13501-1
Koeficijent toplinske provodljivosti: [ prema projektu toplinske zaštite ]
Debljina izolacije: [160] mm - jedan sloj
</t>
    </r>
    <r>
      <rPr>
        <sz val="11"/>
        <color rgb="FFFF0000"/>
        <rFont val="Calibri"/>
        <family val="2"/>
        <charset val="238"/>
        <scheme val="minor"/>
      </rPr>
      <t>PONUĐENA DOBAVA I MONTAŽA</t>
    </r>
  </si>
  <si>
    <r>
      <t xml:space="preserve">Dobava materijala za izvedbu sustava ravnog krova.
Brtvene trake za krov: brvljenje krova od mekog Polivinilklorida s pojačanjem o sintetičkih vlakana debljine 1,8mm reakcije na požar B(krov)t1
Podloga: toplinska izolacija
Zadani proizvod brtvena traka za krov:
WOLFIN Cosmofin FG 1,8 mm
Renolit SE BU Waterproofing Alkorplan 35176, 1,8 mm
Bauder Thermofol U 18, boja svijetlo siva
Sika Sikaplan 18 G
FDT Rhenofol CV, 1,8 mm                                                                                                                                              </t>
    </r>
    <r>
      <rPr>
        <sz val="11"/>
        <color rgb="FFFF0000"/>
        <rFont val="Calibri"/>
        <family val="2"/>
        <charset val="238"/>
        <scheme val="minor"/>
      </rPr>
      <t>PONUĐENA DOBAVA I MONTAŽA</t>
    </r>
  </si>
  <si>
    <t>Sustav za sigurnosno uže prema DIN EN 795 razred C za pričvršćivanje osobne zaštitne opreme protiv pada, u različitim pojedinačnim dužinama, koji se sastoji od nosača i sustava užeta, nosači izolirani s unutarnje strane, izvedba sukladno montažnoj podlozi, broj i razmak nosača prema potrebi, isporučiti i montirati, uklj. sredstva za pričvršćivanje sukladno montažnoj podlozi, kutne, krajnje i unutarnje nosače, sustav užeta s držačima, bravama, zaobilascima, itd.
Visina pada: do [10,0] m
Visina krovne konstrukcije: do 300 mm
Montažna podloga: Trapezni lim</t>
  </si>
  <si>
    <t>Spoj slivnika na brtveni sustav krova prema uputama tehnologa proizvođača. Cijenom obuhvatiti sav rad i materijal kako bi se stavka izvela do gotove funkcionalnosti.
Dimenzija slivnika: DN [xxx]
Brtvena traka za krov: [PVC]</t>
  </si>
  <si>
    <t xml:space="preserve">montaža ponuđena u prethodne 3 stavke </t>
  </si>
  <si>
    <r>
      <t xml:space="preserve">VODONEPROPUSNO BRTVLJENJE RETENCIJE
Dobava i ugradnja brtvenog sustav retencije, koji se sastoji iz:
unutarnjeg sloja geotekstila položenog na blokove, hidroizolacijske mebrane te vanjskog sloja geotekstila za osiguranje membrane od mehaničkog oštečenja.
Geotekstili se polažu s preklopom od min. 30 do 50 cm u podložnom i pokrovnom sloju geomembrane.
Geomembrana se spaja prikladnom metodom za ostvariravanje vodonepropusnog sloja (npr. s preklopom min. 8 cm metodom vrućeg spajanja dvostrukim varom za što izvoditelj mora imati obučene i ovlaštene zavarivače od proizvođača membrane.
Obračun po m2 razvijne površine, a količina, tip i oblik spojeva za varenje geomembrane prema detaljima iz projekta. </t>
    </r>
    <r>
      <rPr>
        <b/>
        <sz val="11"/>
        <color rgb="FFFF0000"/>
        <rFont val="Calibri"/>
        <family val="2"/>
        <charset val="238"/>
        <scheme val="minor"/>
      </rPr>
      <t xml:space="preserve">NUDIMO EPDM GEOMEMBRANU ELEVATE RUBBERGARD </t>
    </r>
  </si>
  <si>
    <t>Napomene:</t>
  </si>
  <si>
    <t>U cijene nije uključen PDV. Vrši se prijenos porezne obveze.</t>
  </si>
  <si>
    <t>U cijene nisu uključeni troškovi gradilišta i iste osigurava Naručitelj bez naplate.</t>
  </si>
  <si>
    <t>IZO-ING d.o.o.</t>
  </si>
  <si>
    <t>Mario Štefičar d.i.g.</t>
  </si>
  <si>
    <t>sve potrebno za sidra je uključeno u prethodnoj stavci a sve potrebno za osobnu zaštitnu opremu je ponuđeno u narednoj stavci</t>
  </si>
  <si>
    <r>
      <t xml:space="preserve">Dobava i ugradnja zaštitnih sidara kao zaštita od pada s ravnog krova tzv. sekuranata ABS POINT. Točkasta sidra su promjera 16 mm , izrađena od nehrđajučeg čelika , ispitana i u skladu s HRN EN 795. Sidra se montiraju na trapezni lim minimalne debljine 0,88mm. Sidro izvesti minimalno 20cm iznad hidroizolacije.
Visina pada: do [10,0] m
Visina krovne konstrukcije: do 300 mm
Montažna podloga: Trapezni lim                                                                                                                              </t>
    </r>
    <r>
      <rPr>
        <sz val="11"/>
        <color rgb="FFFF0000"/>
        <rFont val="Calibri"/>
        <family val="2"/>
        <charset val="238"/>
        <scheme val="minor"/>
      </rPr>
      <t>U cijenu uključena i termoizolacijska obloga zaštitnih sidara sukladno KABA.</t>
    </r>
  </si>
  <si>
    <t>Obračun radova "ključ u ruke" za ponuđene stavke troškovnika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</si>
</sst>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quot;€&quot;;&quot;-&quot;#,##0.00\ &quot;€&quot;"/>
    <numFmt numFmtId="165" formatCode="00&quot;.&quot;00&quot;.&quot;0000"/>
  </numFmts>
  <fonts count="15" x14ac:knownFonts="1">
    <font>
      <sz val="11"/>
      <color theme="1"/>
      <name val="Calibri"/>
      <family val="2"/>
      <scheme val="minor"/>
    </font>
    <font>
      <b/>
      <sz val="16"/>
      <name val="Calibri"/>
      <family val="2"/>
      <charset val="238"/>
    </font>
    <font>
      <b/>
      <sz val="14"/>
      <name val="Calibri"/>
      <family val="2"/>
      <charset val="238"/>
    </font>
    <font>
      <b/>
      <sz val="11"/>
      <name val="Calibri"/>
      <family val="2"/>
      <charset val="238"/>
    </font>
    <font>
      <sz val="11"/>
      <color rgb="FFFF0000"/>
      <name val="Calibri"/>
      <family val="2"/>
      <scheme val="minor"/>
    </font>
    <font>
      <sz val="11"/>
      <color rgb="FFFF0000"/>
      <name val="Calibri"/>
      <family val="2"/>
      <charset val="238"/>
      <scheme val="minor"/>
    </font>
    <font>
      <b/>
      <sz val="11"/>
      <color rgb="FFFF0000"/>
      <name val="Calibri"/>
      <family val="2"/>
      <charset val="238"/>
      <scheme val="minor"/>
    </font>
    <font>
      <sz val="10"/>
      <name val="Arial"/>
      <family val="2"/>
    </font>
    <font>
      <sz val="10"/>
      <name val="Arial"/>
      <family val="2"/>
      <charset val="238"/>
    </font>
    <font>
      <sz val="10"/>
      <color rgb="FFFF0000"/>
      <name val="Arial"/>
      <family val="2"/>
      <charset val="238"/>
    </font>
    <font>
      <sz val="11"/>
      <color theme="1"/>
      <name val="Calibri"/>
      <family val="2"/>
      <charset val="238"/>
      <scheme val="minor"/>
    </font>
    <font>
      <sz val="14"/>
      <name val="Calibri"/>
      <family val="2"/>
      <charset val="238"/>
    </font>
    <font>
      <sz val="11"/>
      <name val="Calibri"/>
      <family val="2"/>
      <charset val="238"/>
    </font>
    <font>
      <sz val="11"/>
      <name val="Calibri"/>
      <family val="2"/>
      <charset val="238"/>
      <scheme val="minor"/>
    </font>
    <font>
      <sz val="11"/>
      <name val="Calibri"/>
      <family val="2"/>
      <scheme val="minor"/>
    </font>
  </fonts>
  <fills count="4">
    <fill>
      <patternFill patternType="none"/>
    </fill>
    <fill>
      <patternFill patternType="gray125"/>
    </fill>
    <fill>
      <patternFill patternType="solid">
        <fgColor rgb="FFFFFFFF"/>
      </patternFill>
    </fill>
    <fill>
      <patternFill patternType="solid">
        <fgColor rgb="FFE9EDF7"/>
      </patternFill>
    </fill>
  </fills>
  <borders count="5">
    <border>
      <left/>
      <right/>
      <top/>
      <bottom/>
      <diagonal/>
    </border>
    <border>
      <left/>
      <right/>
      <top style="medium">
        <color rgb="FF000000"/>
      </top>
      <bottom/>
      <diagonal/>
    </border>
    <border>
      <left/>
      <right/>
      <top/>
      <bottom style="thin">
        <color rgb="FF000000"/>
      </bottom>
      <diagonal/>
    </border>
    <border>
      <left style="thin">
        <color rgb="FF2451B2"/>
      </left>
      <right style="thin">
        <color rgb="FF2451B2"/>
      </right>
      <top style="thin">
        <color rgb="FF2451B2"/>
      </top>
      <bottom style="thin">
        <color rgb="FF2451B2"/>
      </bottom>
      <diagonal/>
    </border>
    <border>
      <left/>
      <right/>
      <top/>
      <bottom style="double">
        <color indexed="64"/>
      </bottom>
      <diagonal/>
    </border>
  </borders>
  <cellStyleXfs count="2">
    <xf numFmtId="0" fontId="0" fillId="0" borderId="0"/>
    <xf numFmtId="0" fontId="8" fillId="0" borderId="0"/>
  </cellStyleXfs>
  <cellXfs count="56">
    <xf numFmtId="0" fontId="0" fillId="0" borderId="0" xfId="0"/>
    <xf numFmtId="0" fontId="0" fillId="2" borderId="0" xfId="0" applyFill="1"/>
    <xf numFmtId="0" fontId="1" fillId="2" borderId="0" xfId="0" applyFont="1" applyFill="1"/>
    <xf numFmtId="0" fontId="2" fillId="2" borderId="0" xfId="0" applyFont="1" applyFill="1"/>
    <xf numFmtId="0" fontId="0" fillId="2" borderId="1" xfId="0" applyFill="1" applyBorder="1"/>
    <xf numFmtId="0" fontId="2" fillId="2" borderId="2" xfId="0" applyFont="1" applyFill="1" applyBorder="1"/>
    <xf numFmtId="164" fontId="2" fillId="2" borderId="2" xfId="0" applyNumberFormat="1" applyFont="1" applyFill="1" applyBorder="1"/>
    <xf numFmtId="164" fontId="0" fillId="0" borderId="0" xfId="0" applyNumberFormat="1"/>
    <xf numFmtId="0" fontId="0" fillId="3" borderId="3" xfId="0" applyFill="1" applyBorder="1"/>
    <xf numFmtId="0" fontId="3" fillId="2" borderId="2" xfId="0" applyFont="1" applyFill="1" applyBorder="1" applyAlignment="1">
      <alignment wrapText="1"/>
    </xf>
    <xf numFmtId="0" fontId="3" fillId="2" borderId="2" xfId="0" applyFont="1" applyFill="1" applyBorder="1" applyAlignment="1">
      <alignment horizontal="right"/>
    </xf>
    <xf numFmtId="0" fontId="3" fillId="0" borderId="0" xfId="0" applyFont="1" applyAlignment="1">
      <alignment wrapText="1"/>
    </xf>
    <xf numFmtId="164" fontId="3" fillId="0" borderId="0" xfId="0" applyNumberFormat="1" applyFont="1" applyAlignment="1">
      <alignment wrapText="1"/>
    </xf>
    <xf numFmtId="0" fontId="0" fillId="0" borderId="0" xfId="0" applyAlignment="1">
      <alignment wrapText="1"/>
    </xf>
    <xf numFmtId="164" fontId="0" fillId="0" borderId="0" xfId="0" applyNumberFormat="1" applyAlignment="1">
      <alignment wrapText="1"/>
    </xf>
    <xf numFmtId="0" fontId="0" fillId="0" borderId="0" xfId="0" applyAlignment="1">
      <alignment vertical="top" wrapText="1"/>
    </xf>
    <xf numFmtId="164" fontId="0" fillId="0" borderId="0" xfId="0" applyNumberFormat="1" applyAlignment="1">
      <alignment horizontal="right" wrapText="1"/>
    </xf>
    <xf numFmtId="0" fontId="2" fillId="2" borderId="2" xfId="0" applyFont="1" applyFill="1" applyBorder="1" applyAlignment="1">
      <alignment vertical="top"/>
    </xf>
    <xf numFmtId="0" fontId="0" fillId="0" borderId="0" xfId="0" applyAlignment="1">
      <alignment vertical="top"/>
    </xf>
    <xf numFmtId="0" fontId="3" fillId="2" borderId="2" xfId="0" applyFont="1" applyFill="1" applyBorder="1" applyAlignment="1">
      <alignment vertical="top" wrapText="1"/>
    </xf>
    <xf numFmtId="0" fontId="3" fillId="0" borderId="0" xfId="0" applyFont="1" applyAlignment="1">
      <alignment vertical="top" wrapText="1"/>
    </xf>
    <xf numFmtId="10" fontId="0" fillId="3" borderId="3" xfId="0" applyNumberFormat="1" applyFill="1" applyBorder="1" applyAlignment="1">
      <alignment vertical="top"/>
    </xf>
    <xf numFmtId="0" fontId="4" fillId="0" borderId="0" xfId="0" applyFont="1" applyAlignment="1">
      <alignment wrapText="1"/>
    </xf>
    <xf numFmtId="165" fontId="7" fillId="0" borderId="0" xfId="0" applyNumberFormat="1" applyFont="1"/>
    <xf numFmtId="0" fontId="8" fillId="0" borderId="0" xfId="1" applyAlignment="1">
      <alignment horizontal="left" vertical="top" wrapText="1"/>
    </xf>
    <xf numFmtId="4" fontId="8" fillId="0" borderId="0" xfId="1" applyNumberFormat="1" applyAlignment="1">
      <alignment horizontal="right"/>
    </xf>
    <xf numFmtId="4" fontId="8" fillId="0" borderId="0" xfId="1" applyNumberFormat="1" applyAlignment="1">
      <alignment horizontal="center"/>
    </xf>
    <xf numFmtId="4" fontId="9" fillId="0" borderId="0" xfId="1" applyNumberFormat="1" applyFont="1"/>
    <xf numFmtId="49" fontId="8" fillId="0" borderId="0" xfId="0" applyNumberFormat="1" applyFont="1" applyAlignment="1">
      <alignment horizontal="left" vertical="top"/>
    </xf>
    <xf numFmtId="4" fontId="8" fillId="0" borderId="0" xfId="0" applyNumberFormat="1" applyFont="1" applyAlignment="1">
      <alignment vertical="top"/>
    </xf>
    <xf numFmtId="4" fontId="0" fillId="0" borderId="0" xfId="0" applyNumberFormat="1" applyAlignment="1">
      <alignment vertical="top"/>
    </xf>
    <xf numFmtId="0" fontId="0" fillId="0" borderId="4" xfId="0" applyBorder="1" applyAlignment="1">
      <alignment vertical="top"/>
    </xf>
    <xf numFmtId="0" fontId="0" fillId="0" borderId="4" xfId="0" applyBorder="1"/>
    <xf numFmtId="0" fontId="0" fillId="0" borderId="0" xfId="0" applyAlignment="1">
      <alignment horizontal="right" vertical="top"/>
    </xf>
    <xf numFmtId="164" fontId="10" fillId="3" borderId="3" xfId="0" applyNumberFormat="1" applyFont="1" applyFill="1" applyBorder="1" applyAlignment="1">
      <alignment wrapText="1"/>
    </xf>
    <xf numFmtId="0" fontId="11" fillId="2" borderId="2" xfId="0" applyFont="1" applyFill="1" applyBorder="1"/>
    <xf numFmtId="0" fontId="0" fillId="0" borderId="0" xfId="0" applyFont="1"/>
    <xf numFmtId="0" fontId="12" fillId="2" borderId="2" xfId="0" applyFont="1" applyFill="1" applyBorder="1" applyAlignment="1">
      <alignment horizontal="right"/>
    </xf>
    <xf numFmtId="0" fontId="12" fillId="0" borderId="0" xfId="0" applyFont="1" applyAlignment="1">
      <alignment wrapText="1"/>
    </xf>
    <xf numFmtId="0" fontId="0" fillId="0" borderId="0" xfId="0" applyFont="1" applyAlignment="1">
      <alignment wrapText="1"/>
    </xf>
    <xf numFmtId="164" fontId="0" fillId="3" borderId="3" xfId="0" applyNumberFormat="1" applyFont="1" applyFill="1" applyBorder="1" applyAlignment="1">
      <alignment wrapText="1"/>
    </xf>
    <xf numFmtId="164" fontId="0" fillId="3" borderId="3" xfId="0" applyNumberFormat="1" applyFont="1" applyFill="1" applyBorder="1" applyAlignment="1">
      <alignment horizontal="right" wrapText="1"/>
    </xf>
    <xf numFmtId="0" fontId="0" fillId="0" borderId="4" xfId="0" applyFont="1" applyBorder="1"/>
    <xf numFmtId="4" fontId="8" fillId="0" borderId="0" xfId="1" applyNumberFormat="1" applyFont="1"/>
    <xf numFmtId="0" fontId="0" fillId="2" borderId="0" xfId="0" applyFill="1"/>
    <xf numFmtId="0" fontId="1" fillId="2" borderId="0" xfId="0" applyFont="1" applyFill="1"/>
    <xf numFmtId="14" fontId="0" fillId="2" borderId="0" xfId="0" applyNumberFormat="1" applyFill="1" applyAlignment="1">
      <alignment horizontal="left"/>
    </xf>
    <xf numFmtId="0" fontId="2" fillId="2" borderId="0" xfId="0" applyFont="1" applyFill="1"/>
    <xf numFmtId="0" fontId="0" fillId="2" borderId="1" xfId="0" applyFill="1" applyBorder="1"/>
    <xf numFmtId="0" fontId="8" fillId="0" borderId="0" xfId="1" applyAlignment="1">
      <alignment horizontal="left" vertical="top" wrapText="1"/>
    </xf>
    <xf numFmtId="164" fontId="13" fillId="3" borderId="3" xfId="0" applyNumberFormat="1" applyFont="1" applyFill="1" applyBorder="1" applyAlignment="1">
      <alignment wrapText="1"/>
    </xf>
    <xf numFmtId="164" fontId="14" fillId="3" borderId="3" xfId="0" applyNumberFormat="1" applyFont="1" applyFill="1" applyBorder="1" applyAlignment="1">
      <alignment wrapText="1"/>
    </xf>
    <xf numFmtId="0" fontId="14" fillId="0" borderId="0" xfId="0" applyFont="1" applyAlignment="1">
      <alignment vertical="top" wrapText="1"/>
    </xf>
    <xf numFmtId="0" fontId="14" fillId="0" borderId="0" xfId="0" applyFont="1" applyAlignment="1">
      <alignment wrapText="1"/>
    </xf>
    <xf numFmtId="164" fontId="14" fillId="3" borderId="3" xfId="0" applyNumberFormat="1" applyFont="1" applyFill="1" applyBorder="1" applyAlignment="1">
      <alignment horizontal="center" wrapText="1"/>
    </xf>
    <xf numFmtId="164" fontId="14" fillId="0" borderId="0" xfId="0" applyNumberFormat="1" applyFont="1" applyAlignment="1">
      <alignment horizontal="right" wrapText="1"/>
    </xf>
  </cellXfs>
  <cellStyles count="2">
    <cellStyle name="Normal" xfId="0" builtinId="0"/>
    <cellStyle name="Obično 2" xfId="1" xr:uid="{6C41326F-7F5C-443D-9C01-E1D9979A755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300"/>
  <sheetViews>
    <sheetView tabSelected="1" topLeftCell="A2" zoomScale="90" zoomScaleNormal="90" workbookViewId="0">
      <selection activeCell="M1297" sqref="M1297"/>
    </sheetView>
  </sheetViews>
  <sheetFormatPr defaultRowHeight="14.4" x14ac:dyDescent="0.3"/>
  <cols>
    <col min="1" max="1" width="19" style="18" customWidth="1"/>
    <col min="2" max="2" width="9.33203125" style="18" hidden="1" customWidth="1"/>
    <col min="3" max="3" width="22.109375" style="18" customWidth="1"/>
    <col min="4" max="4" width="85.109375" style="18" customWidth="1"/>
    <col min="5" max="5" width="11" customWidth="1"/>
    <col min="6" max="6" width="5" customWidth="1"/>
    <col min="7" max="7" width="19" style="36" customWidth="1"/>
    <col min="8" max="8" width="22" customWidth="1"/>
    <col min="9" max="10" width="9" hidden="1" customWidth="1"/>
    <col min="11" max="11" width="13.109375" customWidth="1"/>
  </cols>
  <sheetData>
    <row r="1" spans="1:25" s="1" customFormat="1" hidden="1" x14ac:dyDescent="0.3">
      <c r="A1" s="44"/>
      <c r="B1" s="44"/>
      <c r="C1" s="44"/>
      <c r="D1" s="44"/>
      <c r="E1" s="44"/>
      <c r="F1" s="44"/>
      <c r="G1" s="44"/>
      <c r="H1" s="44"/>
      <c r="I1" s="44"/>
      <c r="J1" s="44"/>
      <c r="K1" s="44"/>
      <c r="L1" s="44"/>
      <c r="M1" s="44"/>
      <c r="N1" s="44"/>
      <c r="O1" s="44"/>
      <c r="P1" s="44"/>
      <c r="Q1" s="44"/>
      <c r="R1" s="44"/>
      <c r="S1" s="44"/>
      <c r="T1" s="44"/>
      <c r="U1" s="44"/>
      <c r="V1" s="44"/>
      <c r="W1" s="44"/>
      <c r="X1" s="44"/>
      <c r="Y1" s="44"/>
    </row>
    <row r="2" spans="1:25" s="2" customFormat="1" ht="21" x14ac:dyDescent="0.4">
      <c r="A2" s="45" t="s">
        <v>0</v>
      </c>
      <c r="B2" s="45"/>
      <c r="C2" s="45"/>
      <c r="D2" s="45"/>
      <c r="E2" s="45"/>
      <c r="F2" s="45"/>
      <c r="G2" s="45"/>
      <c r="H2" s="45"/>
      <c r="I2" s="45"/>
      <c r="J2" s="45"/>
      <c r="K2" s="45"/>
      <c r="L2" s="45"/>
      <c r="M2" s="45"/>
      <c r="N2" s="45"/>
      <c r="O2" s="45"/>
      <c r="P2" s="45"/>
      <c r="Q2" s="45"/>
      <c r="R2" s="45"/>
      <c r="S2" s="45"/>
      <c r="T2" s="45"/>
      <c r="U2" s="45"/>
      <c r="V2" s="45"/>
      <c r="W2" s="45"/>
      <c r="X2" s="45"/>
      <c r="Y2" s="45"/>
    </row>
    <row r="3" spans="1:25" s="1" customFormat="1" x14ac:dyDescent="0.3">
      <c r="A3" s="46">
        <v>45712.540555925923</v>
      </c>
      <c r="B3" s="46"/>
      <c r="C3" s="46"/>
      <c r="D3" s="46"/>
      <c r="E3" s="46"/>
      <c r="F3" s="46"/>
      <c r="G3" s="46"/>
      <c r="H3" s="46"/>
      <c r="I3" s="46"/>
      <c r="J3" s="46"/>
      <c r="K3" s="46"/>
      <c r="L3" s="46"/>
      <c r="M3" s="46"/>
      <c r="N3" s="46"/>
      <c r="O3" s="46"/>
      <c r="P3" s="46"/>
      <c r="Q3" s="46"/>
      <c r="R3" s="46"/>
      <c r="S3" s="46"/>
      <c r="T3" s="46"/>
      <c r="U3" s="46"/>
      <c r="V3" s="46"/>
      <c r="W3" s="46"/>
      <c r="X3" s="46"/>
      <c r="Y3" s="46"/>
    </row>
    <row r="4" spans="1:25" s="1" customFormat="1" x14ac:dyDescent="0.3">
      <c r="A4" s="44"/>
      <c r="B4" s="44"/>
      <c r="C4" s="44"/>
      <c r="D4" s="44"/>
      <c r="E4" s="44"/>
      <c r="F4" s="44"/>
      <c r="G4" s="44"/>
      <c r="H4" s="44"/>
      <c r="I4" s="44"/>
      <c r="J4" s="44"/>
      <c r="K4" s="44"/>
      <c r="L4" s="44"/>
      <c r="M4" s="44"/>
      <c r="N4" s="44"/>
      <c r="O4" s="44"/>
      <c r="P4" s="44"/>
      <c r="Q4" s="44"/>
      <c r="R4" s="44"/>
      <c r="S4" s="44"/>
      <c r="T4" s="44"/>
      <c r="U4" s="44"/>
      <c r="V4" s="44"/>
      <c r="W4" s="44"/>
      <c r="X4" s="44"/>
      <c r="Y4" s="44"/>
    </row>
    <row r="5" spans="1:25" s="3" customFormat="1" ht="18" x14ac:dyDescent="0.35">
      <c r="A5" s="47" t="s">
        <v>1</v>
      </c>
      <c r="B5" s="47"/>
      <c r="C5" s="47"/>
      <c r="D5" s="47"/>
      <c r="E5" s="47"/>
      <c r="F5" s="47"/>
      <c r="G5" s="47"/>
      <c r="H5" s="47"/>
      <c r="I5" s="47"/>
      <c r="J5" s="47"/>
      <c r="K5" s="47"/>
      <c r="L5" s="47"/>
      <c r="M5" s="47"/>
      <c r="N5" s="47"/>
      <c r="O5" s="47"/>
      <c r="P5" s="47"/>
      <c r="Q5" s="47"/>
      <c r="R5" s="47"/>
      <c r="S5" s="47"/>
      <c r="T5" s="47"/>
      <c r="U5" s="47"/>
      <c r="V5" s="47"/>
      <c r="W5" s="47"/>
      <c r="X5" s="47"/>
      <c r="Y5" s="47"/>
    </row>
    <row r="6" spans="1:25" s="1" customFormat="1" x14ac:dyDescent="0.3">
      <c r="A6" s="44" t="s">
        <v>2</v>
      </c>
      <c r="B6" s="44"/>
      <c r="C6" s="44"/>
      <c r="D6" s="44"/>
      <c r="E6" s="44"/>
      <c r="F6" s="44"/>
      <c r="G6" s="44"/>
      <c r="H6" s="44"/>
      <c r="I6" s="44"/>
      <c r="J6" s="44"/>
      <c r="K6" s="44"/>
      <c r="L6" s="44"/>
      <c r="M6" s="44"/>
      <c r="N6" s="44"/>
      <c r="O6" s="44"/>
      <c r="P6" s="44"/>
      <c r="Q6" s="44"/>
      <c r="R6" s="44"/>
      <c r="S6" s="44"/>
      <c r="T6" s="44"/>
      <c r="U6" s="44"/>
      <c r="V6" s="44"/>
      <c r="W6" s="44"/>
      <c r="X6" s="44"/>
      <c r="Y6" s="44"/>
    </row>
    <row r="7" spans="1:25" s="1" customFormat="1" x14ac:dyDescent="0.3">
      <c r="A7" s="44" t="s">
        <v>3</v>
      </c>
      <c r="B7" s="44"/>
      <c r="C7" s="44"/>
      <c r="D7" s="44"/>
      <c r="E7" s="44"/>
      <c r="F7" s="44"/>
      <c r="G7" s="44"/>
      <c r="H7" s="44"/>
      <c r="I7" s="44"/>
      <c r="J7" s="44"/>
      <c r="K7" s="44"/>
      <c r="L7" s="44"/>
      <c r="M7" s="44"/>
      <c r="N7" s="44"/>
      <c r="O7" s="44"/>
      <c r="P7" s="44"/>
      <c r="Q7" s="44"/>
      <c r="R7" s="44"/>
      <c r="S7" s="44"/>
      <c r="T7" s="44"/>
      <c r="U7" s="44"/>
      <c r="V7" s="44"/>
      <c r="W7" s="44"/>
      <c r="X7" s="44"/>
      <c r="Y7" s="44"/>
    </row>
    <row r="8" spans="1:25" s="1" customFormat="1" x14ac:dyDescent="0.3">
      <c r="A8" s="44"/>
      <c r="B8" s="44"/>
      <c r="C8" s="44"/>
      <c r="D8" s="44"/>
      <c r="E8" s="44"/>
      <c r="F8" s="44"/>
      <c r="G8" s="44"/>
      <c r="H8" s="44"/>
      <c r="I8" s="44"/>
      <c r="J8" s="44"/>
      <c r="K8" s="44"/>
      <c r="L8" s="44"/>
      <c r="M8" s="44"/>
      <c r="N8" s="44"/>
      <c r="O8" s="44"/>
      <c r="P8" s="44"/>
      <c r="Q8" s="44"/>
      <c r="R8" s="44"/>
      <c r="S8" s="44"/>
      <c r="T8" s="44"/>
      <c r="U8" s="44"/>
      <c r="V8" s="44"/>
      <c r="W8" s="44"/>
      <c r="X8" s="44"/>
      <c r="Y8" s="44"/>
    </row>
    <row r="9" spans="1:25" s="3" customFormat="1" ht="18" x14ac:dyDescent="0.35">
      <c r="A9" s="47" t="s">
        <v>4</v>
      </c>
      <c r="B9" s="47"/>
      <c r="C9" s="47"/>
      <c r="D9" s="47"/>
      <c r="E9" s="47"/>
      <c r="F9" s="47"/>
      <c r="G9" s="47"/>
      <c r="H9" s="47"/>
      <c r="I9" s="47"/>
      <c r="J9" s="47"/>
      <c r="K9" s="47"/>
      <c r="L9" s="47"/>
      <c r="M9" s="47"/>
      <c r="N9" s="47"/>
      <c r="O9" s="47"/>
      <c r="P9" s="47"/>
      <c r="Q9" s="47"/>
      <c r="R9" s="47"/>
      <c r="S9" s="47"/>
      <c r="T9" s="47"/>
      <c r="U9" s="47"/>
      <c r="V9" s="47"/>
      <c r="W9" s="47"/>
      <c r="X9" s="47"/>
      <c r="Y9" s="47"/>
    </row>
    <row r="10" spans="1:25" s="1" customFormat="1" x14ac:dyDescent="0.3">
      <c r="A10" s="44" t="s">
        <v>5</v>
      </c>
      <c r="B10" s="44"/>
      <c r="C10" s="44"/>
      <c r="D10" s="44"/>
      <c r="E10" s="44"/>
      <c r="F10" s="44"/>
      <c r="G10" s="44"/>
      <c r="H10" s="44"/>
      <c r="I10" s="44"/>
      <c r="J10" s="44"/>
      <c r="K10" s="44"/>
      <c r="L10" s="44"/>
      <c r="M10" s="44"/>
      <c r="N10" s="44"/>
      <c r="O10" s="44"/>
      <c r="P10" s="44"/>
      <c r="Q10" s="44"/>
      <c r="R10" s="44"/>
      <c r="S10" s="44"/>
      <c r="T10" s="44"/>
      <c r="U10" s="44"/>
      <c r="V10" s="44"/>
      <c r="W10" s="44"/>
      <c r="X10" s="44"/>
      <c r="Y10" s="44"/>
    </row>
    <row r="11" spans="1:25" s="3" customFormat="1" ht="18" x14ac:dyDescent="0.35">
      <c r="A11" s="47" t="s">
        <v>6</v>
      </c>
      <c r="B11" s="47"/>
      <c r="C11" s="47"/>
      <c r="D11" s="47"/>
      <c r="E11" s="47"/>
      <c r="F11" s="47"/>
      <c r="G11" s="47"/>
      <c r="H11" s="47"/>
      <c r="I11" s="47"/>
      <c r="J11" s="47"/>
      <c r="K11" s="47"/>
      <c r="L11" s="47"/>
      <c r="M11" s="47"/>
      <c r="N11" s="47"/>
      <c r="O11" s="47"/>
      <c r="P11" s="47"/>
      <c r="Q11" s="47"/>
      <c r="R11" s="47"/>
      <c r="S11" s="47"/>
      <c r="T11" s="47"/>
      <c r="U11" s="47"/>
      <c r="V11" s="47"/>
      <c r="W11" s="47"/>
      <c r="X11" s="47"/>
      <c r="Y11" s="47"/>
    </row>
    <row r="12" spans="1:25" s="1" customFormat="1" ht="15" thickBot="1" x14ac:dyDescent="0.35">
      <c r="A12" s="44"/>
      <c r="B12" s="44"/>
      <c r="C12" s="44"/>
      <c r="D12" s="44"/>
      <c r="E12" s="44"/>
      <c r="F12" s="44"/>
      <c r="G12" s="44"/>
      <c r="H12" s="44"/>
      <c r="I12" s="44"/>
      <c r="J12" s="44"/>
      <c r="K12" s="44"/>
      <c r="L12" s="44"/>
      <c r="M12" s="44"/>
      <c r="N12" s="44"/>
      <c r="O12" s="44"/>
      <c r="P12" s="44"/>
      <c r="Q12" s="44"/>
      <c r="R12" s="44"/>
      <c r="S12" s="44"/>
      <c r="T12" s="44"/>
      <c r="U12" s="44"/>
      <c r="V12" s="44"/>
      <c r="W12" s="44"/>
      <c r="X12" s="44"/>
      <c r="Y12" s="44"/>
    </row>
    <row r="13" spans="1:25" s="4" customFormat="1" x14ac:dyDescent="0.3">
      <c r="A13" s="48"/>
      <c r="B13" s="48"/>
      <c r="C13" s="48"/>
      <c r="D13" s="48"/>
      <c r="E13" s="48"/>
      <c r="F13" s="48"/>
      <c r="G13" s="48"/>
      <c r="H13" s="48"/>
      <c r="I13" s="48"/>
      <c r="J13" s="48"/>
      <c r="K13" s="48"/>
      <c r="L13" s="48"/>
      <c r="M13" s="48"/>
      <c r="N13" s="48"/>
      <c r="O13" s="48"/>
      <c r="P13" s="48"/>
      <c r="Q13" s="48"/>
      <c r="R13" s="48"/>
      <c r="S13" s="48"/>
      <c r="T13" s="48"/>
      <c r="U13" s="48"/>
      <c r="V13" s="48"/>
      <c r="W13" s="48"/>
      <c r="X13" s="48"/>
      <c r="Y13" s="48"/>
    </row>
    <row r="14" spans="1:25" s="5" customFormat="1" ht="18" x14ac:dyDescent="0.35">
      <c r="A14" s="17"/>
      <c r="B14" s="17"/>
      <c r="C14" s="17" t="s">
        <v>7</v>
      </c>
      <c r="D14" s="17"/>
      <c r="G14" s="35"/>
      <c r="H14" s="6">
        <f>H121+H392</f>
        <v>265000</v>
      </c>
    </row>
    <row r="15" spans="1:25" x14ac:dyDescent="0.3">
      <c r="C15" s="18" t="s">
        <v>8</v>
      </c>
      <c r="D15" s="21">
        <v>0</v>
      </c>
      <c r="H15" s="7">
        <f>SUM(H14, -H16)</f>
        <v>0</v>
      </c>
    </row>
    <row r="16" spans="1:25" x14ac:dyDescent="0.3">
      <c r="C16" s="18" t="s">
        <v>9</v>
      </c>
      <c r="H16" s="7">
        <f>IF(ISBLANK(D15),H14,ROUND(PRODUCT(H14, SUM(1, -D15)), 2))</f>
        <v>265000</v>
      </c>
    </row>
    <row r="17" spans="1:25" x14ac:dyDescent="0.3">
      <c r="C17" s="18" t="s">
        <v>10</v>
      </c>
      <c r="D17" s="21">
        <v>0</v>
      </c>
      <c r="H17" s="7">
        <f>IF(ISBLANK(D17),0,ROUND(PRODUCT(H16, D17), 2))</f>
        <v>0</v>
      </c>
    </row>
    <row r="18" spans="1:25" x14ac:dyDescent="0.3">
      <c r="C18" s="18" t="s">
        <v>11</v>
      </c>
      <c r="H18" s="7">
        <f>SUM(H16,H17)</f>
        <v>265000</v>
      </c>
    </row>
    <row r="19" spans="1:25" x14ac:dyDescent="0.3">
      <c r="C19" s="18" t="s">
        <v>12</v>
      </c>
      <c r="D19" s="21">
        <v>0</v>
      </c>
      <c r="E19" s="8">
        <v>0</v>
      </c>
      <c r="H19" s="7">
        <f>SUM(H18, -H20)</f>
        <v>0</v>
      </c>
    </row>
    <row r="20" spans="1:25" x14ac:dyDescent="0.3">
      <c r="C20" s="18" t="s">
        <v>13</v>
      </c>
      <c r="H20" s="7">
        <f>IF(ISBLANK(D19),H18,ROUND(PRODUCT(H18, SUM(1, -D19)), 2))</f>
        <v>265000</v>
      </c>
    </row>
    <row r="22" spans="1:25" s="4" customFormat="1" x14ac:dyDescent="0.3">
      <c r="A22" s="48"/>
      <c r="B22" s="48"/>
      <c r="C22" s="48"/>
      <c r="D22" s="48"/>
      <c r="E22" s="48"/>
      <c r="F22" s="48"/>
      <c r="G22" s="48"/>
      <c r="H22" s="48"/>
      <c r="I22" s="48"/>
      <c r="J22" s="48"/>
      <c r="K22" s="48"/>
      <c r="L22" s="48"/>
      <c r="M22" s="48"/>
      <c r="N22" s="48"/>
      <c r="O22" s="48"/>
      <c r="P22" s="48"/>
      <c r="Q22" s="48"/>
      <c r="R22" s="48"/>
      <c r="S22" s="48"/>
      <c r="T22" s="48"/>
      <c r="U22" s="48"/>
      <c r="V22" s="48"/>
      <c r="W22" s="48"/>
      <c r="X22" s="48"/>
      <c r="Y22" s="48"/>
    </row>
    <row r="23" spans="1:25" s="9" customFormat="1" ht="43.2" x14ac:dyDescent="0.3">
      <c r="A23" s="19" t="s">
        <v>14</v>
      </c>
      <c r="B23" s="19" t="s">
        <v>15</v>
      </c>
      <c r="C23" s="19" t="s">
        <v>16</v>
      </c>
      <c r="D23" s="19" t="s">
        <v>17</v>
      </c>
      <c r="E23" s="10" t="s">
        <v>18</v>
      </c>
      <c r="F23" s="9" t="s">
        <v>19</v>
      </c>
      <c r="G23" s="37" t="s">
        <v>20</v>
      </c>
      <c r="H23" s="10" t="s">
        <v>7</v>
      </c>
      <c r="I23" s="9" t="s">
        <v>21</v>
      </c>
    </row>
    <row r="25" spans="1:25" s="11" customFormat="1" ht="28.8" x14ac:dyDescent="0.3">
      <c r="A25" s="20" t="s">
        <v>22</v>
      </c>
      <c r="B25" s="20"/>
      <c r="C25" s="20" t="s">
        <v>23</v>
      </c>
      <c r="D25" s="20"/>
      <c r="G25" s="38"/>
      <c r="H25" s="12"/>
    </row>
    <row r="26" spans="1:25" s="11" customFormat="1" hidden="1" x14ac:dyDescent="0.3">
      <c r="A26" s="20" t="s">
        <v>24</v>
      </c>
      <c r="B26" s="20"/>
      <c r="C26" s="20" t="s">
        <v>25</v>
      </c>
      <c r="D26" s="20"/>
      <c r="G26" s="38"/>
      <c r="H26" s="12">
        <f>SUM(H27,H30,H32,H35,H38,H40,H42,H44,H45,H46,H47)</f>
        <v>0</v>
      </c>
    </row>
    <row r="27" spans="1:25" s="11" customFormat="1" hidden="1" x14ac:dyDescent="0.3">
      <c r="A27" s="20" t="s">
        <v>26</v>
      </c>
      <c r="B27" s="20"/>
      <c r="C27" s="20" t="s">
        <v>27</v>
      </c>
      <c r="D27" s="20"/>
      <c r="G27" s="38"/>
      <c r="H27" s="12">
        <v>0</v>
      </c>
    </row>
    <row r="28" spans="1:25" s="13" customFormat="1" ht="409.6" hidden="1" x14ac:dyDescent="0.3">
      <c r="A28" s="15"/>
      <c r="B28" s="15"/>
      <c r="C28" s="15" t="s">
        <v>28</v>
      </c>
      <c r="D28" s="15" t="s">
        <v>29</v>
      </c>
      <c r="G28" s="39"/>
      <c r="I28" s="13" t="s">
        <v>30</v>
      </c>
    </row>
    <row r="29" spans="1:25" s="13" customFormat="1" ht="129.6" hidden="1" x14ac:dyDescent="0.3">
      <c r="A29" s="15"/>
      <c r="B29" s="15"/>
      <c r="C29" s="15" t="s">
        <v>31</v>
      </c>
      <c r="D29" s="15" t="s">
        <v>32</v>
      </c>
      <c r="G29" s="39"/>
      <c r="I29" s="13" t="s">
        <v>30</v>
      </c>
    </row>
    <row r="30" spans="1:25" s="11" customFormat="1" hidden="1" x14ac:dyDescent="0.3">
      <c r="A30" s="20" t="s">
        <v>33</v>
      </c>
      <c r="B30" s="20"/>
      <c r="C30" s="20" t="s">
        <v>34</v>
      </c>
      <c r="D30" s="20"/>
      <c r="G30" s="38"/>
      <c r="H30" s="12">
        <f>SUM(H31)</f>
        <v>0</v>
      </c>
    </row>
    <row r="31" spans="1:25" s="13" customFormat="1" ht="409.6" hidden="1" x14ac:dyDescent="0.3">
      <c r="A31" s="15" t="s">
        <v>35</v>
      </c>
      <c r="B31" s="15" t="s">
        <v>30</v>
      </c>
      <c r="C31" s="15" t="s">
        <v>36</v>
      </c>
      <c r="D31" s="15" t="s">
        <v>37</v>
      </c>
      <c r="E31" s="13">
        <v>1</v>
      </c>
      <c r="F31" s="13" t="s">
        <v>38</v>
      </c>
      <c r="G31" s="40"/>
      <c r="H31" s="14" t="str">
        <f>IF(AND(ISNUMBER(E31),ISNUMBER(G31)),ROUND(PRODUCT(PRODUCT(E31, G31), 1 - J31), 2),"")</f>
        <v/>
      </c>
      <c r="I31" s="13" t="s">
        <v>30</v>
      </c>
      <c r="J31" s="13">
        <v>0</v>
      </c>
    </row>
    <row r="32" spans="1:25" s="11" customFormat="1" ht="28.8" hidden="1" x14ac:dyDescent="0.3">
      <c r="A32" s="20" t="s">
        <v>39</v>
      </c>
      <c r="B32" s="20"/>
      <c r="C32" s="20" t="s">
        <v>40</v>
      </c>
      <c r="D32" s="20"/>
      <c r="G32" s="38"/>
      <c r="H32" s="12">
        <f>SUM(H33,H34)</f>
        <v>0</v>
      </c>
    </row>
    <row r="33" spans="1:10" s="13" customFormat="1" ht="129.6" hidden="1" x14ac:dyDescent="0.3">
      <c r="A33" s="15" t="s">
        <v>41</v>
      </c>
      <c r="B33" s="15" t="s">
        <v>30</v>
      </c>
      <c r="C33" s="15" t="s">
        <v>42</v>
      </c>
      <c r="D33" s="15" t="s">
        <v>43</v>
      </c>
      <c r="E33" s="13">
        <v>1</v>
      </c>
      <c r="F33" s="13" t="s">
        <v>38</v>
      </c>
      <c r="G33" s="40"/>
      <c r="H33" s="14" t="str">
        <f>IF(AND(ISNUMBER(E33),ISNUMBER(G33)),ROUND(PRODUCT(PRODUCT(E33, G33), 1 - J33), 2),"")</f>
        <v/>
      </c>
      <c r="I33" s="13" t="s">
        <v>30</v>
      </c>
      <c r="J33" s="13">
        <v>0</v>
      </c>
    </row>
    <row r="34" spans="1:10" s="13" customFormat="1" ht="100.8" hidden="1" x14ac:dyDescent="0.3">
      <c r="A34" s="15" t="s">
        <v>44</v>
      </c>
      <c r="B34" s="15" t="s">
        <v>30</v>
      </c>
      <c r="C34" s="15" t="s">
        <v>45</v>
      </c>
      <c r="D34" s="15" t="s">
        <v>46</v>
      </c>
      <c r="E34" s="13">
        <v>1</v>
      </c>
      <c r="F34" s="13" t="s">
        <v>38</v>
      </c>
      <c r="G34" s="40"/>
      <c r="H34" s="14" t="str">
        <f>IF(AND(ISNUMBER(E34),ISNUMBER(G34)),ROUND(PRODUCT(PRODUCT(E34, G34), 1 - J34), 2),"")</f>
        <v/>
      </c>
      <c r="I34" s="13" t="s">
        <v>30</v>
      </c>
      <c r="J34" s="13">
        <v>0</v>
      </c>
    </row>
    <row r="35" spans="1:10" s="11" customFormat="1" hidden="1" x14ac:dyDescent="0.3">
      <c r="A35" s="20" t="s">
        <v>47</v>
      </c>
      <c r="B35" s="20"/>
      <c r="C35" s="20" t="s">
        <v>48</v>
      </c>
      <c r="D35" s="20"/>
      <c r="G35" s="38"/>
      <c r="H35" s="12">
        <f>SUM(H36,H37)</f>
        <v>0</v>
      </c>
    </row>
    <row r="36" spans="1:10" s="13" customFormat="1" ht="100.8" hidden="1" x14ac:dyDescent="0.3">
      <c r="A36" s="15" t="s">
        <v>49</v>
      </c>
      <c r="B36" s="15" t="s">
        <v>30</v>
      </c>
      <c r="C36" s="15" t="s">
        <v>50</v>
      </c>
      <c r="D36" s="15" t="s">
        <v>51</v>
      </c>
      <c r="E36" s="13">
        <v>1</v>
      </c>
      <c r="F36" s="13" t="s">
        <v>38</v>
      </c>
      <c r="G36" s="40"/>
      <c r="H36" s="14" t="str">
        <f>IF(AND(ISNUMBER(E36),ISNUMBER(G36)),ROUND(PRODUCT(PRODUCT(E36, G36), 1 - J36), 2),"")</f>
        <v/>
      </c>
      <c r="I36" s="13" t="s">
        <v>30</v>
      </c>
      <c r="J36" s="13">
        <v>0</v>
      </c>
    </row>
    <row r="37" spans="1:10" s="13" customFormat="1" ht="129.6" hidden="1" x14ac:dyDescent="0.3">
      <c r="A37" s="15" t="s">
        <v>52</v>
      </c>
      <c r="B37" s="15" t="s">
        <v>30</v>
      </c>
      <c r="C37" s="15" t="s">
        <v>53</v>
      </c>
      <c r="D37" s="15" t="s">
        <v>54</v>
      </c>
      <c r="E37" s="13">
        <v>1</v>
      </c>
      <c r="F37" s="13" t="s">
        <v>38</v>
      </c>
      <c r="G37" s="40"/>
      <c r="H37" s="14" t="str">
        <f>IF(AND(ISNUMBER(E37),ISNUMBER(G37)),ROUND(PRODUCT(PRODUCT(E37, G37), 1 - J37), 2),"")</f>
        <v/>
      </c>
      <c r="I37" s="13" t="s">
        <v>30</v>
      </c>
      <c r="J37" s="13">
        <v>0</v>
      </c>
    </row>
    <row r="38" spans="1:10" s="11" customFormat="1" hidden="1" x14ac:dyDescent="0.3">
      <c r="A38" s="20" t="s">
        <v>55</v>
      </c>
      <c r="B38" s="20"/>
      <c r="C38" s="20" t="s">
        <v>56</v>
      </c>
      <c r="D38" s="20"/>
      <c r="G38" s="38"/>
      <c r="H38" s="12">
        <f>SUM(H39)</f>
        <v>0</v>
      </c>
    </row>
    <row r="39" spans="1:10" s="13" customFormat="1" ht="244.8" hidden="1" x14ac:dyDescent="0.3">
      <c r="A39" s="15" t="s">
        <v>57</v>
      </c>
      <c r="B39" s="15" t="s">
        <v>30</v>
      </c>
      <c r="C39" s="15" t="s">
        <v>58</v>
      </c>
      <c r="D39" s="15" t="s">
        <v>59</v>
      </c>
      <c r="E39" s="13">
        <v>1</v>
      </c>
      <c r="F39" s="13" t="s">
        <v>60</v>
      </c>
      <c r="G39" s="40"/>
      <c r="H39" s="14" t="str">
        <f>IF(AND(ISNUMBER(E39),ISNUMBER(G39)),ROUND(PRODUCT(PRODUCT(E39, G39), 1 - J39), 2),"")</f>
        <v/>
      </c>
      <c r="I39" s="13" t="s">
        <v>30</v>
      </c>
      <c r="J39" s="13">
        <v>0</v>
      </c>
    </row>
    <row r="40" spans="1:10" s="11" customFormat="1" hidden="1" x14ac:dyDescent="0.3">
      <c r="A40" s="20" t="s">
        <v>61</v>
      </c>
      <c r="B40" s="20"/>
      <c r="C40" s="20" t="s">
        <v>62</v>
      </c>
      <c r="D40" s="20"/>
      <c r="G40" s="38"/>
      <c r="H40" s="12">
        <f>SUM(H41)</f>
        <v>0</v>
      </c>
    </row>
    <row r="41" spans="1:10" s="13" customFormat="1" ht="129.6" hidden="1" x14ac:dyDescent="0.3">
      <c r="A41" s="15" t="s">
        <v>63</v>
      </c>
      <c r="B41" s="15" t="s">
        <v>30</v>
      </c>
      <c r="C41" s="15" t="s">
        <v>64</v>
      </c>
      <c r="D41" s="15" t="s">
        <v>65</v>
      </c>
      <c r="E41" s="13">
        <v>1</v>
      </c>
      <c r="F41" s="13" t="s">
        <v>60</v>
      </c>
      <c r="G41" s="40"/>
      <c r="H41" s="14" t="str">
        <f>IF(AND(ISNUMBER(E41),ISNUMBER(G41)),ROUND(PRODUCT(PRODUCT(E41, G41), 1 - J41), 2),"")</f>
        <v/>
      </c>
      <c r="I41" s="13" t="s">
        <v>30</v>
      </c>
      <c r="J41" s="13">
        <v>0</v>
      </c>
    </row>
    <row r="42" spans="1:10" s="11" customFormat="1" hidden="1" x14ac:dyDescent="0.3">
      <c r="A42" s="20" t="s">
        <v>66</v>
      </c>
      <c r="B42" s="20"/>
      <c r="C42" s="20" t="s">
        <v>67</v>
      </c>
      <c r="D42" s="20"/>
      <c r="G42" s="38"/>
      <c r="H42" s="12">
        <f>SUM(H43)</f>
        <v>0</v>
      </c>
    </row>
    <row r="43" spans="1:10" s="13" customFormat="1" ht="57.6" hidden="1" x14ac:dyDescent="0.3">
      <c r="A43" s="15" t="s">
        <v>68</v>
      </c>
      <c r="B43" s="15" t="s">
        <v>30</v>
      </c>
      <c r="C43" s="15" t="s">
        <v>69</v>
      </c>
      <c r="D43" s="15" t="s">
        <v>70</v>
      </c>
      <c r="E43" s="13">
        <v>380</v>
      </c>
      <c r="F43" s="13" t="s">
        <v>71</v>
      </c>
      <c r="G43" s="40"/>
      <c r="H43" s="14" t="str">
        <f>IF(AND(ISNUMBER(E43),ISNUMBER(G43)),ROUND(PRODUCT(PRODUCT(E43, G43), 1 - J43), 2),"")</f>
        <v/>
      </c>
      <c r="I43" s="13" t="s">
        <v>30</v>
      </c>
      <c r="J43" s="13">
        <v>0</v>
      </c>
    </row>
    <row r="44" spans="1:10" s="11" customFormat="1" hidden="1" x14ac:dyDescent="0.3">
      <c r="A44" s="20" t="s">
        <v>72</v>
      </c>
      <c r="B44" s="20"/>
      <c r="C44" s="20" t="s">
        <v>73</v>
      </c>
      <c r="D44" s="20"/>
      <c r="G44" s="38"/>
      <c r="H44" s="12">
        <v>0</v>
      </c>
    </row>
    <row r="45" spans="1:10" s="11" customFormat="1" ht="28.8" hidden="1" x14ac:dyDescent="0.3">
      <c r="A45" s="20" t="s">
        <v>74</v>
      </c>
      <c r="B45" s="20"/>
      <c r="C45" s="20" t="s">
        <v>75</v>
      </c>
      <c r="D45" s="20"/>
      <c r="G45" s="38"/>
      <c r="H45" s="12">
        <v>0</v>
      </c>
    </row>
    <row r="46" spans="1:10" s="11" customFormat="1" hidden="1" x14ac:dyDescent="0.3">
      <c r="A46" s="20" t="s">
        <v>76</v>
      </c>
      <c r="B46" s="20"/>
      <c r="C46" s="20" t="s">
        <v>77</v>
      </c>
      <c r="D46" s="20"/>
      <c r="G46" s="38"/>
      <c r="H46" s="12">
        <v>0</v>
      </c>
    </row>
    <row r="47" spans="1:10" s="11" customFormat="1" hidden="1" x14ac:dyDescent="0.3">
      <c r="A47" s="20" t="s">
        <v>78</v>
      </c>
      <c r="B47" s="20"/>
      <c r="C47" s="20" t="s">
        <v>79</v>
      </c>
      <c r="D47" s="20"/>
      <c r="G47" s="38"/>
      <c r="H47" s="12">
        <v>0</v>
      </c>
    </row>
    <row r="48" spans="1:10" s="11" customFormat="1" hidden="1" x14ac:dyDescent="0.3">
      <c r="A48" s="20" t="s">
        <v>80</v>
      </c>
      <c r="B48" s="20"/>
      <c r="C48" s="20" t="s">
        <v>81</v>
      </c>
      <c r="D48" s="20"/>
      <c r="G48" s="38"/>
      <c r="H48" s="12">
        <f>SUM(H49,H52,H53,H54,H55,H56,H58,H61,H62)</f>
        <v>0</v>
      </c>
    </row>
    <row r="49" spans="1:10" s="11" customFormat="1" hidden="1" x14ac:dyDescent="0.3">
      <c r="A49" s="20" t="s">
        <v>82</v>
      </c>
      <c r="B49" s="20"/>
      <c r="C49" s="20" t="s">
        <v>83</v>
      </c>
      <c r="D49" s="20"/>
      <c r="G49" s="38"/>
      <c r="H49" s="12">
        <v>0</v>
      </c>
    </row>
    <row r="50" spans="1:10" s="13" customFormat="1" ht="409.6" hidden="1" x14ac:dyDescent="0.3">
      <c r="A50" s="15"/>
      <c r="B50" s="15"/>
      <c r="C50" s="15" t="s">
        <v>28</v>
      </c>
      <c r="D50" s="15" t="s">
        <v>84</v>
      </c>
      <c r="G50" s="39"/>
      <c r="I50" s="13" t="s">
        <v>30</v>
      </c>
    </row>
    <row r="51" spans="1:10" s="13" customFormat="1" ht="172.8" hidden="1" x14ac:dyDescent="0.3">
      <c r="A51" s="15"/>
      <c r="B51" s="15"/>
      <c r="C51" s="15" t="s">
        <v>85</v>
      </c>
      <c r="D51" s="15" t="s">
        <v>86</v>
      </c>
      <c r="G51" s="39"/>
      <c r="I51" s="13" t="s">
        <v>30</v>
      </c>
    </row>
    <row r="52" spans="1:10" s="11" customFormat="1" hidden="1" x14ac:dyDescent="0.3">
      <c r="A52" s="20" t="s">
        <v>87</v>
      </c>
      <c r="B52" s="20"/>
      <c r="C52" s="20" t="s">
        <v>88</v>
      </c>
      <c r="D52" s="20"/>
      <c r="G52" s="38"/>
      <c r="H52" s="12">
        <v>0</v>
      </c>
    </row>
    <row r="53" spans="1:10" s="11" customFormat="1" hidden="1" x14ac:dyDescent="0.3">
      <c r="A53" s="20" t="s">
        <v>89</v>
      </c>
      <c r="B53" s="20"/>
      <c r="C53" s="20" t="s">
        <v>90</v>
      </c>
      <c r="D53" s="20"/>
      <c r="G53" s="38"/>
      <c r="H53" s="12">
        <v>0</v>
      </c>
    </row>
    <row r="54" spans="1:10" s="11" customFormat="1" hidden="1" x14ac:dyDescent="0.3">
      <c r="A54" s="20" t="s">
        <v>91</v>
      </c>
      <c r="B54" s="20"/>
      <c r="C54" s="20" t="s">
        <v>92</v>
      </c>
      <c r="D54" s="20"/>
      <c r="G54" s="38"/>
      <c r="H54" s="12">
        <v>0</v>
      </c>
    </row>
    <row r="55" spans="1:10" s="11" customFormat="1" hidden="1" x14ac:dyDescent="0.3">
      <c r="A55" s="20" t="s">
        <v>93</v>
      </c>
      <c r="B55" s="20"/>
      <c r="C55" s="20" t="s">
        <v>94</v>
      </c>
      <c r="D55" s="20"/>
      <c r="G55" s="38"/>
      <c r="H55" s="12">
        <v>0</v>
      </c>
    </row>
    <row r="56" spans="1:10" s="11" customFormat="1" hidden="1" x14ac:dyDescent="0.3">
      <c r="A56" s="20" t="s">
        <v>95</v>
      </c>
      <c r="B56" s="20"/>
      <c r="C56" s="20" t="s">
        <v>96</v>
      </c>
      <c r="D56" s="20"/>
      <c r="G56" s="38"/>
      <c r="H56" s="12">
        <f>SUM(H57)</f>
        <v>0</v>
      </c>
    </row>
    <row r="57" spans="1:10" s="13" customFormat="1" hidden="1" x14ac:dyDescent="0.3">
      <c r="A57" s="15" t="s">
        <v>97</v>
      </c>
      <c r="B57" s="15" t="s">
        <v>30</v>
      </c>
      <c r="C57" s="15" t="s">
        <v>98</v>
      </c>
      <c r="D57" s="15" t="s">
        <v>99</v>
      </c>
      <c r="E57" s="13">
        <v>40</v>
      </c>
      <c r="F57" s="13" t="s">
        <v>100</v>
      </c>
      <c r="G57" s="40"/>
      <c r="H57" s="14" t="str">
        <f>IF(AND(ISNUMBER(E57),ISNUMBER(G57)),ROUND(PRODUCT(PRODUCT(E57, G57), 1 - J57), 2),"")</f>
        <v/>
      </c>
      <c r="I57" s="13" t="s">
        <v>30</v>
      </c>
      <c r="J57" s="13">
        <v>0</v>
      </c>
    </row>
    <row r="58" spans="1:10" s="11" customFormat="1" hidden="1" x14ac:dyDescent="0.3">
      <c r="A58" s="20" t="s">
        <v>101</v>
      </c>
      <c r="B58" s="20"/>
      <c r="C58" s="20" t="s">
        <v>102</v>
      </c>
      <c r="D58" s="20"/>
      <c r="G58" s="38"/>
      <c r="H58" s="12">
        <f>SUM(H59,H60)</f>
        <v>0</v>
      </c>
    </row>
    <row r="59" spans="1:10" s="13" customFormat="1" ht="57.6" hidden="1" x14ac:dyDescent="0.3">
      <c r="A59" s="15" t="s">
        <v>103</v>
      </c>
      <c r="B59" s="15" t="s">
        <v>30</v>
      </c>
      <c r="C59" s="15" t="s">
        <v>104</v>
      </c>
      <c r="D59" s="15" t="s">
        <v>105</v>
      </c>
      <c r="E59" s="13">
        <v>96</v>
      </c>
      <c r="F59" s="13" t="s">
        <v>71</v>
      </c>
      <c r="G59" s="40"/>
      <c r="H59" s="14" t="str">
        <f>IF(AND(ISNUMBER(E59),ISNUMBER(G59)),ROUND(PRODUCT(PRODUCT(E59, G59), 1 - J59), 2),"")</f>
        <v/>
      </c>
      <c r="I59" s="13" t="s">
        <v>30</v>
      </c>
      <c r="J59" s="13">
        <v>0</v>
      </c>
    </row>
    <row r="60" spans="1:10" s="13" customFormat="1" ht="72" hidden="1" x14ac:dyDescent="0.3">
      <c r="A60" s="15" t="s">
        <v>106</v>
      </c>
      <c r="B60" s="15" t="s">
        <v>30</v>
      </c>
      <c r="C60" s="15" t="s">
        <v>107</v>
      </c>
      <c r="D60" s="15" t="s">
        <v>108</v>
      </c>
      <c r="E60" s="13">
        <v>1</v>
      </c>
      <c r="F60" s="13" t="s">
        <v>60</v>
      </c>
      <c r="G60" s="40"/>
      <c r="H60" s="14" t="str">
        <f>IF(AND(ISNUMBER(E60),ISNUMBER(G60)),ROUND(PRODUCT(PRODUCT(E60, G60), 1 - J60), 2),"")</f>
        <v/>
      </c>
      <c r="I60" s="13" t="s">
        <v>30</v>
      </c>
      <c r="J60" s="13">
        <v>0</v>
      </c>
    </row>
    <row r="61" spans="1:10" s="11" customFormat="1" hidden="1" x14ac:dyDescent="0.3">
      <c r="A61" s="20" t="s">
        <v>109</v>
      </c>
      <c r="B61" s="20"/>
      <c r="C61" s="20" t="s">
        <v>110</v>
      </c>
      <c r="D61" s="20"/>
      <c r="G61" s="38"/>
      <c r="H61" s="12">
        <v>0</v>
      </c>
    </row>
    <row r="62" spans="1:10" s="11" customFormat="1" hidden="1" x14ac:dyDescent="0.3">
      <c r="A62" s="20" t="s">
        <v>111</v>
      </c>
      <c r="B62" s="20"/>
      <c r="C62" s="20" t="s">
        <v>112</v>
      </c>
      <c r="D62" s="20"/>
      <c r="G62" s="38"/>
      <c r="H62" s="12">
        <f>SUM(H63)</f>
        <v>0</v>
      </c>
    </row>
    <row r="63" spans="1:10" s="13" customFormat="1" ht="28.8" hidden="1" x14ac:dyDescent="0.3">
      <c r="A63" s="15" t="s">
        <v>113</v>
      </c>
      <c r="B63" s="15" t="s">
        <v>30</v>
      </c>
      <c r="C63" s="15" t="s">
        <v>114</v>
      </c>
      <c r="D63" s="15" t="s">
        <v>115</v>
      </c>
      <c r="E63" s="13">
        <v>14</v>
      </c>
      <c r="F63" s="13" t="s">
        <v>71</v>
      </c>
      <c r="G63" s="40"/>
      <c r="H63" s="14" t="str">
        <f>IF(AND(ISNUMBER(E63),ISNUMBER(G63)),ROUND(PRODUCT(PRODUCT(E63, G63), 1 - J63), 2),"")</f>
        <v/>
      </c>
      <c r="I63" s="13" t="s">
        <v>30</v>
      </c>
      <c r="J63" s="13">
        <v>0</v>
      </c>
    </row>
    <row r="64" spans="1:10" s="11" customFormat="1" hidden="1" x14ac:dyDescent="0.3">
      <c r="A64" s="20" t="s">
        <v>116</v>
      </c>
      <c r="B64" s="20"/>
      <c r="C64" s="20" t="s">
        <v>117</v>
      </c>
      <c r="D64" s="20"/>
      <c r="G64" s="38"/>
      <c r="H64" s="12">
        <f>SUM(H65,H69,H70,H71,H72,H77,H81,H89,H91,H110)</f>
        <v>0</v>
      </c>
    </row>
    <row r="65" spans="1:10" s="11" customFormat="1" hidden="1" x14ac:dyDescent="0.3">
      <c r="A65" s="20" t="s">
        <v>118</v>
      </c>
      <c r="B65" s="20"/>
      <c r="C65" s="20" t="s">
        <v>83</v>
      </c>
      <c r="D65" s="20"/>
      <c r="G65" s="38"/>
      <c r="H65" s="12">
        <v>0</v>
      </c>
    </row>
    <row r="66" spans="1:10" s="13" customFormat="1" ht="409.6" hidden="1" x14ac:dyDescent="0.3">
      <c r="A66" s="15"/>
      <c r="B66" s="15"/>
      <c r="C66" s="15" t="s">
        <v>28</v>
      </c>
      <c r="D66" s="15" t="s">
        <v>29</v>
      </c>
      <c r="G66" s="39"/>
      <c r="I66" s="13" t="s">
        <v>30</v>
      </c>
    </row>
    <row r="67" spans="1:10" s="13" customFormat="1" ht="345.6" hidden="1" x14ac:dyDescent="0.3">
      <c r="A67" s="15"/>
      <c r="B67" s="15"/>
      <c r="C67" s="15" t="s">
        <v>119</v>
      </c>
      <c r="D67" s="15" t="s">
        <v>120</v>
      </c>
      <c r="G67" s="39"/>
      <c r="I67" s="13" t="s">
        <v>30</v>
      </c>
    </row>
    <row r="68" spans="1:10" s="13" customFormat="1" ht="345.6" hidden="1" x14ac:dyDescent="0.3">
      <c r="A68" s="15"/>
      <c r="B68" s="15"/>
      <c r="C68" s="15" t="s">
        <v>121</v>
      </c>
      <c r="D68" s="15" t="s">
        <v>122</v>
      </c>
      <c r="G68" s="39"/>
      <c r="I68" s="13" t="s">
        <v>30</v>
      </c>
    </row>
    <row r="69" spans="1:10" s="11" customFormat="1" hidden="1" x14ac:dyDescent="0.3">
      <c r="A69" s="20" t="s">
        <v>123</v>
      </c>
      <c r="B69" s="20"/>
      <c r="C69" s="20" t="s">
        <v>124</v>
      </c>
      <c r="D69" s="20"/>
      <c r="G69" s="38"/>
      <c r="H69" s="12">
        <v>0</v>
      </c>
    </row>
    <row r="70" spans="1:10" s="11" customFormat="1" hidden="1" x14ac:dyDescent="0.3">
      <c r="A70" s="20" t="s">
        <v>125</v>
      </c>
      <c r="B70" s="20"/>
      <c r="C70" s="20" t="s">
        <v>126</v>
      </c>
      <c r="D70" s="20"/>
      <c r="G70" s="38"/>
      <c r="H70" s="12">
        <v>0</v>
      </c>
    </row>
    <row r="71" spans="1:10" s="11" customFormat="1" hidden="1" x14ac:dyDescent="0.3">
      <c r="A71" s="20" t="s">
        <v>127</v>
      </c>
      <c r="B71" s="20"/>
      <c r="C71" s="20" t="s">
        <v>117</v>
      </c>
      <c r="D71" s="20"/>
      <c r="G71" s="38"/>
      <c r="H71" s="12">
        <v>0</v>
      </c>
    </row>
    <row r="72" spans="1:10" s="11" customFormat="1" hidden="1" x14ac:dyDescent="0.3">
      <c r="A72" s="20" t="s">
        <v>128</v>
      </c>
      <c r="B72" s="20"/>
      <c r="C72" s="20" t="s">
        <v>129</v>
      </c>
      <c r="D72" s="20"/>
      <c r="G72" s="38"/>
      <c r="H72" s="12">
        <f>SUM(H73,H74,H75,H76)</f>
        <v>0</v>
      </c>
    </row>
    <row r="73" spans="1:10" s="13" customFormat="1" ht="409.6" hidden="1" x14ac:dyDescent="0.3">
      <c r="A73" s="15" t="s">
        <v>130</v>
      </c>
      <c r="B73" s="15" t="s">
        <v>30</v>
      </c>
      <c r="C73" s="15" t="s">
        <v>131</v>
      </c>
      <c r="D73" s="15" t="s">
        <v>132</v>
      </c>
      <c r="E73" s="13">
        <v>405</v>
      </c>
      <c r="F73" s="13" t="s">
        <v>133</v>
      </c>
      <c r="G73" s="40"/>
      <c r="H73" s="14" t="str">
        <f>IF(AND(ISNUMBER(E73),ISNUMBER(G73)),ROUND(PRODUCT(PRODUCT(E73, G73), 1 - J73), 2),"")</f>
        <v/>
      </c>
      <c r="I73" s="13" t="s">
        <v>30</v>
      </c>
      <c r="J73" s="13">
        <v>0</v>
      </c>
    </row>
    <row r="74" spans="1:10" s="13" customFormat="1" ht="129.6" hidden="1" x14ac:dyDescent="0.3">
      <c r="A74" s="15" t="s">
        <v>134</v>
      </c>
      <c r="B74" s="15" t="s">
        <v>30</v>
      </c>
      <c r="C74" s="15" t="s">
        <v>135</v>
      </c>
      <c r="D74" s="15" t="s">
        <v>136</v>
      </c>
      <c r="E74" s="13">
        <v>1565</v>
      </c>
      <c r="F74" s="13" t="s">
        <v>133</v>
      </c>
      <c r="G74" s="40"/>
      <c r="H74" s="14" t="str">
        <f>IF(AND(ISNUMBER(E74),ISNUMBER(G74)),ROUND(PRODUCT(PRODUCT(E74, G74), 1 - J74), 2),"")</f>
        <v/>
      </c>
      <c r="I74" s="13" t="s">
        <v>30</v>
      </c>
      <c r="J74" s="13">
        <v>0</v>
      </c>
    </row>
    <row r="75" spans="1:10" s="13" customFormat="1" ht="57.6" hidden="1" x14ac:dyDescent="0.3">
      <c r="A75" s="15" t="s">
        <v>137</v>
      </c>
      <c r="B75" s="15" t="s">
        <v>30</v>
      </c>
      <c r="C75" s="15" t="s">
        <v>138</v>
      </c>
      <c r="D75" s="15" t="s">
        <v>139</v>
      </c>
      <c r="E75" s="13">
        <v>4015</v>
      </c>
      <c r="F75" s="13" t="s">
        <v>100</v>
      </c>
      <c r="G75" s="40"/>
      <c r="H75" s="14" t="str">
        <f>IF(AND(ISNUMBER(E75),ISNUMBER(G75)),ROUND(PRODUCT(PRODUCT(E75, G75), 1 - J75), 2),"")</f>
        <v/>
      </c>
      <c r="I75" s="13" t="s">
        <v>30</v>
      </c>
      <c r="J75" s="13">
        <v>0</v>
      </c>
    </row>
    <row r="76" spans="1:10" s="13" customFormat="1" ht="129.6" hidden="1" x14ac:dyDescent="0.3">
      <c r="A76" s="15" t="s">
        <v>140</v>
      </c>
      <c r="B76" s="15" t="s">
        <v>30</v>
      </c>
      <c r="C76" s="15" t="s">
        <v>141</v>
      </c>
      <c r="D76" s="15" t="s">
        <v>142</v>
      </c>
      <c r="E76" s="13">
        <v>1800</v>
      </c>
      <c r="F76" s="13" t="s">
        <v>133</v>
      </c>
      <c r="G76" s="40"/>
      <c r="H76" s="14" t="str">
        <f>IF(AND(ISNUMBER(E76),ISNUMBER(G76)),ROUND(PRODUCT(PRODUCT(E76, G76), 1 - J76), 2),"")</f>
        <v/>
      </c>
      <c r="I76" s="13" t="s">
        <v>30</v>
      </c>
      <c r="J76" s="13">
        <v>0</v>
      </c>
    </row>
    <row r="77" spans="1:10" s="11" customFormat="1" hidden="1" x14ac:dyDescent="0.3">
      <c r="A77" s="20" t="s">
        <v>143</v>
      </c>
      <c r="B77" s="20"/>
      <c r="C77" s="20" t="s">
        <v>144</v>
      </c>
      <c r="D77" s="20"/>
      <c r="G77" s="38"/>
      <c r="H77" s="12">
        <f>SUM(H78,H79,H80)</f>
        <v>0</v>
      </c>
    </row>
    <row r="78" spans="1:10" s="13" customFormat="1" ht="230.4" hidden="1" x14ac:dyDescent="0.3">
      <c r="A78" s="15" t="s">
        <v>145</v>
      </c>
      <c r="B78" s="15" t="s">
        <v>30</v>
      </c>
      <c r="C78" s="15" t="s">
        <v>146</v>
      </c>
      <c r="D78" s="15" t="s">
        <v>147</v>
      </c>
      <c r="E78" s="13">
        <v>3014.85</v>
      </c>
      <c r="F78" s="13" t="s">
        <v>133</v>
      </c>
      <c r="G78" s="40"/>
      <c r="H78" s="14" t="str">
        <f>IF(AND(ISNUMBER(E78),ISNUMBER(G78)),ROUND(PRODUCT(PRODUCT(E78, G78), 1 - J78), 2),"")</f>
        <v/>
      </c>
      <c r="I78" s="13" t="s">
        <v>30</v>
      </c>
      <c r="J78" s="13">
        <v>0</v>
      </c>
    </row>
    <row r="79" spans="1:10" s="13" customFormat="1" ht="129.6" hidden="1" x14ac:dyDescent="0.3">
      <c r="A79" s="15" t="s">
        <v>148</v>
      </c>
      <c r="B79" s="15" t="s">
        <v>30</v>
      </c>
      <c r="C79" s="15" t="s">
        <v>149</v>
      </c>
      <c r="D79" s="15" t="s">
        <v>150</v>
      </c>
      <c r="E79" s="13">
        <v>50</v>
      </c>
      <c r="F79" s="13" t="s">
        <v>133</v>
      </c>
      <c r="G79" s="40"/>
      <c r="H79" s="14" t="str">
        <f>IF(AND(ISNUMBER(E79),ISNUMBER(G79)),ROUND(PRODUCT(PRODUCT(E79, G79), 1 - J79), 2),"")</f>
        <v/>
      </c>
      <c r="I79" s="13" t="s">
        <v>30</v>
      </c>
      <c r="J79" s="13">
        <v>0</v>
      </c>
    </row>
    <row r="80" spans="1:10" s="13" customFormat="1" ht="57.6" hidden="1" x14ac:dyDescent="0.3">
      <c r="A80" s="15" t="s">
        <v>151</v>
      </c>
      <c r="B80" s="15" t="s">
        <v>30</v>
      </c>
      <c r="C80" s="15" t="s">
        <v>138</v>
      </c>
      <c r="D80" s="15" t="s">
        <v>139</v>
      </c>
      <c r="E80" s="13">
        <v>1278</v>
      </c>
      <c r="F80" s="13" t="s">
        <v>100</v>
      </c>
      <c r="G80" s="40"/>
      <c r="H80" s="14" t="str">
        <f>IF(AND(ISNUMBER(E80),ISNUMBER(G80)),ROUND(PRODUCT(PRODUCT(E80, G80), 1 - J80), 2),"")</f>
        <v/>
      </c>
      <c r="I80" s="13" t="s">
        <v>30</v>
      </c>
      <c r="J80" s="13">
        <v>0</v>
      </c>
    </row>
    <row r="81" spans="1:10" s="11" customFormat="1" hidden="1" x14ac:dyDescent="0.3">
      <c r="A81" s="20" t="s">
        <v>152</v>
      </c>
      <c r="B81" s="20"/>
      <c r="C81" s="20" t="s">
        <v>153</v>
      </c>
      <c r="D81" s="20"/>
      <c r="G81" s="38"/>
      <c r="H81" s="12">
        <f>SUM(H82,H83,H84,H85,H86,H87,H88)</f>
        <v>0</v>
      </c>
    </row>
    <row r="82" spans="1:10" s="13" customFormat="1" ht="201.6" hidden="1" x14ac:dyDescent="0.3">
      <c r="A82" s="15" t="s">
        <v>154</v>
      </c>
      <c r="B82" s="15" t="s">
        <v>30</v>
      </c>
      <c r="C82" s="15" t="s">
        <v>155</v>
      </c>
      <c r="D82" s="15" t="s">
        <v>156</v>
      </c>
      <c r="E82" s="13">
        <v>650</v>
      </c>
      <c r="F82" s="13" t="s">
        <v>133</v>
      </c>
      <c r="G82" s="40"/>
      <c r="H82" s="14" t="str">
        <f t="shared" ref="H82:H88" si="0">IF(AND(ISNUMBER(E82),ISNUMBER(G82)),ROUND(PRODUCT(PRODUCT(E82, G82), 1 - J82), 2),"")</f>
        <v/>
      </c>
      <c r="I82" s="13" t="s">
        <v>30</v>
      </c>
      <c r="J82" s="13">
        <v>0</v>
      </c>
    </row>
    <row r="83" spans="1:10" s="13" customFormat="1" ht="158.4" hidden="1" x14ac:dyDescent="0.3">
      <c r="A83" s="15" t="s">
        <v>157</v>
      </c>
      <c r="B83" s="15" t="s">
        <v>30</v>
      </c>
      <c r="C83" s="15" t="s">
        <v>158</v>
      </c>
      <c r="D83" s="15" t="s">
        <v>159</v>
      </c>
      <c r="E83" s="13">
        <v>1411</v>
      </c>
      <c r="F83" s="13" t="s">
        <v>133</v>
      </c>
      <c r="G83" s="40"/>
      <c r="H83" s="14" t="str">
        <f t="shared" si="0"/>
        <v/>
      </c>
      <c r="I83" s="13" t="s">
        <v>30</v>
      </c>
      <c r="J83" s="13">
        <v>0</v>
      </c>
    </row>
    <row r="84" spans="1:10" s="13" customFormat="1" ht="43.2" hidden="1" x14ac:dyDescent="0.3">
      <c r="A84" s="15" t="s">
        <v>160</v>
      </c>
      <c r="B84" s="15" t="s">
        <v>30</v>
      </c>
      <c r="C84" s="15" t="s">
        <v>161</v>
      </c>
      <c r="D84" s="15" t="s">
        <v>162</v>
      </c>
      <c r="E84" s="13">
        <v>650</v>
      </c>
      <c r="F84" s="13" t="s">
        <v>100</v>
      </c>
      <c r="G84" s="40"/>
      <c r="H84" s="14" t="str">
        <f t="shared" si="0"/>
        <v/>
      </c>
      <c r="I84" s="13" t="s">
        <v>30</v>
      </c>
      <c r="J84" s="13">
        <v>0</v>
      </c>
    </row>
    <row r="85" spans="1:10" s="13" customFormat="1" ht="100.8" hidden="1" x14ac:dyDescent="0.3">
      <c r="A85" s="15" t="s">
        <v>163</v>
      </c>
      <c r="B85" s="15" t="s">
        <v>30</v>
      </c>
      <c r="C85" s="15" t="s">
        <v>164</v>
      </c>
      <c r="D85" s="15" t="s">
        <v>165</v>
      </c>
      <c r="E85" s="13">
        <v>250</v>
      </c>
      <c r="F85" s="13" t="s">
        <v>133</v>
      </c>
      <c r="G85" s="40"/>
      <c r="H85" s="14" t="str">
        <f t="shared" si="0"/>
        <v/>
      </c>
      <c r="I85" s="13" t="s">
        <v>30</v>
      </c>
      <c r="J85" s="13">
        <v>0</v>
      </c>
    </row>
    <row r="86" spans="1:10" s="13" customFormat="1" ht="100.8" hidden="1" x14ac:dyDescent="0.3">
      <c r="A86" s="15" t="s">
        <v>166</v>
      </c>
      <c r="B86" s="15" t="s">
        <v>30</v>
      </c>
      <c r="C86" s="15" t="s">
        <v>167</v>
      </c>
      <c r="D86" s="15" t="s">
        <v>165</v>
      </c>
      <c r="E86" s="13">
        <v>51</v>
      </c>
      <c r="F86" s="13" t="s">
        <v>133</v>
      </c>
      <c r="G86" s="40"/>
      <c r="H86" s="14" t="str">
        <f t="shared" si="0"/>
        <v/>
      </c>
      <c r="I86" s="13" t="s">
        <v>30</v>
      </c>
      <c r="J86" s="13">
        <v>0</v>
      </c>
    </row>
    <row r="87" spans="1:10" s="13" customFormat="1" ht="72" hidden="1" x14ac:dyDescent="0.3">
      <c r="A87" s="15" t="s">
        <v>168</v>
      </c>
      <c r="B87" s="15" t="s">
        <v>30</v>
      </c>
      <c r="C87" s="15" t="s">
        <v>169</v>
      </c>
      <c r="D87" s="15" t="s">
        <v>170</v>
      </c>
      <c r="E87" s="13">
        <v>400</v>
      </c>
      <c r="F87" s="13" t="s">
        <v>133</v>
      </c>
      <c r="G87" s="40"/>
      <c r="H87" s="14" t="str">
        <f t="shared" si="0"/>
        <v/>
      </c>
      <c r="I87" s="13" t="s">
        <v>30</v>
      </c>
      <c r="J87" s="13">
        <v>0</v>
      </c>
    </row>
    <row r="88" spans="1:10" s="13" customFormat="1" ht="72" hidden="1" x14ac:dyDescent="0.3">
      <c r="A88" s="15" t="s">
        <v>171</v>
      </c>
      <c r="B88" s="15" t="s">
        <v>30</v>
      </c>
      <c r="C88" s="15" t="s">
        <v>172</v>
      </c>
      <c r="D88" s="15" t="s">
        <v>170</v>
      </c>
      <c r="E88" s="13">
        <v>906</v>
      </c>
      <c r="F88" s="13" t="s">
        <v>133</v>
      </c>
      <c r="G88" s="40"/>
      <c r="H88" s="14" t="str">
        <f t="shared" si="0"/>
        <v/>
      </c>
      <c r="I88" s="13" t="s">
        <v>30</v>
      </c>
      <c r="J88" s="13">
        <v>0</v>
      </c>
    </row>
    <row r="89" spans="1:10" s="11" customFormat="1" hidden="1" x14ac:dyDescent="0.3">
      <c r="A89" s="20" t="s">
        <v>173</v>
      </c>
      <c r="B89" s="20"/>
      <c r="C89" s="20" t="s">
        <v>174</v>
      </c>
      <c r="D89" s="20"/>
      <c r="G89" s="38"/>
      <c r="H89" s="12">
        <f>SUM(H90)</f>
        <v>0</v>
      </c>
    </row>
    <row r="90" spans="1:10" s="13" customFormat="1" ht="115.2" hidden="1" x14ac:dyDescent="0.3">
      <c r="A90" s="15" t="s">
        <v>175</v>
      </c>
      <c r="B90" s="15" t="s">
        <v>30</v>
      </c>
      <c r="C90" s="15" t="s">
        <v>176</v>
      </c>
      <c r="D90" s="15" t="s">
        <v>177</v>
      </c>
      <c r="E90" s="13">
        <v>669</v>
      </c>
      <c r="F90" s="13" t="s">
        <v>133</v>
      </c>
      <c r="G90" s="40"/>
      <c r="H90" s="14" t="str">
        <f>IF(AND(ISNUMBER(E90),ISNUMBER(G90)),ROUND(PRODUCT(PRODUCT(E90, G90), 1 - J90), 2),"")</f>
        <v/>
      </c>
      <c r="I90" s="13" t="s">
        <v>30</v>
      </c>
      <c r="J90" s="13">
        <v>0</v>
      </c>
    </row>
    <row r="91" spans="1:10" s="11" customFormat="1" hidden="1" x14ac:dyDescent="0.3">
      <c r="A91" s="20" t="s">
        <v>178</v>
      </c>
      <c r="B91" s="20"/>
      <c r="C91" s="20" t="s">
        <v>179</v>
      </c>
      <c r="D91" s="20"/>
      <c r="G91" s="38"/>
      <c r="H91" s="12">
        <f>SUM(H92,H93,H94,H95,H96,H97,H98,H99,H100,H101,H102,H103,H104,H105,H106,H107,H108,H109)</f>
        <v>0</v>
      </c>
    </row>
    <row r="92" spans="1:10" s="13" customFormat="1" ht="144" hidden="1" x14ac:dyDescent="0.3">
      <c r="A92" s="15" t="s">
        <v>180</v>
      </c>
      <c r="B92" s="15" t="s">
        <v>30</v>
      </c>
      <c r="C92" s="15" t="s">
        <v>181</v>
      </c>
      <c r="D92" s="15" t="s">
        <v>182</v>
      </c>
      <c r="E92" s="13">
        <v>194</v>
      </c>
      <c r="F92" s="13" t="s">
        <v>133</v>
      </c>
      <c r="G92" s="40"/>
      <c r="H92" s="14" t="str">
        <f t="shared" ref="H92:H109" si="1">IF(AND(ISNUMBER(E92),ISNUMBER(G92)),ROUND(PRODUCT(PRODUCT(E92, G92), 1 - J92), 2),"")</f>
        <v/>
      </c>
      <c r="I92" s="13" t="s">
        <v>30</v>
      </c>
      <c r="J92" s="13">
        <v>0</v>
      </c>
    </row>
    <row r="93" spans="1:10" s="13" customFormat="1" ht="144" hidden="1" x14ac:dyDescent="0.3">
      <c r="A93" s="15" t="s">
        <v>183</v>
      </c>
      <c r="B93" s="15" t="s">
        <v>30</v>
      </c>
      <c r="C93" s="15" t="s">
        <v>181</v>
      </c>
      <c r="D93" s="15" t="s">
        <v>184</v>
      </c>
      <c r="E93" s="13">
        <v>194</v>
      </c>
      <c r="F93" s="13" t="s">
        <v>133</v>
      </c>
      <c r="G93" s="40"/>
      <c r="H93" s="14" t="str">
        <f t="shared" si="1"/>
        <v/>
      </c>
      <c r="I93" s="13" t="s">
        <v>30</v>
      </c>
      <c r="J93" s="13">
        <v>0</v>
      </c>
    </row>
    <row r="94" spans="1:10" s="13" customFormat="1" ht="144" hidden="1" x14ac:dyDescent="0.3">
      <c r="A94" s="15" t="s">
        <v>185</v>
      </c>
      <c r="B94" s="15" t="s">
        <v>30</v>
      </c>
      <c r="C94" s="15" t="s">
        <v>186</v>
      </c>
      <c r="D94" s="15" t="s">
        <v>187</v>
      </c>
      <c r="E94" s="13">
        <v>860</v>
      </c>
      <c r="F94" s="13" t="s">
        <v>133</v>
      </c>
      <c r="G94" s="40"/>
      <c r="H94" s="14" t="str">
        <f t="shared" si="1"/>
        <v/>
      </c>
      <c r="I94" s="13" t="s">
        <v>30</v>
      </c>
      <c r="J94" s="13">
        <v>0</v>
      </c>
    </row>
    <row r="95" spans="1:10" s="13" customFormat="1" ht="144" hidden="1" x14ac:dyDescent="0.3">
      <c r="A95" s="15" t="s">
        <v>188</v>
      </c>
      <c r="B95" s="15" t="s">
        <v>30</v>
      </c>
      <c r="C95" s="15" t="s">
        <v>186</v>
      </c>
      <c r="D95" s="15" t="s">
        <v>189</v>
      </c>
      <c r="E95" s="13">
        <v>860</v>
      </c>
      <c r="F95" s="13" t="s">
        <v>133</v>
      </c>
      <c r="G95" s="40"/>
      <c r="H95" s="14" t="str">
        <f t="shared" si="1"/>
        <v/>
      </c>
      <c r="I95" s="13" t="s">
        <v>30</v>
      </c>
      <c r="J95" s="13">
        <v>0</v>
      </c>
    </row>
    <row r="96" spans="1:10" s="13" customFormat="1" ht="144" hidden="1" x14ac:dyDescent="0.3">
      <c r="A96" s="15" t="s">
        <v>190</v>
      </c>
      <c r="B96" s="15" t="s">
        <v>30</v>
      </c>
      <c r="C96" s="15" t="s">
        <v>191</v>
      </c>
      <c r="D96" s="15" t="s">
        <v>192</v>
      </c>
      <c r="E96" s="13">
        <v>50</v>
      </c>
      <c r="F96" s="13" t="s">
        <v>133</v>
      </c>
      <c r="G96" s="40"/>
      <c r="H96" s="14" t="str">
        <f t="shared" si="1"/>
        <v/>
      </c>
      <c r="I96" s="13" t="s">
        <v>30</v>
      </c>
      <c r="J96" s="13">
        <v>0</v>
      </c>
    </row>
    <row r="97" spans="1:10" s="13" customFormat="1" ht="144" hidden="1" x14ac:dyDescent="0.3">
      <c r="A97" s="15" t="s">
        <v>193</v>
      </c>
      <c r="B97" s="15" t="s">
        <v>30</v>
      </c>
      <c r="C97" s="15" t="s">
        <v>191</v>
      </c>
      <c r="D97" s="15" t="s">
        <v>194</v>
      </c>
      <c r="E97" s="13">
        <v>50</v>
      </c>
      <c r="F97" s="13" t="s">
        <v>133</v>
      </c>
      <c r="G97" s="40"/>
      <c r="H97" s="14" t="str">
        <f t="shared" si="1"/>
        <v/>
      </c>
      <c r="I97" s="13" t="s">
        <v>30</v>
      </c>
      <c r="J97" s="13">
        <v>0</v>
      </c>
    </row>
    <row r="98" spans="1:10" s="13" customFormat="1" ht="100.8" hidden="1" x14ac:dyDescent="0.3">
      <c r="A98" s="15" t="s">
        <v>195</v>
      </c>
      <c r="B98" s="15" t="s">
        <v>30</v>
      </c>
      <c r="C98" s="15" t="s">
        <v>196</v>
      </c>
      <c r="D98" s="15" t="s">
        <v>197</v>
      </c>
      <c r="E98" s="13">
        <v>1511.53</v>
      </c>
      <c r="F98" s="13" t="s">
        <v>133</v>
      </c>
      <c r="G98" s="40"/>
      <c r="H98" s="14" t="str">
        <f t="shared" si="1"/>
        <v/>
      </c>
      <c r="I98" s="13" t="s">
        <v>30</v>
      </c>
      <c r="J98" s="13">
        <v>0</v>
      </c>
    </row>
    <row r="99" spans="1:10" s="13" customFormat="1" ht="115.2" hidden="1" x14ac:dyDescent="0.3">
      <c r="A99" s="15" t="s">
        <v>198</v>
      </c>
      <c r="B99" s="15" t="s">
        <v>30</v>
      </c>
      <c r="C99" s="15" t="s">
        <v>199</v>
      </c>
      <c r="D99" s="15" t="s">
        <v>200</v>
      </c>
      <c r="E99" s="13">
        <v>1544.59</v>
      </c>
      <c r="F99" s="13" t="s">
        <v>133</v>
      </c>
      <c r="G99" s="40"/>
      <c r="H99" s="14" t="str">
        <f t="shared" si="1"/>
        <v/>
      </c>
      <c r="I99" s="13" t="s">
        <v>30</v>
      </c>
      <c r="J99" s="13">
        <v>0</v>
      </c>
    </row>
    <row r="100" spans="1:10" s="13" customFormat="1" ht="100.8" hidden="1" x14ac:dyDescent="0.3">
      <c r="A100" s="15" t="s">
        <v>201</v>
      </c>
      <c r="B100" s="15" t="s">
        <v>30</v>
      </c>
      <c r="C100" s="15" t="s">
        <v>202</v>
      </c>
      <c r="D100" s="15" t="s">
        <v>203</v>
      </c>
      <c r="E100" s="13">
        <v>642.55999999999995</v>
      </c>
      <c r="F100" s="13" t="s">
        <v>133</v>
      </c>
      <c r="G100" s="40"/>
      <c r="H100" s="14" t="str">
        <f t="shared" si="1"/>
        <v/>
      </c>
      <c r="I100" s="13" t="s">
        <v>30</v>
      </c>
      <c r="J100" s="13">
        <v>0</v>
      </c>
    </row>
    <row r="101" spans="1:10" s="13" customFormat="1" ht="72" hidden="1" x14ac:dyDescent="0.3">
      <c r="A101" s="15" t="s">
        <v>204</v>
      </c>
      <c r="B101" s="15" t="s">
        <v>30</v>
      </c>
      <c r="C101" s="15" t="s">
        <v>205</v>
      </c>
      <c r="D101" s="15" t="s">
        <v>206</v>
      </c>
      <c r="E101" s="13">
        <v>5294</v>
      </c>
      <c r="F101" s="13" t="s">
        <v>100</v>
      </c>
      <c r="G101" s="40"/>
      <c r="H101" s="14" t="str">
        <f t="shared" si="1"/>
        <v/>
      </c>
      <c r="I101" s="13" t="s">
        <v>30</v>
      </c>
      <c r="J101" s="13">
        <v>0</v>
      </c>
    </row>
    <row r="102" spans="1:10" s="13" customFormat="1" ht="72" hidden="1" x14ac:dyDescent="0.3">
      <c r="A102" s="15" t="s">
        <v>207</v>
      </c>
      <c r="B102" s="15" t="s">
        <v>30</v>
      </c>
      <c r="C102" s="15" t="s">
        <v>208</v>
      </c>
      <c r="D102" s="15" t="s">
        <v>206</v>
      </c>
      <c r="E102" s="13">
        <v>521</v>
      </c>
      <c r="F102" s="13" t="s">
        <v>100</v>
      </c>
      <c r="G102" s="40"/>
      <c r="H102" s="14" t="str">
        <f t="shared" si="1"/>
        <v/>
      </c>
      <c r="I102" s="13" t="s">
        <v>30</v>
      </c>
      <c r="J102" s="13">
        <v>0</v>
      </c>
    </row>
    <row r="103" spans="1:10" s="13" customFormat="1" ht="100.8" hidden="1" x14ac:dyDescent="0.3">
      <c r="A103" s="15" t="s">
        <v>209</v>
      </c>
      <c r="B103" s="15" t="s">
        <v>30</v>
      </c>
      <c r="C103" s="15" t="s">
        <v>210</v>
      </c>
      <c r="D103" s="15" t="s">
        <v>211</v>
      </c>
      <c r="E103" s="13">
        <v>6690.26</v>
      </c>
      <c r="F103" s="13" t="s">
        <v>100</v>
      </c>
      <c r="G103" s="40"/>
      <c r="H103" s="14" t="str">
        <f t="shared" si="1"/>
        <v/>
      </c>
      <c r="I103" s="13" t="s">
        <v>30</v>
      </c>
      <c r="J103" s="13">
        <v>0</v>
      </c>
    </row>
    <row r="104" spans="1:10" s="13" customFormat="1" ht="144" hidden="1" x14ac:dyDescent="0.3">
      <c r="A104" s="15" t="s">
        <v>212</v>
      </c>
      <c r="B104" s="15" t="s">
        <v>30</v>
      </c>
      <c r="C104" s="15" t="s">
        <v>213</v>
      </c>
      <c r="D104" s="15" t="s">
        <v>214</v>
      </c>
      <c r="E104" s="13">
        <v>1100</v>
      </c>
      <c r="F104" s="13" t="s">
        <v>133</v>
      </c>
      <c r="G104" s="40"/>
      <c r="H104" s="14" t="str">
        <f t="shared" si="1"/>
        <v/>
      </c>
      <c r="I104" s="13" t="s">
        <v>30</v>
      </c>
      <c r="J104" s="13">
        <v>0</v>
      </c>
    </row>
    <row r="105" spans="1:10" s="13" customFormat="1" ht="144" hidden="1" x14ac:dyDescent="0.3">
      <c r="A105" s="15" t="s">
        <v>215</v>
      </c>
      <c r="B105" s="15" t="s">
        <v>30</v>
      </c>
      <c r="C105" s="15" t="s">
        <v>216</v>
      </c>
      <c r="D105" s="15" t="s">
        <v>217</v>
      </c>
      <c r="E105" s="13">
        <v>1800</v>
      </c>
      <c r="F105" s="13" t="s">
        <v>133</v>
      </c>
      <c r="G105" s="40"/>
      <c r="H105" s="14" t="str">
        <f t="shared" si="1"/>
        <v/>
      </c>
      <c r="I105" s="13" t="s">
        <v>30</v>
      </c>
      <c r="J105" s="13">
        <v>0</v>
      </c>
    </row>
    <row r="106" spans="1:10" s="13" customFormat="1" ht="100.8" hidden="1" x14ac:dyDescent="0.3">
      <c r="A106" s="15" t="s">
        <v>218</v>
      </c>
      <c r="B106" s="15" t="s">
        <v>30</v>
      </c>
      <c r="C106" s="15" t="s">
        <v>219</v>
      </c>
      <c r="D106" s="15" t="s">
        <v>220</v>
      </c>
      <c r="E106" s="13">
        <v>55</v>
      </c>
      <c r="F106" s="13" t="s">
        <v>133</v>
      </c>
      <c r="G106" s="40"/>
      <c r="H106" s="14" t="str">
        <f t="shared" si="1"/>
        <v/>
      </c>
      <c r="I106" s="13" t="s">
        <v>30</v>
      </c>
      <c r="J106" s="13">
        <v>0</v>
      </c>
    </row>
    <row r="107" spans="1:10" s="13" customFormat="1" ht="100.8" hidden="1" x14ac:dyDescent="0.3">
      <c r="A107" s="15" t="s">
        <v>221</v>
      </c>
      <c r="B107" s="15" t="s">
        <v>30</v>
      </c>
      <c r="C107" s="15" t="s">
        <v>222</v>
      </c>
      <c r="D107" s="15" t="s">
        <v>220</v>
      </c>
      <c r="E107" s="13">
        <v>152</v>
      </c>
      <c r="F107" s="13" t="s">
        <v>133</v>
      </c>
      <c r="G107" s="40"/>
      <c r="H107" s="14" t="str">
        <f t="shared" si="1"/>
        <v/>
      </c>
      <c r="I107" s="13" t="s">
        <v>30</v>
      </c>
      <c r="J107" s="13">
        <v>0</v>
      </c>
    </row>
    <row r="108" spans="1:10" s="13" customFormat="1" ht="72" hidden="1" x14ac:dyDescent="0.3">
      <c r="A108" s="15" t="s">
        <v>223</v>
      </c>
      <c r="B108" s="15" t="s">
        <v>30</v>
      </c>
      <c r="C108" s="15" t="s">
        <v>224</v>
      </c>
      <c r="D108" s="15" t="s">
        <v>225</v>
      </c>
      <c r="E108" s="13">
        <v>5975</v>
      </c>
      <c r="F108" s="13" t="s">
        <v>100</v>
      </c>
      <c r="G108" s="40"/>
      <c r="H108" s="14" t="str">
        <f t="shared" si="1"/>
        <v/>
      </c>
      <c r="I108" s="13" t="s">
        <v>30</v>
      </c>
      <c r="J108" s="13">
        <v>0</v>
      </c>
    </row>
    <row r="109" spans="1:10" s="13" customFormat="1" ht="172.8" hidden="1" x14ac:dyDescent="0.3">
      <c r="A109" s="15" t="s">
        <v>226</v>
      </c>
      <c r="B109" s="15" t="s">
        <v>30</v>
      </c>
      <c r="C109" s="15" t="s">
        <v>227</v>
      </c>
      <c r="D109" s="15" t="s">
        <v>228</v>
      </c>
      <c r="E109" s="13">
        <v>1100</v>
      </c>
      <c r="F109" s="13" t="s">
        <v>100</v>
      </c>
      <c r="G109" s="40"/>
      <c r="H109" s="14" t="str">
        <f t="shared" si="1"/>
        <v/>
      </c>
      <c r="I109" s="13" t="s">
        <v>30</v>
      </c>
      <c r="J109" s="13">
        <v>0</v>
      </c>
    </row>
    <row r="110" spans="1:10" s="11" customFormat="1" hidden="1" x14ac:dyDescent="0.3">
      <c r="A110" s="20" t="s">
        <v>229</v>
      </c>
      <c r="B110" s="20"/>
      <c r="C110" s="20" t="s">
        <v>79</v>
      </c>
      <c r="D110" s="20"/>
      <c r="G110" s="38"/>
      <c r="H110" s="12">
        <v>0</v>
      </c>
    </row>
    <row r="111" spans="1:10" s="11" customFormat="1" hidden="1" x14ac:dyDescent="0.3">
      <c r="A111" s="20" t="s">
        <v>230</v>
      </c>
      <c r="B111" s="20"/>
      <c r="C111" s="20" t="s">
        <v>231</v>
      </c>
      <c r="D111" s="20"/>
      <c r="G111" s="38"/>
      <c r="H111" s="12">
        <f>SUM(H112,H116,H117,H118,H119,H120,H121)</f>
        <v>16000</v>
      </c>
    </row>
    <row r="112" spans="1:10" s="11" customFormat="1" hidden="1" x14ac:dyDescent="0.3">
      <c r="A112" s="20" t="s">
        <v>232</v>
      </c>
      <c r="B112" s="20"/>
      <c r="C112" s="20" t="s">
        <v>83</v>
      </c>
      <c r="D112" s="20"/>
      <c r="G112" s="38"/>
      <c r="H112" s="12">
        <v>0</v>
      </c>
    </row>
    <row r="113" spans="1:10" s="13" customFormat="1" ht="409.6" hidden="1" x14ac:dyDescent="0.3">
      <c r="A113" s="15"/>
      <c r="B113" s="15"/>
      <c r="C113" s="15" t="s">
        <v>28</v>
      </c>
      <c r="D113" s="15" t="s">
        <v>84</v>
      </c>
      <c r="G113" s="39"/>
      <c r="I113" s="13" t="s">
        <v>30</v>
      </c>
    </row>
    <row r="114" spans="1:10" s="13" customFormat="1" ht="316.8" hidden="1" x14ac:dyDescent="0.3">
      <c r="A114" s="15"/>
      <c r="B114" s="15"/>
      <c r="C114" s="15" t="s">
        <v>233</v>
      </c>
      <c r="D114" s="15" t="s">
        <v>234</v>
      </c>
      <c r="G114" s="39"/>
      <c r="I114" s="13" t="s">
        <v>30</v>
      </c>
    </row>
    <row r="115" spans="1:10" s="13" customFormat="1" ht="374.4" hidden="1" x14ac:dyDescent="0.3">
      <c r="A115" s="15"/>
      <c r="B115" s="15"/>
      <c r="C115" s="15" t="s">
        <v>235</v>
      </c>
      <c r="D115" s="15" t="s">
        <v>236</v>
      </c>
      <c r="G115" s="39"/>
      <c r="I115" s="13" t="s">
        <v>30</v>
      </c>
    </row>
    <row r="116" spans="1:10" s="11" customFormat="1" hidden="1" x14ac:dyDescent="0.3">
      <c r="A116" s="20" t="s">
        <v>237</v>
      </c>
      <c r="B116" s="20"/>
      <c r="C116" s="20" t="s">
        <v>238</v>
      </c>
      <c r="D116" s="20"/>
      <c r="G116" s="38"/>
      <c r="H116" s="12">
        <v>0</v>
      </c>
    </row>
    <row r="117" spans="1:10" s="11" customFormat="1" hidden="1" x14ac:dyDescent="0.3">
      <c r="A117" s="20" t="s">
        <v>239</v>
      </c>
      <c r="B117" s="20"/>
      <c r="C117" s="20" t="s">
        <v>240</v>
      </c>
      <c r="D117" s="20"/>
      <c r="G117" s="38"/>
      <c r="H117" s="12">
        <v>0</v>
      </c>
    </row>
    <row r="118" spans="1:10" s="11" customFormat="1" ht="28.8" hidden="1" x14ac:dyDescent="0.3">
      <c r="A118" s="20" t="s">
        <v>241</v>
      </c>
      <c r="B118" s="20"/>
      <c r="C118" s="20" t="s">
        <v>242</v>
      </c>
      <c r="D118" s="20"/>
      <c r="G118" s="38"/>
      <c r="H118" s="12">
        <v>0</v>
      </c>
    </row>
    <row r="119" spans="1:10" s="11" customFormat="1" hidden="1" x14ac:dyDescent="0.3">
      <c r="A119" s="20" t="s">
        <v>243</v>
      </c>
      <c r="B119" s="20"/>
      <c r="C119" s="20" t="s">
        <v>244</v>
      </c>
      <c r="D119" s="20"/>
      <c r="G119" s="38"/>
      <c r="H119" s="12">
        <v>0</v>
      </c>
    </row>
    <row r="120" spans="1:10" s="11" customFormat="1" hidden="1" x14ac:dyDescent="0.3">
      <c r="A120" s="20" t="s">
        <v>245</v>
      </c>
      <c r="B120" s="20"/>
      <c r="C120" s="20" t="s">
        <v>246</v>
      </c>
      <c r="D120" s="20"/>
      <c r="G120" s="38"/>
      <c r="H120" s="12">
        <v>0</v>
      </c>
    </row>
    <row r="121" spans="1:10" s="11" customFormat="1" x14ac:dyDescent="0.3">
      <c r="A121" s="20" t="s">
        <v>247</v>
      </c>
      <c r="B121" s="20"/>
      <c r="C121" s="20" t="s">
        <v>79</v>
      </c>
      <c r="D121" s="20"/>
      <c r="G121" s="38"/>
      <c r="H121" s="12">
        <f>SUM(H122,H123,)</f>
        <v>16000</v>
      </c>
    </row>
    <row r="122" spans="1:10" s="13" customFormat="1" ht="302.39999999999998" hidden="1" customHeight="1" x14ac:dyDescent="0.3">
      <c r="A122" s="15" t="s">
        <v>248</v>
      </c>
      <c r="B122" s="15" t="s">
        <v>30</v>
      </c>
      <c r="C122" s="15" t="s">
        <v>249</v>
      </c>
      <c r="D122" s="15" t="s">
        <v>250</v>
      </c>
      <c r="E122" s="13">
        <v>1</v>
      </c>
      <c r="F122" s="13" t="s">
        <v>60</v>
      </c>
      <c r="G122" s="40"/>
      <c r="H122" s="14" t="str">
        <f>IF(AND(ISNUMBER(E122),ISNUMBER(G122)),ROUND(PRODUCT(PRODUCT(E122, G122), 1 - J122), 2),"")</f>
        <v/>
      </c>
      <c r="I122" s="13" t="s">
        <v>30</v>
      </c>
      <c r="J122" s="13">
        <v>0</v>
      </c>
    </row>
    <row r="123" spans="1:10" s="13" customFormat="1" ht="162" customHeight="1" x14ac:dyDescent="0.3">
      <c r="A123" s="15" t="s">
        <v>251</v>
      </c>
      <c r="B123" s="15" t="s">
        <v>30</v>
      </c>
      <c r="C123" s="15" t="s">
        <v>252</v>
      </c>
      <c r="D123" s="15" t="s">
        <v>2807</v>
      </c>
      <c r="E123" s="13">
        <v>800</v>
      </c>
      <c r="F123" s="13" t="s">
        <v>100</v>
      </c>
      <c r="G123" s="34">
        <v>20</v>
      </c>
      <c r="H123" s="14">
        <f>IF(AND(ISNUMBER(E123),ISNUMBER(G123)),ROUND(PRODUCT(PRODUCT(E123, G123), 1 - J123), 2),"")</f>
        <v>16000</v>
      </c>
      <c r="I123" s="13" t="s">
        <v>30</v>
      </c>
      <c r="J123" s="13">
        <v>0</v>
      </c>
    </row>
    <row r="124" spans="1:10" s="13" customFormat="1" ht="409.6" hidden="1" x14ac:dyDescent="0.3">
      <c r="A124" s="15"/>
      <c r="B124" s="15"/>
      <c r="C124" s="15" t="s">
        <v>28</v>
      </c>
      <c r="D124" s="15" t="s">
        <v>84</v>
      </c>
      <c r="G124" s="39"/>
      <c r="I124" s="13" t="s">
        <v>30</v>
      </c>
    </row>
    <row r="125" spans="1:10" s="13" customFormat="1" ht="316.8" hidden="1" x14ac:dyDescent="0.3">
      <c r="A125" s="15"/>
      <c r="B125" s="15"/>
      <c r="C125" s="15" t="s">
        <v>233</v>
      </c>
      <c r="D125" s="15" t="s">
        <v>234</v>
      </c>
      <c r="G125" s="39"/>
      <c r="I125" s="13" t="s">
        <v>30</v>
      </c>
    </row>
    <row r="126" spans="1:10" s="13" customFormat="1" ht="388.8" hidden="1" x14ac:dyDescent="0.3">
      <c r="A126" s="15"/>
      <c r="B126" s="15"/>
      <c r="C126" s="15" t="s">
        <v>253</v>
      </c>
      <c r="D126" s="15" t="s">
        <v>254</v>
      </c>
      <c r="G126" s="39"/>
      <c r="I126" s="13" t="s">
        <v>30</v>
      </c>
    </row>
    <row r="127" spans="1:10" s="11" customFormat="1" hidden="1" x14ac:dyDescent="0.3">
      <c r="A127" s="20" t="s">
        <v>255</v>
      </c>
      <c r="B127" s="20"/>
      <c r="C127" s="20" t="s">
        <v>256</v>
      </c>
      <c r="D127" s="20"/>
      <c r="G127" s="38"/>
      <c r="H127" s="12">
        <v>0</v>
      </c>
    </row>
    <row r="128" spans="1:10" s="11" customFormat="1" hidden="1" x14ac:dyDescent="0.3">
      <c r="A128" s="20" t="s">
        <v>257</v>
      </c>
      <c r="B128" s="20"/>
      <c r="C128" s="20" t="s">
        <v>258</v>
      </c>
      <c r="D128" s="20"/>
      <c r="G128" s="38"/>
      <c r="H128" s="12">
        <v>0</v>
      </c>
    </row>
    <row r="129" spans="1:9" s="11" customFormat="1" hidden="1" x14ac:dyDescent="0.3">
      <c r="A129" s="20" t="s">
        <v>259</v>
      </c>
      <c r="B129" s="20"/>
      <c r="C129" s="20" t="s">
        <v>260</v>
      </c>
      <c r="D129" s="20"/>
      <c r="G129" s="38"/>
      <c r="H129" s="12">
        <v>0</v>
      </c>
    </row>
    <row r="130" spans="1:9" s="11" customFormat="1" hidden="1" x14ac:dyDescent="0.3">
      <c r="A130" s="20" t="s">
        <v>261</v>
      </c>
      <c r="B130" s="20"/>
      <c r="C130" s="20" t="s">
        <v>262</v>
      </c>
      <c r="D130" s="20"/>
      <c r="G130" s="38"/>
      <c r="H130" s="12">
        <v>0</v>
      </c>
    </row>
    <row r="131" spans="1:9" s="11" customFormat="1" hidden="1" x14ac:dyDescent="0.3">
      <c r="A131" s="20" t="s">
        <v>263</v>
      </c>
      <c r="B131" s="20"/>
      <c r="C131" s="20" t="s">
        <v>264</v>
      </c>
      <c r="D131" s="20"/>
      <c r="G131" s="38"/>
      <c r="H131" s="12">
        <v>0</v>
      </c>
    </row>
    <row r="132" spans="1:9" s="11" customFormat="1" hidden="1" x14ac:dyDescent="0.3">
      <c r="A132" s="20" t="s">
        <v>265</v>
      </c>
      <c r="B132" s="20"/>
      <c r="C132" s="20" t="s">
        <v>266</v>
      </c>
      <c r="D132" s="20"/>
      <c r="G132" s="38"/>
      <c r="H132" s="12">
        <v>0</v>
      </c>
    </row>
    <row r="133" spans="1:9" s="11" customFormat="1" hidden="1" x14ac:dyDescent="0.3">
      <c r="A133" s="20" t="s">
        <v>267</v>
      </c>
      <c r="B133" s="20"/>
      <c r="C133" s="20" t="s">
        <v>79</v>
      </c>
      <c r="D133" s="20"/>
      <c r="G133" s="38"/>
      <c r="H133" s="12">
        <v>0</v>
      </c>
    </row>
    <row r="134" spans="1:9" s="11" customFormat="1" hidden="1" x14ac:dyDescent="0.3">
      <c r="A134" s="20" t="s">
        <v>268</v>
      </c>
      <c r="B134" s="20"/>
      <c r="C134" s="20" t="s">
        <v>269</v>
      </c>
      <c r="D134" s="20"/>
      <c r="G134" s="38"/>
      <c r="H134" s="12">
        <f>SUM(H135,H139,H140,H141,H142)</f>
        <v>0</v>
      </c>
    </row>
    <row r="135" spans="1:9" s="11" customFormat="1" hidden="1" x14ac:dyDescent="0.3">
      <c r="A135" s="20" t="s">
        <v>270</v>
      </c>
      <c r="B135" s="20"/>
      <c r="C135" s="20" t="s">
        <v>83</v>
      </c>
      <c r="D135" s="20"/>
      <c r="G135" s="38"/>
      <c r="H135" s="12">
        <v>0</v>
      </c>
    </row>
    <row r="136" spans="1:9" s="13" customFormat="1" ht="409.6" hidden="1" x14ac:dyDescent="0.3">
      <c r="A136" s="15"/>
      <c r="B136" s="15"/>
      <c r="C136" s="15" t="s">
        <v>28</v>
      </c>
      <c r="D136" s="15" t="s">
        <v>84</v>
      </c>
      <c r="G136" s="39"/>
      <c r="I136" s="13" t="s">
        <v>30</v>
      </c>
    </row>
    <row r="137" spans="1:9" s="13" customFormat="1" ht="316.8" hidden="1" x14ac:dyDescent="0.3">
      <c r="A137" s="15"/>
      <c r="B137" s="15"/>
      <c r="C137" s="15" t="s">
        <v>271</v>
      </c>
      <c r="D137" s="15" t="s">
        <v>234</v>
      </c>
      <c r="G137" s="39"/>
      <c r="I137" s="13" t="s">
        <v>30</v>
      </c>
    </row>
    <row r="138" spans="1:9" s="13" customFormat="1" ht="259.2" hidden="1" x14ac:dyDescent="0.3">
      <c r="A138" s="15"/>
      <c r="B138" s="15"/>
      <c r="C138" s="15" t="s">
        <v>272</v>
      </c>
      <c r="D138" s="15" t="s">
        <v>273</v>
      </c>
      <c r="G138" s="39"/>
      <c r="I138" s="13" t="s">
        <v>30</v>
      </c>
    </row>
    <row r="139" spans="1:9" s="11" customFormat="1" hidden="1" x14ac:dyDescent="0.3">
      <c r="A139" s="20" t="s">
        <v>274</v>
      </c>
      <c r="B139" s="20"/>
      <c r="C139" s="20" t="s">
        <v>275</v>
      </c>
      <c r="D139" s="20"/>
      <c r="G139" s="38"/>
      <c r="H139" s="12">
        <v>0</v>
      </c>
    </row>
    <row r="140" spans="1:9" s="11" customFormat="1" hidden="1" x14ac:dyDescent="0.3">
      <c r="A140" s="20" t="s">
        <v>276</v>
      </c>
      <c r="B140" s="20"/>
      <c r="C140" s="20" t="s">
        <v>277</v>
      </c>
      <c r="D140" s="20"/>
      <c r="G140" s="38"/>
      <c r="H140" s="12">
        <v>0</v>
      </c>
    </row>
    <row r="141" spans="1:9" s="11" customFormat="1" hidden="1" x14ac:dyDescent="0.3">
      <c r="A141" s="20" t="s">
        <v>278</v>
      </c>
      <c r="B141" s="20"/>
      <c r="C141" s="20" t="s">
        <v>279</v>
      </c>
      <c r="D141" s="20"/>
      <c r="G141" s="38"/>
      <c r="H141" s="12">
        <v>0</v>
      </c>
    </row>
    <row r="142" spans="1:9" s="11" customFormat="1" hidden="1" x14ac:dyDescent="0.3">
      <c r="A142" s="20" t="s">
        <v>280</v>
      </c>
      <c r="B142" s="20"/>
      <c r="C142" s="20" t="s">
        <v>79</v>
      </c>
      <c r="D142" s="20"/>
      <c r="G142" s="38"/>
      <c r="H142" s="12">
        <v>0</v>
      </c>
    </row>
    <row r="143" spans="1:9" s="11" customFormat="1" ht="28.8" hidden="1" x14ac:dyDescent="0.3">
      <c r="A143" s="20" t="s">
        <v>281</v>
      </c>
      <c r="B143" s="20"/>
      <c r="C143" s="20" t="s">
        <v>282</v>
      </c>
      <c r="D143" s="20"/>
      <c r="G143" s="38"/>
      <c r="H143" s="12">
        <f>SUM(H144,H147,H151,H152,H159,H160,H161,H162,H172,H173,H176,H177,H180,H185)</f>
        <v>0</v>
      </c>
    </row>
    <row r="144" spans="1:9" s="11" customFormat="1" hidden="1" x14ac:dyDescent="0.3">
      <c r="A144" s="20" t="s">
        <v>283</v>
      </c>
      <c r="B144" s="20"/>
      <c r="C144" s="20" t="s">
        <v>83</v>
      </c>
      <c r="D144" s="20"/>
      <c r="G144" s="38"/>
      <c r="H144" s="12">
        <v>0</v>
      </c>
    </row>
    <row r="145" spans="1:10" s="13" customFormat="1" ht="409.6" hidden="1" x14ac:dyDescent="0.3">
      <c r="A145" s="15"/>
      <c r="B145" s="15"/>
      <c r="C145" s="15" t="s">
        <v>28</v>
      </c>
      <c r="D145" s="15" t="s">
        <v>84</v>
      </c>
      <c r="G145" s="39"/>
      <c r="I145" s="13" t="s">
        <v>30</v>
      </c>
    </row>
    <row r="146" spans="1:10" s="13" customFormat="1" ht="100.8" hidden="1" x14ac:dyDescent="0.3">
      <c r="A146" s="15"/>
      <c r="B146" s="15"/>
      <c r="C146" s="15" t="s">
        <v>284</v>
      </c>
      <c r="D146" s="15" t="s">
        <v>285</v>
      </c>
      <c r="G146" s="39"/>
      <c r="I146" s="13" t="s">
        <v>30</v>
      </c>
    </row>
    <row r="147" spans="1:10" s="11" customFormat="1" hidden="1" x14ac:dyDescent="0.3">
      <c r="A147" s="20" t="s">
        <v>286</v>
      </c>
      <c r="B147" s="20"/>
      <c r="C147" s="20" t="s">
        <v>287</v>
      </c>
      <c r="D147" s="20"/>
      <c r="G147" s="38"/>
      <c r="H147" s="12">
        <f>SUM(H148,H149,H150)</f>
        <v>0</v>
      </c>
    </row>
    <row r="148" spans="1:10" s="13" customFormat="1" ht="100.8" hidden="1" x14ac:dyDescent="0.3">
      <c r="A148" s="15" t="s">
        <v>288</v>
      </c>
      <c r="B148" s="15" t="s">
        <v>30</v>
      </c>
      <c r="C148" s="15"/>
      <c r="D148" s="15" t="s">
        <v>289</v>
      </c>
      <c r="E148" s="13">
        <v>370</v>
      </c>
      <c r="F148" s="13" t="s">
        <v>71</v>
      </c>
      <c r="G148" s="40"/>
      <c r="H148" s="14" t="str">
        <f>IF(AND(ISNUMBER(E148),ISNUMBER(G148)),ROUND(PRODUCT(PRODUCT(E148, G148), 1 - J148), 2),"")</f>
        <v/>
      </c>
      <c r="I148" s="13" t="s">
        <v>30</v>
      </c>
      <c r="J148" s="13">
        <v>0</v>
      </c>
    </row>
    <row r="149" spans="1:10" s="13" customFormat="1" ht="100.8" hidden="1" x14ac:dyDescent="0.3">
      <c r="A149" s="15" t="s">
        <v>290</v>
      </c>
      <c r="B149" s="15" t="s">
        <v>30</v>
      </c>
      <c r="C149" s="15" t="s">
        <v>291</v>
      </c>
      <c r="D149" s="15" t="s">
        <v>292</v>
      </c>
      <c r="E149" s="13">
        <v>200</v>
      </c>
      <c r="F149" s="13" t="s">
        <v>71</v>
      </c>
      <c r="G149" s="40"/>
      <c r="H149" s="14" t="str">
        <f>IF(AND(ISNUMBER(E149),ISNUMBER(G149)),ROUND(PRODUCT(PRODUCT(E149, G149), 1 - J149), 2),"")</f>
        <v/>
      </c>
      <c r="I149" s="13" t="s">
        <v>30</v>
      </c>
      <c r="J149" s="13">
        <v>0</v>
      </c>
    </row>
    <row r="150" spans="1:10" s="13" customFormat="1" ht="100.8" hidden="1" x14ac:dyDescent="0.3">
      <c r="A150" s="15" t="s">
        <v>293</v>
      </c>
      <c r="B150" s="15" t="s">
        <v>30</v>
      </c>
      <c r="C150" s="15" t="s">
        <v>294</v>
      </c>
      <c r="D150" s="15" t="s">
        <v>295</v>
      </c>
      <c r="E150" s="13">
        <v>245</v>
      </c>
      <c r="F150" s="13" t="s">
        <v>71</v>
      </c>
      <c r="G150" s="40"/>
      <c r="H150" s="14" t="str">
        <f>IF(AND(ISNUMBER(E150),ISNUMBER(G150)),ROUND(PRODUCT(PRODUCT(E150, G150), 1 - J150), 2),"")</f>
        <v/>
      </c>
      <c r="I150" s="13" t="s">
        <v>30</v>
      </c>
      <c r="J150" s="13">
        <v>0</v>
      </c>
    </row>
    <row r="151" spans="1:10" s="11" customFormat="1" hidden="1" x14ac:dyDescent="0.3">
      <c r="A151" s="20" t="s">
        <v>296</v>
      </c>
      <c r="B151" s="20"/>
      <c r="C151" s="20" t="s">
        <v>297</v>
      </c>
      <c r="D151" s="20"/>
      <c r="G151" s="38"/>
      <c r="H151" s="12">
        <v>0</v>
      </c>
    </row>
    <row r="152" spans="1:10" s="11" customFormat="1" ht="28.8" hidden="1" x14ac:dyDescent="0.3">
      <c r="A152" s="20" t="s">
        <v>298</v>
      </c>
      <c r="B152" s="20"/>
      <c r="C152" s="20" t="s">
        <v>299</v>
      </c>
      <c r="D152" s="20"/>
      <c r="G152" s="38"/>
      <c r="H152" s="12">
        <f>SUM(H153,H154,H155,H156,H157,H158)</f>
        <v>0</v>
      </c>
    </row>
    <row r="153" spans="1:10" s="13" customFormat="1" ht="129.6" hidden="1" x14ac:dyDescent="0.3">
      <c r="A153" s="15" t="s">
        <v>300</v>
      </c>
      <c r="B153" s="15" t="s">
        <v>30</v>
      </c>
      <c r="C153" s="15" t="s">
        <v>301</v>
      </c>
      <c r="D153" s="15" t="s">
        <v>302</v>
      </c>
      <c r="E153" s="13">
        <v>130</v>
      </c>
      <c r="F153" s="13" t="s">
        <v>71</v>
      </c>
      <c r="G153" s="40"/>
      <c r="H153" s="14" t="str">
        <f t="shared" ref="H153:H158" si="2">IF(AND(ISNUMBER(E153),ISNUMBER(G153)),ROUND(PRODUCT(PRODUCT(E153, G153), 1 - J153), 2),"")</f>
        <v/>
      </c>
      <c r="I153" s="13" t="s">
        <v>30</v>
      </c>
      <c r="J153" s="13">
        <v>0</v>
      </c>
    </row>
    <row r="154" spans="1:10" s="13" customFormat="1" ht="129.6" hidden="1" x14ac:dyDescent="0.3">
      <c r="A154" s="15" t="s">
        <v>303</v>
      </c>
      <c r="B154" s="15" t="s">
        <v>30</v>
      </c>
      <c r="C154" s="15" t="s">
        <v>304</v>
      </c>
      <c r="D154" s="15" t="s">
        <v>305</v>
      </c>
      <c r="E154" s="13">
        <v>60</v>
      </c>
      <c r="F154" s="13" t="s">
        <v>71</v>
      </c>
      <c r="G154" s="40"/>
      <c r="H154" s="14" t="str">
        <f t="shared" si="2"/>
        <v/>
      </c>
      <c r="I154" s="13" t="s">
        <v>30</v>
      </c>
      <c r="J154" s="13">
        <v>0</v>
      </c>
    </row>
    <row r="155" spans="1:10" s="13" customFormat="1" ht="129.6" hidden="1" x14ac:dyDescent="0.3">
      <c r="A155" s="15" t="s">
        <v>306</v>
      </c>
      <c r="B155" s="15" t="s">
        <v>30</v>
      </c>
      <c r="C155" s="15" t="s">
        <v>307</v>
      </c>
      <c r="D155" s="15" t="s">
        <v>308</v>
      </c>
      <c r="E155" s="13">
        <v>25</v>
      </c>
      <c r="F155" s="13" t="s">
        <v>71</v>
      </c>
      <c r="G155" s="40"/>
      <c r="H155" s="14" t="str">
        <f t="shared" si="2"/>
        <v/>
      </c>
      <c r="I155" s="13" t="s">
        <v>30</v>
      </c>
      <c r="J155" s="13">
        <v>0</v>
      </c>
    </row>
    <row r="156" spans="1:10" s="13" customFormat="1" ht="129.6" hidden="1" x14ac:dyDescent="0.3">
      <c r="A156" s="15" t="s">
        <v>309</v>
      </c>
      <c r="B156" s="15" t="s">
        <v>30</v>
      </c>
      <c r="C156" s="15" t="s">
        <v>310</v>
      </c>
      <c r="D156" s="15" t="s">
        <v>311</v>
      </c>
      <c r="E156" s="13">
        <v>150</v>
      </c>
      <c r="F156" s="13" t="s">
        <v>71</v>
      </c>
      <c r="G156" s="40"/>
      <c r="H156" s="14" t="str">
        <f t="shared" si="2"/>
        <v/>
      </c>
      <c r="I156" s="13" t="s">
        <v>30</v>
      </c>
      <c r="J156" s="13">
        <v>0</v>
      </c>
    </row>
    <row r="157" spans="1:10" s="13" customFormat="1" ht="115.2" hidden="1" x14ac:dyDescent="0.3">
      <c r="A157" s="15" t="s">
        <v>312</v>
      </c>
      <c r="B157" s="15" t="s">
        <v>30</v>
      </c>
      <c r="C157" s="15" t="s">
        <v>313</v>
      </c>
      <c r="D157" s="15" t="s">
        <v>314</v>
      </c>
      <c r="E157" s="13">
        <v>215.03</v>
      </c>
      <c r="F157" s="13" t="s">
        <v>71</v>
      </c>
      <c r="G157" s="40"/>
      <c r="H157" s="14" t="str">
        <f t="shared" si="2"/>
        <v/>
      </c>
      <c r="I157" s="13" t="s">
        <v>30</v>
      </c>
      <c r="J157" s="13">
        <v>0</v>
      </c>
    </row>
    <row r="158" spans="1:10" s="13" customFormat="1" ht="115.2" hidden="1" x14ac:dyDescent="0.3">
      <c r="A158" s="15" t="s">
        <v>315</v>
      </c>
      <c r="B158" s="15" t="s">
        <v>30</v>
      </c>
      <c r="C158" s="15" t="s">
        <v>316</v>
      </c>
      <c r="D158" s="15" t="s">
        <v>317</v>
      </c>
      <c r="E158" s="13">
        <v>55.86</v>
      </c>
      <c r="F158" s="13" t="s">
        <v>71</v>
      </c>
      <c r="G158" s="40"/>
      <c r="H158" s="14" t="str">
        <f t="shared" si="2"/>
        <v/>
      </c>
      <c r="I158" s="13" t="s">
        <v>30</v>
      </c>
      <c r="J158" s="13">
        <v>0</v>
      </c>
    </row>
    <row r="159" spans="1:10" s="11" customFormat="1" ht="28.8" hidden="1" x14ac:dyDescent="0.3">
      <c r="A159" s="20" t="s">
        <v>318</v>
      </c>
      <c r="B159" s="20"/>
      <c r="C159" s="20" t="s">
        <v>319</v>
      </c>
      <c r="D159" s="20"/>
      <c r="G159" s="38"/>
      <c r="H159" s="12">
        <v>0</v>
      </c>
    </row>
    <row r="160" spans="1:10" s="11" customFormat="1" hidden="1" x14ac:dyDescent="0.3">
      <c r="A160" s="20" t="s">
        <v>320</v>
      </c>
      <c r="B160" s="20"/>
      <c r="C160" s="20" t="s">
        <v>321</v>
      </c>
      <c r="D160" s="20"/>
      <c r="G160" s="38"/>
      <c r="H160" s="12">
        <v>0</v>
      </c>
    </row>
    <row r="161" spans="1:10" s="11" customFormat="1" hidden="1" x14ac:dyDescent="0.3">
      <c r="A161" s="20" t="s">
        <v>322</v>
      </c>
      <c r="B161" s="20"/>
      <c r="C161" s="20" t="s">
        <v>323</v>
      </c>
      <c r="D161" s="20"/>
      <c r="G161" s="38"/>
      <c r="H161" s="12">
        <v>0</v>
      </c>
    </row>
    <row r="162" spans="1:10" s="11" customFormat="1" hidden="1" x14ac:dyDescent="0.3">
      <c r="A162" s="20" t="s">
        <v>324</v>
      </c>
      <c r="B162" s="20"/>
      <c r="C162" s="20" t="s">
        <v>325</v>
      </c>
      <c r="D162" s="20"/>
      <c r="G162" s="38"/>
      <c r="H162" s="12">
        <f>SUM(H163,H164,H165,H166,H167,H168,H169,H170,H171)</f>
        <v>0</v>
      </c>
    </row>
    <row r="163" spans="1:10" s="13" customFormat="1" ht="129.6" hidden="1" x14ac:dyDescent="0.3">
      <c r="A163" s="15" t="s">
        <v>326</v>
      </c>
      <c r="B163" s="15" t="s">
        <v>30</v>
      </c>
      <c r="C163" s="15" t="s">
        <v>327</v>
      </c>
      <c r="D163" s="15" t="s">
        <v>328</v>
      </c>
      <c r="E163" s="13">
        <v>150</v>
      </c>
      <c r="F163" s="13" t="s">
        <v>71</v>
      </c>
      <c r="G163" s="40"/>
      <c r="H163" s="14" t="str">
        <f t="shared" ref="H163:H171" si="3">IF(AND(ISNUMBER(E163),ISNUMBER(G163)),ROUND(PRODUCT(PRODUCT(E163, G163), 1 - J163), 2),"")</f>
        <v/>
      </c>
      <c r="I163" s="13" t="s">
        <v>30</v>
      </c>
      <c r="J163" s="13">
        <v>0</v>
      </c>
    </row>
    <row r="164" spans="1:10" s="13" customFormat="1" ht="129.6" hidden="1" x14ac:dyDescent="0.3">
      <c r="A164" s="15" t="s">
        <v>329</v>
      </c>
      <c r="B164" s="15" t="s">
        <v>30</v>
      </c>
      <c r="C164" s="15" t="s">
        <v>330</v>
      </c>
      <c r="D164" s="15" t="s">
        <v>331</v>
      </c>
      <c r="E164" s="13">
        <v>200</v>
      </c>
      <c r="F164" s="13" t="s">
        <v>71</v>
      </c>
      <c r="G164" s="40"/>
      <c r="H164" s="14" t="str">
        <f t="shared" si="3"/>
        <v/>
      </c>
      <c r="I164" s="13" t="s">
        <v>30</v>
      </c>
      <c r="J164" s="13">
        <v>0</v>
      </c>
    </row>
    <row r="165" spans="1:10" s="13" customFormat="1" ht="129.6" hidden="1" x14ac:dyDescent="0.3">
      <c r="A165" s="15" t="s">
        <v>332</v>
      </c>
      <c r="B165" s="15" t="s">
        <v>30</v>
      </c>
      <c r="C165" s="15" t="s">
        <v>333</v>
      </c>
      <c r="D165" s="15" t="s">
        <v>334</v>
      </c>
      <c r="E165" s="13">
        <v>110</v>
      </c>
      <c r="F165" s="13" t="s">
        <v>71</v>
      </c>
      <c r="G165" s="40"/>
      <c r="H165" s="14" t="str">
        <f t="shared" si="3"/>
        <v/>
      </c>
      <c r="I165" s="13" t="s">
        <v>30</v>
      </c>
      <c r="J165" s="13">
        <v>0</v>
      </c>
    </row>
    <row r="166" spans="1:10" s="13" customFormat="1" ht="129.6" hidden="1" x14ac:dyDescent="0.3">
      <c r="A166" s="15" t="s">
        <v>335</v>
      </c>
      <c r="B166" s="15" t="s">
        <v>30</v>
      </c>
      <c r="C166" s="15" t="s">
        <v>336</v>
      </c>
      <c r="D166" s="15" t="s">
        <v>337</v>
      </c>
      <c r="E166" s="13">
        <v>50</v>
      </c>
      <c r="F166" s="13" t="s">
        <v>71</v>
      </c>
      <c r="G166" s="40"/>
      <c r="H166" s="14" t="str">
        <f t="shared" si="3"/>
        <v/>
      </c>
      <c r="I166" s="13" t="s">
        <v>30</v>
      </c>
      <c r="J166" s="13">
        <v>0</v>
      </c>
    </row>
    <row r="167" spans="1:10" s="13" customFormat="1" ht="129.6" hidden="1" x14ac:dyDescent="0.3">
      <c r="A167" s="15" t="s">
        <v>338</v>
      </c>
      <c r="B167" s="15" t="s">
        <v>30</v>
      </c>
      <c r="C167" s="15" t="s">
        <v>327</v>
      </c>
      <c r="D167" s="15" t="s">
        <v>328</v>
      </c>
      <c r="E167" s="13">
        <v>150</v>
      </c>
      <c r="F167" s="13" t="s">
        <v>71</v>
      </c>
      <c r="G167" s="40"/>
      <c r="H167" s="14" t="str">
        <f t="shared" si="3"/>
        <v/>
      </c>
      <c r="I167" s="13" t="s">
        <v>30</v>
      </c>
      <c r="J167" s="13">
        <v>0</v>
      </c>
    </row>
    <row r="168" spans="1:10" s="13" customFormat="1" ht="129.6" hidden="1" x14ac:dyDescent="0.3">
      <c r="A168" s="15" t="s">
        <v>339</v>
      </c>
      <c r="B168" s="15" t="s">
        <v>30</v>
      </c>
      <c r="C168" s="15" t="s">
        <v>340</v>
      </c>
      <c r="D168" s="15" t="s">
        <v>341</v>
      </c>
      <c r="E168" s="13">
        <v>80</v>
      </c>
      <c r="F168" s="13" t="s">
        <v>71</v>
      </c>
      <c r="G168" s="40"/>
      <c r="H168" s="14" t="str">
        <f t="shared" si="3"/>
        <v/>
      </c>
      <c r="I168" s="13" t="s">
        <v>30</v>
      </c>
      <c r="J168" s="13">
        <v>0</v>
      </c>
    </row>
    <row r="169" spans="1:10" s="13" customFormat="1" ht="129.6" hidden="1" x14ac:dyDescent="0.3">
      <c r="A169" s="15" t="s">
        <v>342</v>
      </c>
      <c r="B169" s="15" t="s">
        <v>30</v>
      </c>
      <c r="C169" s="15" t="s">
        <v>330</v>
      </c>
      <c r="D169" s="15" t="s">
        <v>331</v>
      </c>
      <c r="E169" s="13">
        <v>120</v>
      </c>
      <c r="F169" s="13" t="s">
        <v>71</v>
      </c>
      <c r="G169" s="40"/>
      <c r="H169" s="14" t="str">
        <f t="shared" si="3"/>
        <v/>
      </c>
      <c r="I169" s="13" t="s">
        <v>30</v>
      </c>
      <c r="J169" s="13">
        <v>0</v>
      </c>
    </row>
    <row r="170" spans="1:10" s="13" customFormat="1" ht="129.6" hidden="1" x14ac:dyDescent="0.3">
      <c r="A170" s="15" t="s">
        <v>343</v>
      </c>
      <c r="B170" s="15" t="s">
        <v>30</v>
      </c>
      <c r="C170" s="15" t="s">
        <v>333</v>
      </c>
      <c r="D170" s="15" t="s">
        <v>334</v>
      </c>
      <c r="E170" s="13">
        <v>120</v>
      </c>
      <c r="F170" s="13" t="s">
        <v>71</v>
      </c>
      <c r="G170" s="40"/>
      <c r="H170" s="14" t="str">
        <f t="shared" si="3"/>
        <v/>
      </c>
      <c r="I170" s="13" t="s">
        <v>30</v>
      </c>
      <c r="J170" s="13">
        <v>0</v>
      </c>
    </row>
    <row r="171" spans="1:10" s="13" customFormat="1" ht="129.6" hidden="1" x14ac:dyDescent="0.3">
      <c r="A171" s="15" t="s">
        <v>344</v>
      </c>
      <c r="B171" s="15" t="s">
        <v>30</v>
      </c>
      <c r="C171" s="15" t="s">
        <v>336</v>
      </c>
      <c r="D171" s="15" t="s">
        <v>337</v>
      </c>
      <c r="E171" s="13">
        <v>60</v>
      </c>
      <c r="F171" s="13" t="s">
        <v>71</v>
      </c>
      <c r="G171" s="40"/>
      <c r="H171" s="14" t="str">
        <f t="shared" si="3"/>
        <v/>
      </c>
      <c r="I171" s="13" t="s">
        <v>30</v>
      </c>
      <c r="J171" s="13">
        <v>0</v>
      </c>
    </row>
    <row r="172" spans="1:10" s="11" customFormat="1" hidden="1" x14ac:dyDescent="0.3">
      <c r="A172" s="20" t="s">
        <v>345</v>
      </c>
      <c r="B172" s="20"/>
      <c r="C172" s="20" t="s">
        <v>346</v>
      </c>
      <c r="D172" s="20"/>
      <c r="G172" s="38"/>
      <c r="H172" s="12">
        <v>0</v>
      </c>
    </row>
    <row r="173" spans="1:10" s="11" customFormat="1" hidden="1" x14ac:dyDescent="0.3">
      <c r="A173" s="20" t="s">
        <v>347</v>
      </c>
      <c r="B173" s="20"/>
      <c r="C173" s="20" t="s">
        <v>348</v>
      </c>
      <c r="D173" s="20"/>
      <c r="G173" s="38"/>
      <c r="H173" s="12">
        <f>SUM(H174,H175)</f>
        <v>0</v>
      </c>
    </row>
    <row r="174" spans="1:10" s="13" customFormat="1" ht="360" hidden="1" x14ac:dyDescent="0.3">
      <c r="A174" s="15" t="s">
        <v>349</v>
      </c>
      <c r="B174" s="15" t="s">
        <v>30</v>
      </c>
      <c r="C174" s="15" t="s">
        <v>350</v>
      </c>
      <c r="D174" s="15" t="s">
        <v>351</v>
      </c>
      <c r="E174" s="13">
        <v>19</v>
      </c>
      <c r="F174" s="13" t="s">
        <v>71</v>
      </c>
      <c r="G174" s="40"/>
      <c r="H174" s="14" t="str">
        <f>IF(AND(ISNUMBER(E174),ISNUMBER(G174)),ROUND(PRODUCT(PRODUCT(E174, G174), 1 - J174), 2),"")</f>
        <v/>
      </c>
      <c r="I174" s="13" t="s">
        <v>30</v>
      </c>
      <c r="J174" s="13">
        <v>0</v>
      </c>
    </row>
    <row r="175" spans="1:10" s="13" customFormat="1" ht="43.2" hidden="1" x14ac:dyDescent="0.3">
      <c r="A175" s="15" t="s">
        <v>352</v>
      </c>
      <c r="B175" s="15" t="s">
        <v>30</v>
      </c>
      <c r="C175" s="15" t="s">
        <v>353</v>
      </c>
      <c r="D175" s="15" t="s">
        <v>354</v>
      </c>
      <c r="E175" s="13">
        <v>19</v>
      </c>
      <c r="F175" s="13" t="s">
        <v>355</v>
      </c>
      <c r="G175" s="40"/>
      <c r="H175" s="14" t="str">
        <f>IF(AND(ISNUMBER(E175),ISNUMBER(G175)),ROUND(PRODUCT(PRODUCT(E175, G175), 1 - J175), 2),"")</f>
        <v/>
      </c>
      <c r="I175" s="13" t="s">
        <v>30</v>
      </c>
      <c r="J175" s="13">
        <v>0</v>
      </c>
    </row>
    <row r="176" spans="1:10" s="11" customFormat="1" hidden="1" x14ac:dyDescent="0.3">
      <c r="A176" s="20" t="s">
        <v>356</v>
      </c>
      <c r="B176" s="20"/>
      <c r="C176" s="20" t="s">
        <v>269</v>
      </c>
      <c r="D176" s="20"/>
      <c r="G176" s="38"/>
      <c r="H176" s="12">
        <v>0</v>
      </c>
    </row>
    <row r="177" spans="1:10" s="11" customFormat="1" hidden="1" x14ac:dyDescent="0.3">
      <c r="A177" s="20" t="s">
        <v>357</v>
      </c>
      <c r="B177" s="20"/>
      <c r="C177" s="20" t="s">
        <v>358</v>
      </c>
      <c r="D177" s="20"/>
      <c r="G177" s="38"/>
      <c r="H177" s="12">
        <f>SUM(H178,H179)</f>
        <v>0</v>
      </c>
    </row>
    <row r="178" spans="1:10" s="13" customFormat="1" ht="86.4" hidden="1" x14ac:dyDescent="0.3">
      <c r="A178" s="15" t="s">
        <v>359</v>
      </c>
      <c r="B178" s="15" t="s">
        <v>30</v>
      </c>
      <c r="C178" s="15" t="s">
        <v>360</v>
      </c>
      <c r="D178" s="15" t="s">
        <v>361</v>
      </c>
      <c r="E178" s="13">
        <v>1</v>
      </c>
      <c r="F178" s="13" t="s">
        <v>362</v>
      </c>
      <c r="G178" s="40"/>
      <c r="H178" s="14" t="str">
        <f>IF(AND(ISNUMBER(E178),ISNUMBER(G178)),ROUND(PRODUCT(PRODUCT(E178, G178), 1 - J178), 2),"")</f>
        <v/>
      </c>
      <c r="I178" s="13" t="s">
        <v>30</v>
      </c>
      <c r="J178" s="13">
        <v>0</v>
      </c>
    </row>
    <row r="179" spans="1:10" s="13" customFormat="1" ht="172.8" hidden="1" x14ac:dyDescent="0.3">
      <c r="A179" s="15" t="s">
        <v>363</v>
      </c>
      <c r="B179" s="15" t="s">
        <v>30</v>
      </c>
      <c r="C179" s="15" t="s">
        <v>364</v>
      </c>
      <c r="D179" s="15" t="s">
        <v>365</v>
      </c>
      <c r="E179" s="13">
        <v>1</v>
      </c>
      <c r="F179" s="13" t="s">
        <v>355</v>
      </c>
      <c r="G179" s="40"/>
      <c r="H179" s="14" t="str">
        <f>IF(AND(ISNUMBER(E179),ISNUMBER(G179)),ROUND(PRODUCT(PRODUCT(E179, G179), 1 - J179), 2),"")</f>
        <v/>
      </c>
      <c r="I179" s="13" t="s">
        <v>30</v>
      </c>
      <c r="J179" s="13">
        <v>0</v>
      </c>
    </row>
    <row r="180" spans="1:10" s="11" customFormat="1" hidden="1" x14ac:dyDescent="0.3">
      <c r="A180" s="20" t="s">
        <v>366</v>
      </c>
      <c r="B180" s="20"/>
      <c r="C180" s="20" t="s">
        <v>367</v>
      </c>
      <c r="D180" s="20"/>
      <c r="G180" s="38"/>
      <c r="H180" s="12">
        <f>SUM(H181,H182,H183,H184)</f>
        <v>0</v>
      </c>
    </row>
    <row r="181" spans="1:10" s="13" customFormat="1" ht="403.2" hidden="1" x14ac:dyDescent="0.3">
      <c r="A181" s="15" t="s">
        <v>368</v>
      </c>
      <c r="B181" s="15" t="s">
        <v>30</v>
      </c>
      <c r="C181" s="15" t="s">
        <v>369</v>
      </c>
      <c r="D181" s="15" t="s">
        <v>370</v>
      </c>
      <c r="E181" s="13">
        <v>1</v>
      </c>
      <c r="F181" s="13" t="s">
        <v>355</v>
      </c>
      <c r="G181" s="40"/>
      <c r="H181" s="14" t="str">
        <f>IF(AND(ISNUMBER(E181),ISNUMBER(G181)),ROUND(PRODUCT(PRODUCT(E181, G181), 1 - J181), 2),"")</f>
        <v/>
      </c>
      <c r="I181" s="13" t="s">
        <v>30</v>
      </c>
      <c r="J181" s="13">
        <v>0</v>
      </c>
    </row>
    <row r="182" spans="1:10" s="13" customFormat="1" ht="409.6" hidden="1" x14ac:dyDescent="0.3">
      <c r="A182" s="15" t="s">
        <v>371</v>
      </c>
      <c r="B182" s="15" t="s">
        <v>30</v>
      </c>
      <c r="C182" s="15" t="s">
        <v>372</v>
      </c>
      <c r="D182" s="15" t="s">
        <v>373</v>
      </c>
      <c r="E182" s="13">
        <v>1</v>
      </c>
      <c r="F182" s="13" t="s">
        <v>355</v>
      </c>
      <c r="G182" s="40"/>
      <c r="H182" s="14" t="str">
        <f>IF(AND(ISNUMBER(E182),ISNUMBER(G182)),ROUND(PRODUCT(PRODUCT(E182, G182), 1 - J182), 2),"")</f>
        <v/>
      </c>
      <c r="I182" s="13" t="s">
        <v>30</v>
      </c>
      <c r="J182" s="13">
        <v>0</v>
      </c>
    </row>
    <row r="183" spans="1:10" s="13" customFormat="1" ht="409.6" hidden="1" x14ac:dyDescent="0.3">
      <c r="A183" s="15" t="s">
        <v>374</v>
      </c>
      <c r="B183" s="15" t="s">
        <v>30</v>
      </c>
      <c r="C183" s="15" t="s">
        <v>375</v>
      </c>
      <c r="D183" s="15" t="s">
        <v>376</v>
      </c>
      <c r="E183" s="13">
        <v>1</v>
      </c>
      <c r="F183" s="13" t="s">
        <v>355</v>
      </c>
      <c r="G183" s="40"/>
      <c r="H183" s="14" t="str">
        <f>IF(AND(ISNUMBER(E183),ISNUMBER(G183)),ROUND(PRODUCT(PRODUCT(E183, G183), 1 - J183), 2),"")</f>
        <v/>
      </c>
      <c r="I183" s="13" t="s">
        <v>30</v>
      </c>
      <c r="J183" s="13">
        <v>0</v>
      </c>
    </row>
    <row r="184" spans="1:10" s="13" customFormat="1" ht="100.8" hidden="1" x14ac:dyDescent="0.3">
      <c r="A184" s="15" t="s">
        <v>377</v>
      </c>
      <c r="B184" s="15" t="s">
        <v>30</v>
      </c>
      <c r="C184" s="15" t="s">
        <v>378</v>
      </c>
      <c r="D184" s="15" t="s">
        <v>379</v>
      </c>
      <c r="E184" s="13">
        <v>1</v>
      </c>
      <c r="F184" s="13" t="s">
        <v>355</v>
      </c>
      <c r="G184" s="40"/>
      <c r="H184" s="14" t="str">
        <f>IF(AND(ISNUMBER(E184),ISNUMBER(G184)),ROUND(PRODUCT(PRODUCT(E184, G184), 1 - J184), 2),"")</f>
        <v/>
      </c>
      <c r="I184" s="13" t="s">
        <v>30</v>
      </c>
      <c r="J184" s="13">
        <v>0</v>
      </c>
    </row>
    <row r="185" spans="1:10" s="11" customFormat="1" hidden="1" x14ac:dyDescent="0.3">
      <c r="A185" s="20" t="s">
        <v>380</v>
      </c>
      <c r="B185" s="20"/>
      <c r="C185" s="20" t="s">
        <v>79</v>
      </c>
      <c r="D185" s="20"/>
      <c r="G185" s="38"/>
      <c r="H185" s="12">
        <f>SUM(H186,H187)</f>
        <v>0</v>
      </c>
    </row>
    <row r="186" spans="1:10" s="13" customFormat="1" ht="43.2" hidden="1" x14ac:dyDescent="0.3">
      <c r="A186" s="15" t="s">
        <v>381</v>
      </c>
      <c r="B186" s="15" t="s">
        <v>30</v>
      </c>
      <c r="C186" s="15" t="s">
        <v>382</v>
      </c>
      <c r="D186" s="15" t="s">
        <v>383</v>
      </c>
      <c r="E186" s="13">
        <v>1</v>
      </c>
      <c r="F186" s="13" t="s">
        <v>384</v>
      </c>
      <c r="G186" s="40"/>
      <c r="H186" s="14" t="str">
        <f>IF(AND(ISNUMBER(E186),ISNUMBER(G186)),ROUND(PRODUCT(PRODUCT(E186, G186), 1 - J186), 2),"")</f>
        <v/>
      </c>
      <c r="I186" s="13" t="s">
        <v>30</v>
      </c>
      <c r="J186" s="13">
        <v>0</v>
      </c>
    </row>
    <row r="187" spans="1:10" s="13" customFormat="1" ht="43.2" hidden="1" x14ac:dyDescent="0.3">
      <c r="A187" s="15" t="s">
        <v>385</v>
      </c>
      <c r="B187" s="15" t="s">
        <v>30</v>
      </c>
      <c r="C187" s="15" t="s">
        <v>386</v>
      </c>
      <c r="D187" s="15" t="s">
        <v>387</v>
      </c>
      <c r="E187" s="13">
        <v>1</v>
      </c>
      <c r="F187" s="13" t="s">
        <v>384</v>
      </c>
      <c r="G187" s="40"/>
      <c r="H187" s="14" t="str">
        <f>IF(AND(ISNUMBER(E187),ISNUMBER(G187)),ROUND(PRODUCT(PRODUCT(E187, G187), 1 - J187), 2),"")</f>
        <v/>
      </c>
      <c r="I187" s="13" t="s">
        <v>30</v>
      </c>
      <c r="J187" s="13">
        <v>0</v>
      </c>
    </row>
    <row r="188" spans="1:10" s="11" customFormat="1" ht="28.8" hidden="1" x14ac:dyDescent="0.3">
      <c r="A188" s="20" t="s">
        <v>388</v>
      </c>
      <c r="B188" s="20"/>
      <c r="C188" s="20" t="s">
        <v>389</v>
      </c>
      <c r="D188" s="20"/>
      <c r="G188" s="38"/>
      <c r="H188" s="12">
        <f>SUM(H189,H193,H198,H200,H217,H226,H234,H237,H241,H246,H251,H254,H273,H274,H275,H283)</f>
        <v>0</v>
      </c>
    </row>
    <row r="189" spans="1:10" s="11" customFormat="1" hidden="1" x14ac:dyDescent="0.3">
      <c r="A189" s="20" t="s">
        <v>390</v>
      </c>
      <c r="B189" s="20"/>
      <c r="C189" s="20" t="s">
        <v>83</v>
      </c>
      <c r="D189" s="20"/>
      <c r="G189" s="38"/>
      <c r="H189" s="12">
        <v>0</v>
      </c>
    </row>
    <row r="190" spans="1:10" s="13" customFormat="1" ht="409.6" hidden="1" x14ac:dyDescent="0.3">
      <c r="A190" s="15"/>
      <c r="B190" s="15"/>
      <c r="C190" s="15" t="s">
        <v>28</v>
      </c>
      <c r="D190" s="15" t="s">
        <v>29</v>
      </c>
      <c r="G190" s="39"/>
      <c r="I190" s="13" t="s">
        <v>30</v>
      </c>
    </row>
    <row r="191" spans="1:10" s="13" customFormat="1" ht="409.6" hidden="1" x14ac:dyDescent="0.3">
      <c r="A191" s="15"/>
      <c r="B191" s="15"/>
      <c r="C191" s="15" t="s">
        <v>391</v>
      </c>
      <c r="D191" s="15" t="s">
        <v>392</v>
      </c>
      <c r="G191" s="39"/>
      <c r="I191" s="13" t="s">
        <v>30</v>
      </c>
    </row>
    <row r="192" spans="1:10" s="13" customFormat="1" ht="244.8" hidden="1" x14ac:dyDescent="0.3">
      <c r="A192" s="15"/>
      <c r="B192" s="15"/>
      <c r="C192" s="15" t="s">
        <v>393</v>
      </c>
      <c r="D192" s="15" t="s">
        <v>394</v>
      </c>
      <c r="G192" s="39"/>
      <c r="I192" s="13" t="s">
        <v>30</v>
      </c>
    </row>
    <row r="193" spans="1:10" s="11" customFormat="1" ht="28.8" hidden="1" x14ac:dyDescent="0.3">
      <c r="A193" s="20" t="s">
        <v>395</v>
      </c>
      <c r="B193" s="20"/>
      <c r="C193" s="20" t="s">
        <v>396</v>
      </c>
      <c r="D193" s="20"/>
      <c r="G193" s="38"/>
      <c r="H193" s="12">
        <f>SUM(H194,H195,H196,H197)</f>
        <v>0</v>
      </c>
    </row>
    <row r="194" spans="1:10" s="13" customFormat="1" ht="57.6" hidden="1" x14ac:dyDescent="0.3">
      <c r="A194" s="15" t="s">
        <v>397</v>
      </c>
      <c r="B194" s="15" t="s">
        <v>30</v>
      </c>
      <c r="C194" s="15" t="s">
        <v>398</v>
      </c>
      <c r="D194" s="15" t="s">
        <v>399</v>
      </c>
      <c r="E194" s="13">
        <v>85846</v>
      </c>
      <c r="F194" s="13" t="s">
        <v>400</v>
      </c>
      <c r="G194" s="40"/>
      <c r="H194" s="14" t="str">
        <f>IF(AND(ISNUMBER(E194),ISNUMBER(G194)),ROUND(PRODUCT(PRODUCT(E194, G194), 1 - J194), 2),"")</f>
        <v/>
      </c>
      <c r="I194" s="13" t="s">
        <v>30</v>
      </c>
      <c r="J194" s="13">
        <v>0</v>
      </c>
    </row>
    <row r="195" spans="1:10" s="13" customFormat="1" ht="57.6" hidden="1" x14ac:dyDescent="0.3">
      <c r="A195" s="15" t="s">
        <v>401</v>
      </c>
      <c r="B195" s="15" t="s">
        <v>30</v>
      </c>
      <c r="C195" s="15" t="s">
        <v>402</v>
      </c>
      <c r="D195" s="15" t="s">
        <v>403</v>
      </c>
      <c r="E195" s="13">
        <v>41492</v>
      </c>
      <c r="F195" s="13" t="s">
        <v>400</v>
      </c>
      <c r="G195" s="40"/>
      <c r="H195" s="14" t="str">
        <f>IF(AND(ISNUMBER(E195),ISNUMBER(G195)),ROUND(PRODUCT(PRODUCT(E195, G195), 1 - J195), 2),"")</f>
        <v/>
      </c>
      <c r="I195" s="13" t="s">
        <v>30</v>
      </c>
      <c r="J195" s="13">
        <v>0</v>
      </c>
    </row>
    <row r="196" spans="1:10" s="13" customFormat="1" ht="86.4" hidden="1" x14ac:dyDescent="0.3">
      <c r="A196" s="15" t="s">
        <v>404</v>
      </c>
      <c r="B196" s="15" t="s">
        <v>30</v>
      </c>
      <c r="C196" s="15" t="s">
        <v>405</v>
      </c>
      <c r="D196" s="15" t="s">
        <v>406</v>
      </c>
      <c r="E196" s="13">
        <v>500</v>
      </c>
      <c r="F196" s="13" t="s">
        <v>400</v>
      </c>
      <c r="G196" s="40"/>
      <c r="H196" s="14" t="str">
        <f>IF(AND(ISNUMBER(E196),ISNUMBER(G196)),ROUND(PRODUCT(PRODUCT(E196, G196), 1 - J196), 2),"")</f>
        <v/>
      </c>
      <c r="I196" s="13" t="s">
        <v>30</v>
      </c>
      <c r="J196" s="13">
        <v>0</v>
      </c>
    </row>
    <row r="197" spans="1:10" s="13" customFormat="1" ht="43.2" hidden="1" x14ac:dyDescent="0.3">
      <c r="A197" s="15" t="s">
        <v>407</v>
      </c>
      <c r="B197" s="15" t="s">
        <v>30</v>
      </c>
      <c r="C197" s="15" t="s">
        <v>408</v>
      </c>
      <c r="D197" s="15" t="s">
        <v>409</v>
      </c>
      <c r="E197" s="13">
        <v>230</v>
      </c>
      <c r="F197" s="13" t="s">
        <v>71</v>
      </c>
      <c r="G197" s="40"/>
      <c r="H197" s="14" t="str">
        <f>IF(AND(ISNUMBER(E197),ISNUMBER(G197)),ROUND(PRODUCT(PRODUCT(E197, G197), 1 - J197), 2),"")</f>
        <v/>
      </c>
      <c r="I197" s="13" t="s">
        <v>30</v>
      </c>
      <c r="J197" s="13">
        <v>0</v>
      </c>
    </row>
    <row r="198" spans="1:10" s="11" customFormat="1" hidden="1" x14ac:dyDescent="0.3">
      <c r="A198" s="20" t="s">
        <v>410</v>
      </c>
      <c r="B198" s="20"/>
      <c r="C198" s="20" t="s">
        <v>411</v>
      </c>
      <c r="D198" s="20"/>
      <c r="G198" s="38"/>
      <c r="H198" s="12">
        <f>SUM(H199)</f>
        <v>0</v>
      </c>
    </row>
    <row r="199" spans="1:10" s="13" customFormat="1" ht="28.8" hidden="1" x14ac:dyDescent="0.3">
      <c r="A199" s="15" t="s">
        <v>412</v>
      </c>
      <c r="B199" s="15" t="s">
        <v>30</v>
      </c>
      <c r="C199" s="15" t="s">
        <v>413</v>
      </c>
      <c r="D199" s="15" t="s">
        <v>414</v>
      </c>
      <c r="E199" s="13">
        <v>1</v>
      </c>
      <c r="F199" s="13" t="s">
        <v>133</v>
      </c>
      <c r="G199" s="40"/>
      <c r="H199" s="14" t="str">
        <f>IF(AND(ISNUMBER(E199),ISNUMBER(G199)),ROUND(PRODUCT(PRODUCT(E199, G199), 1 - J199), 2),"")</f>
        <v/>
      </c>
      <c r="I199" s="13" t="s">
        <v>30</v>
      </c>
      <c r="J199" s="13">
        <v>0</v>
      </c>
    </row>
    <row r="200" spans="1:10" s="11" customFormat="1" hidden="1" x14ac:dyDescent="0.3">
      <c r="A200" s="20" t="s">
        <v>415</v>
      </c>
      <c r="B200" s="20"/>
      <c r="C200" s="20" t="s">
        <v>416</v>
      </c>
      <c r="D200" s="20"/>
      <c r="G200" s="38"/>
      <c r="H200" s="12">
        <f>SUM(H201,H202,H203,H204,H205,H206,H207,H208,H209,H210,H211,H212,H213,H214,H215,H216)</f>
        <v>0</v>
      </c>
    </row>
    <row r="201" spans="1:10" s="13" customFormat="1" ht="72" hidden="1" x14ac:dyDescent="0.3">
      <c r="A201" s="15" t="s">
        <v>417</v>
      </c>
      <c r="B201" s="15" t="s">
        <v>30</v>
      </c>
      <c r="C201" s="15" t="s">
        <v>418</v>
      </c>
      <c r="D201" s="15" t="s">
        <v>419</v>
      </c>
      <c r="E201" s="13">
        <v>1250</v>
      </c>
      <c r="F201" s="13" t="s">
        <v>100</v>
      </c>
      <c r="G201" s="40"/>
      <c r="H201" s="14" t="str">
        <f t="shared" ref="H201:H216" si="4">IF(AND(ISNUMBER(E201),ISNUMBER(G201)),ROUND(PRODUCT(PRODUCT(E201, G201), 1 - J201), 2),"")</f>
        <v/>
      </c>
      <c r="I201" s="13" t="s">
        <v>30</v>
      </c>
      <c r="J201" s="13">
        <v>0</v>
      </c>
    </row>
    <row r="202" spans="1:10" s="13" customFormat="1" ht="115.2" hidden="1" x14ac:dyDescent="0.3">
      <c r="A202" s="15" t="s">
        <v>420</v>
      </c>
      <c r="B202" s="15" t="s">
        <v>30</v>
      </c>
      <c r="C202" s="15" t="s">
        <v>421</v>
      </c>
      <c r="D202" s="15" t="s">
        <v>422</v>
      </c>
      <c r="E202" s="13">
        <v>350</v>
      </c>
      <c r="F202" s="13" t="s">
        <v>133</v>
      </c>
      <c r="G202" s="40"/>
      <c r="H202" s="14" t="str">
        <f t="shared" si="4"/>
        <v/>
      </c>
      <c r="I202" s="13" t="s">
        <v>30</v>
      </c>
      <c r="J202" s="13">
        <v>0</v>
      </c>
    </row>
    <row r="203" spans="1:10" s="13" customFormat="1" ht="201.6" hidden="1" x14ac:dyDescent="0.3">
      <c r="A203" s="15" t="s">
        <v>423</v>
      </c>
      <c r="B203" s="15" t="s">
        <v>30</v>
      </c>
      <c r="C203" s="15" t="s">
        <v>424</v>
      </c>
      <c r="D203" s="15" t="s">
        <v>425</v>
      </c>
      <c r="E203" s="13">
        <v>28</v>
      </c>
      <c r="F203" s="13" t="s">
        <v>60</v>
      </c>
      <c r="G203" s="40"/>
      <c r="H203" s="14" t="str">
        <f t="shared" si="4"/>
        <v/>
      </c>
      <c r="I203" s="13" t="s">
        <v>30</v>
      </c>
      <c r="J203" s="13">
        <v>0</v>
      </c>
    </row>
    <row r="204" spans="1:10" s="13" customFormat="1" ht="57.6" hidden="1" x14ac:dyDescent="0.3">
      <c r="A204" s="15" t="s">
        <v>426</v>
      </c>
      <c r="B204" s="15" t="s">
        <v>30</v>
      </c>
      <c r="C204" s="15" t="s">
        <v>424</v>
      </c>
      <c r="D204" s="15" t="s">
        <v>427</v>
      </c>
      <c r="E204" s="13">
        <v>10</v>
      </c>
      <c r="F204" s="13" t="s">
        <v>60</v>
      </c>
      <c r="G204" s="40"/>
      <c r="H204" s="14" t="str">
        <f t="shared" si="4"/>
        <v/>
      </c>
      <c r="I204" s="13" t="s">
        <v>30</v>
      </c>
      <c r="J204" s="13">
        <v>0</v>
      </c>
    </row>
    <row r="205" spans="1:10" s="13" customFormat="1" ht="201.6" hidden="1" x14ac:dyDescent="0.3">
      <c r="A205" s="15" t="s">
        <v>428</v>
      </c>
      <c r="B205" s="15" t="s">
        <v>30</v>
      </c>
      <c r="C205" s="15" t="s">
        <v>429</v>
      </c>
      <c r="D205" s="15" t="s">
        <v>430</v>
      </c>
      <c r="E205" s="13">
        <v>16</v>
      </c>
      <c r="F205" s="13" t="s">
        <v>133</v>
      </c>
      <c r="G205" s="40"/>
      <c r="H205" s="14" t="str">
        <f t="shared" si="4"/>
        <v/>
      </c>
      <c r="I205" s="13" t="s">
        <v>30</v>
      </c>
      <c r="J205" s="13">
        <v>0</v>
      </c>
    </row>
    <row r="206" spans="1:10" s="13" customFormat="1" ht="201.6" hidden="1" x14ac:dyDescent="0.3">
      <c r="A206" s="15" t="s">
        <v>431</v>
      </c>
      <c r="B206" s="15" t="s">
        <v>30</v>
      </c>
      <c r="C206" s="15" t="s">
        <v>432</v>
      </c>
      <c r="D206" s="15" t="s">
        <v>433</v>
      </c>
      <c r="E206" s="13">
        <v>86.5</v>
      </c>
      <c r="F206" s="13" t="s">
        <v>133</v>
      </c>
      <c r="G206" s="40"/>
      <c r="H206" s="14" t="str">
        <f t="shared" si="4"/>
        <v/>
      </c>
      <c r="I206" s="13" t="s">
        <v>30</v>
      </c>
      <c r="J206" s="13">
        <v>0</v>
      </c>
    </row>
    <row r="207" spans="1:10" s="13" customFormat="1" ht="216" hidden="1" x14ac:dyDescent="0.3">
      <c r="A207" s="15" t="s">
        <v>434</v>
      </c>
      <c r="B207" s="15" t="s">
        <v>30</v>
      </c>
      <c r="C207" s="15" t="s">
        <v>435</v>
      </c>
      <c r="D207" s="15" t="s">
        <v>436</v>
      </c>
      <c r="E207" s="13">
        <v>11.5</v>
      </c>
      <c r="F207" s="13" t="s">
        <v>133</v>
      </c>
      <c r="G207" s="40"/>
      <c r="H207" s="14" t="str">
        <f t="shared" si="4"/>
        <v/>
      </c>
      <c r="I207" s="13" t="s">
        <v>30</v>
      </c>
      <c r="J207" s="13">
        <v>0</v>
      </c>
    </row>
    <row r="208" spans="1:10" s="13" customFormat="1" ht="331.2" hidden="1" x14ac:dyDescent="0.3">
      <c r="A208" s="15" t="s">
        <v>437</v>
      </c>
      <c r="B208" s="15" t="s">
        <v>30</v>
      </c>
      <c r="C208" s="15" t="s">
        <v>438</v>
      </c>
      <c r="D208" s="15" t="s">
        <v>439</v>
      </c>
      <c r="E208" s="13">
        <v>231</v>
      </c>
      <c r="F208" s="13" t="s">
        <v>60</v>
      </c>
      <c r="G208" s="40"/>
      <c r="H208" s="14" t="str">
        <f t="shared" si="4"/>
        <v/>
      </c>
      <c r="I208" s="13" t="s">
        <v>30</v>
      </c>
      <c r="J208" s="13">
        <v>0</v>
      </c>
    </row>
    <row r="209" spans="1:10" s="13" customFormat="1" ht="187.2" hidden="1" x14ac:dyDescent="0.3">
      <c r="A209" s="15" t="s">
        <v>440</v>
      </c>
      <c r="B209" s="15" t="s">
        <v>30</v>
      </c>
      <c r="C209" s="15" t="s">
        <v>441</v>
      </c>
      <c r="D209" s="15" t="s">
        <v>442</v>
      </c>
      <c r="E209" s="13">
        <v>2.1</v>
      </c>
      <c r="F209" s="13" t="s">
        <v>133</v>
      </c>
      <c r="G209" s="40"/>
      <c r="H209" s="14" t="str">
        <f t="shared" si="4"/>
        <v/>
      </c>
      <c r="I209" s="13" t="s">
        <v>30</v>
      </c>
      <c r="J209" s="13">
        <v>0</v>
      </c>
    </row>
    <row r="210" spans="1:10" s="13" customFormat="1" ht="201.6" hidden="1" x14ac:dyDescent="0.3">
      <c r="A210" s="15" t="s">
        <v>443</v>
      </c>
      <c r="B210" s="15" t="s">
        <v>30</v>
      </c>
      <c r="C210" s="15" t="s">
        <v>444</v>
      </c>
      <c r="D210" s="15" t="s">
        <v>445</v>
      </c>
      <c r="E210" s="13">
        <v>1</v>
      </c>
      <c r="F210" s="13" t="s">
        <v>60</v>
      </c>
      <c r="G210" s="40"/>
      <c r="H210" s="14" t="str">
        <f t="shared" si="4"/>
        <v/>
      </c>
      <c r="I210" s="13" t="s">
        <v>30</v>
      </c>
      <c r="J210" s="13">
        <v>0</v>
      </c>
    </row>
    <row r="211" spans="1:10" s="13" customFormat="1" ht="144" hidden="1" x14ac:dyDescent="0.3">
      <c r="A211" s="15" t="s">
        <v>446</v>
      </c>
      <c r="B211" s="15" t="s">
        <v>30</v>
      </c>
      <c r="C211" s="15" t="s">
        <v>447</v>
      </c>
      <c r="D211" s="15" t="s">
        <v>448</v>
      </c>
      <c r="E211" s="13">
        <v>3</v>
      </c>
      <c r="F211" s="13" t="s">
        <v>60</v>
      </c>
      <c r="G211" s="40"/>
      <c r="H211" s="14" t="str">
        <f t="shared" si="4"/>
        <v/>
      </c>
      <c r="I211" s="13" t="s">
        <v>30</v>
      </c>
      <c r="J211" s="13">
        <v>0</v>
      </c>
    </row>
    <row r="212" spans="1:10" s="13" customFormat="1" ht="144" hidden="1" x14ac:dyDescent="0.3">
      <c r="A212" s="15" t="s">
        <v>449</v>
      </c>
      <c r="B212" s="15" t="s">
        <v>30</v>
      </c>
      <c r="C212" s="15" t="s">
        <v>450</v>
      </c>
      <c r="D212" s="15" t="s">
        <v>451</v>
      </c>
      <c r="E212" s="13">
        <v>1</v>
      </c>
      <c r="F212" s="13" t="s">
        <v>60</v>
      </c>
      <c r="G212" s="40"/>
      <c r="H212" s="14" t="str">
        <f t="shared" si="4"/>
        <v/>
      </c>
      <c r="I212" s="13" t="s">
        <v>30</v>
      </c>
      <c r="J212" s="13">
        <v>0</v>
      </c>
    </row>
    <row r="213" spans="1:10" s="13" customFormat="1" ht="100.8" hidden="1" x14ac:dyDescent="0.3">
      <c r="A213" s="15" t="s">
        <v>452</v>
      </c>
      <c r="B213" s="15" t="s">
        <v>30</v>
      </c>
      <c r="C213" s="15" t="s">
        <v>453</v>
      </c>
      <c r="D213" s="15" t="s">
        <v>454</v>
      </c>
      <c r="E213" s="13">
        <v>1</v>
      </c>
      <c r="F213" s="13" t="s">
        <v>60</v>
      </c>
      <c r="G213" s="40"/>
      <c r="H213" s="14" t="str">
        <f t="shared" si="4"/>
        <v/>
      </c>
      <c r="I213" s="13" t="s">
        <v>30</v>
      </c>
      <c r="J213" s="13">
        <v>0</v>
      </c>
    </row>
    <row r="214" spans="1:10" s="13" customFormat="1" ht="72" hidden="1" x14ac:dyDescent="0.3">
      <c r="A214" s="15" t="s">
        <v>455</v>
      </c>
      <c r="B214" s="15" t="s">
        <v>30</v>
      </c>
      <c r="C214" s="15" t="s">
        <v>456</v>
      </c>
      <c r="D214" s="15" t="s">
        <v>457</v>
      </c>
      <c r="E214" s="13">
        <v>2</v>
      </c>
      <c r="F214" s="13" t="s">
        <v>100</v>
      </c>
      <c r="G214" s="40"/>
      <c r="H214" s="14" t="str">
        <f t="shared" si="4"/>
        <v/>
      </c>
      <c r="I214" s="13" t="s">
        <v>30</v>
      </c>
      <c r="J214" s="13">
        <v>0</v>
      </c>
    </row>
    <row r="215" spans="1:10" s="13" customFormat="1" ht="331.2" hidden="1" x14ac:dyDescent="0.3">
      <c r="A215" s="15" t="s">
        <v>458</v>
      </c>
      <c r="B215" s="15" t="s">
        <v>30</v>
      </c>
      <c r="C215" s="15" t="s">
        <v>459</v>
      </c>
      <c r="D215" s="15" t="s">
        <v>460</v>
      </c>
      <c r="E215" s="13">
        <v>12</v>
      </c>
      <c r="F215" s="13" t="s">
        <v>60</v>
      </c>
      <c r="G215" s="40"/>
      <c r="H215" s="14" t="str">
        <f t="shared" si="4"/>
        <v/>
      </c>
      <c r="I215" s="13" t="s">
        <v>30</v>
      </c>
      <c r="J215" s="13">
        <v>0</v>
      </c>
    </row>
    <row r="216" spans="1:10" s="13" customFormat="1" ht="100.8" hidden="1" x14ac:dyDescent="0.3">
      <c r="A216" s="15" t="s">
        <v>461</v>
      </c>
      <c r="B216" s="15" t="s">
        <v>30</v>
      </c>
      <c r="C216" s="15" t="s">
        <v>462</v>
      </c>
      <c r="D216" s="15" t="s">
        <v>463</v>
      </c>
      <c r="E216" s="13">
        <v>1</v>
      </c>
      <c r="F216" s="13" t="s">
        <v>60</v>
      </c>
      <c r="G216" s="40"/>
      <c r="H216" s="14" t="str">
        <f t="shared" si="4"/>
        <v/>
      </c>
      <c r="I216" s="13" t="s">
        <v>30</v>
      </c>
      <c r="J216" s="13">
        <v>0</v>
      </c>
    </row>
    <row r="217" spans="1:10" s="11" customFormat="1" hidden="1" x14ac:dyDescent="0.3">
      <c r="A217" s="20" t="s">
        <v>464</v>
      </c>
      <c r="B217" s="20"/>
      <c r="C217" s="20" t="s">
        <v>465</v>
      </c>
      <c r="D217" s="20"/>
      <c r="G217" s="38"/>
      <c r="H217" s="12">
        <f>SUM(H218,H219,H220,H221,H222,H223,H224,H225)</f>
        <v>0</v>
      </c>
    </row>
    <row r="218" spans="1:10" s="13" customFormat="1" ht="115.2" hidden="1" x14ac:dyDescent="0.3">
      <c r="A218" s="15" t="s">
        <v>466</v>
      </c>
      <c r="B218" s="15" t="s">
        <v>30</v>
      </c>
      <c r="C218" s="15" t="s">
        <v>467</v>
      </c>
      <c r="D218" s="15" t="s">
        <v>468</v>
      </c>
      <c r="E218" s="13">
        <v>4655</v>
      </c>
      <c r="F218" s="13" t="s">
        <v>100</v>
      </c>
      <c r="G218" s="40"/>
      <c r="H218" s="14" t="str">
        <f t="shared" ref="H218:H225" si="5">IF(AND(ISNUMBER(E218),ISNUMBER(G218)),ROUND(PRODUCT(PRODUCT(E218, G218), 1 - J218), 2),"")</f>
        <v/>
      </c>
      <c r="I218" s="13" t="s">
        <v>30</v>
      </c>
      <c r="J218" s="13">
        <v>0</v>
      </c>
    </row>
    <row r="219" spans="1:10" s="13" customFormat="1" ht="187.2" hidden="1" x14ac:dyDescent="0.3">
      <c r="A219" s="15" t="s">
        <v>469</v>
      </c>
      <c r="B219" s="15" t="s">
        <v>30</v>
      </c>
      <c r="C219" s="15" t="s">
        <v>470</v>
      </c>
      <c r="D219" s="15" t="s">
        <v>471</v>
      </c>
      <c r="E219" s="13">
        <v>3355</v>
      </c>
      <c r="F219" s="13" t="s">
        <v>100</v>
      </c>
      <c r="G219" s="40"/>
      <c r="H219" s="14" t="str">
        <f t="shared" si="5"/>
        <v/>
      </c>
      <c r="I219" s="13" t="s">
        <v>30</v>
      </c>
      <c r="J219" s="13">
        <v>0</v>
      </c>
    </row>
    <row r="220" spans="1:10" s="13" customFormat="1" ht="302.39999999999998" hidden="1" x14ac:dyDescent="0.3">
      <c r="A220" s="15" t="s">
        <v>472</v>
      </c>
      <c r="B220" s="15" t="s">
        <v>30</v>
      </c>
      <c r="C220" s="15" t="s">
        <v>473</v>
      </c>
      <c r="D220" s="15" t="s">
        <v>474</v>
      </c>
      <c r="E220" s="13">
        <v>1020</v>
      </c>
      <c r="F220" s="13" t="s">
        <v>100</v>
      </c>
      <c r="G220" s="40"/>
      <c r="H220" s="14" t="str">
        <f t="shared" si="5"/>
        <v/>
      </c>
      <c r="I220" s="13" t="s">
        <v>30</v>
      </c>
      <c r="J220" s="13">
        <v>0</v>
      </c>
    </row>
    <row r="221" spans="1:10" s="13" customFormat="1" ht="72" hidden="1" x14ac:dyDescent="0.3">
      <c r="A221" s="15" t="s">
        <v>475</v>
      </c>
      <c r="B221" s="15" t="s">
        <v>30</v>
      </c>
      <c r="C221" s="15" t="s">
        <v>476</v>
      </c>
      <c r="D221" s="15" t="s">
        <v>477</v>
      </c>
      <c r="E221" s="13">
        <v>4</v>
      </c>
      <c r="F221" s="13" t="s">
        <v>100</v>
      </c>
      <c r="G221" s="40"/>
      <c r="H221" s="14" t="str">
        <f t="shared" si="5"/>
        <v/>
      </c>
      <c r="I221" s="13" t="s">
        <v>30</v>
      </c>
      <c r="J221" s="13">
        <v>0</v>
      </c>
    </row>
    <row r="222" spans="1:10" s="13" customFormat="1" ht="187.2" hidden="1" x14ac:dyDescent="0.3">
      <c r="A222" s="15" t="s">
        <v>478</v>
      </c>
      <c r="B222" s="15" t="s">
        <v>30</v>
      </c>
      <c r="C222" s="15" t="s">
        <v>479</v>
      </c>
      <c r="D222" s="15" t="s">
        <v>480</v>
      </c>
      <c r="E222" s="13">
        <v>78</v>
      </c>
      <c r="F222" s="13" t="s">
        <v>100</v>
      </c>
      <c r="G222" s="40"/>
      <c r="H222" s="14" t="str">
        <f t="shared" si="5"/>
        <v/>
      </c>
      <c r="I222" s="13" t="s">
        <v>30</v>
      </c>
      <c r="J222" s="13">
        <v>0</v>
      </c>
    </row>
    <row r="223" spans="1:10" s="13" customFormat="1" ht="187.2" hidden="1" x14ac:dyDescent="0.3">
      <c r="A223" s="15" t="s">
        <v>481</v>
      </c>
      <c r="B223" s="15" t="s">
        <v>30</v>
      </c>
      <c r="C223" s="15" t="s">
        <v>482</v>
      </c>
      <c r="D223" s="15" t="s">
        <v>483</v>
      </c>
      <c r="E223" s="13">
        <v>312</v>
      </c>
      <c r="F223" s="13" t="s">
        <v>100</v>
      </c>
      <c r="G223" s="40"/>
      <c r="H223" s="14" t="str">
        <f t="shared" si="5"/>
        <v/>
      </c>
      <c r="I223" s="13" t="s">
        <v>30</v>
      </c>
      <c r="J223" s="13">
        <v>0</v>
      </c>
    </row>
    <row r="224" spans="1:10" s="13" customFormat="1" ht="288" hidden="1" x14ac:dyDescent="0.3">
      <c r="A224" s="15" t="s">
        <v>484</v>
      </c>
      <c r="B224" s="15" t="s">
        <v>30</v>
      </c>
      <c r="C224" s="15" t="s">
        <v>485</v>
      </c>
      <c r="D224" s="15" t="s">
        <v>486</v>
      </c>
      <c r="E224" s="13">
        <v>17.100000000000001</v>
      </c>
      <c r="F224" s="13" t="s">
        <v>100</v>
      </c>
      <c r="G224" s="40"/>
      <c r="H224" s="14" t="str">
        <f t="shared" si="5"/>
        <v/>
      </c>
      <c r="I224" s="13" t="s">
        <v>30</v>
      </c>
      <c r="J224" s="13">
        <v>0</v>
      </c>
    </row>
    <row r="225" spans="1:10" s="13" customFormat="1" ht="43.2" hidden="1" x14ac:dyDescent="0.3">
      <c r="A225" s="15" t="s">
        <v>487</v>
      </c>
      <c r="B225" s="15" t="s">
        <v>30</v>
      </c>
      <c r="C225" s="15" t="s">
        <v>488</v>
      </c>
      <c r="D225" s="15" t="s">
        <v>489</v>
      </c>
      <c r="E225" s="13">
        <v>120</v>
      </c>
      <c r="F225" s="13" t="s">
        <v>100</v>
      </c>
      <c r="G225" s="40"/>
      <c r="H225" s="14" t="str">
        <f t="shared" si="5"/>
        <v/>
      </c>
      <c r="I225" s="13" t="s">
        <v>30</v>
      </c>
      <c r="J225" s="13">
        <v>0</v>
      </c>
    </row>
    <row r="226" spans="1:10" s="11" customFormat="1" hidden="1" x14ac:dyDescent="0.3">
      <c r="A226" s="20" t="s">
        <v>490</v>
      </c>
      <c r="B226" s="20"/>
      <c r="C226" s="20" t="s">
        <v>491</v>
      </c>
      <c r="D226" s="20"/>
      <c r="G226" s="38"/>
      <c r="H226" s="12">
        <f>SUM(H227,H228,H229,H230,H231,H232,H233)</f>
        <v>0</v>
      </c>
    </row>
    <row r="227" spans="1:10" s="13" customFormat="1" ht="158.4" hidden="1" x14ac:dyDescent="0.3">
      <c r="A227" s="15" t="s">
        <v>492</v>
      </c>
      <c r="B227" s="15" t="s">
        <v>30</v>
      </c>
      <c r="C227" s="15" t="s">
        <v>493</v>
      </c>
      <c r="D227" s="15" t="s">
        <v>494</v>
      </c>
      <c r="E227" s="13">
        <v>56</v>
      </c>
      <c r="F227" s="13" t="s">
        <v>133</v>
      </c>
      <c r="G227" s="40"/>
      <c r="H227" s="14" t="str">
        <f t="shared" ref="H227:H233" si="6">IF(AND(ISNUMBER(E227),ISNUMBER(G227)),ROUND(PRODUCT(PRODUCT(E227, G227), 1 - J227), 2),"")</f>
        <v/>
      </c>
      <c r="I227" s="13" t="s">
        <v>30</v>
      </c>
      <c r="J227" s="13">
        <v>0</v>
      </c>
    </row>
    <row r="228" spans="1:10" s="13" customFormat="1" ht="43.2" hidden="1" x14ac:dyDescent="0.3">
      <c r="A228" s="15" t="s">
        <v>495</v>
      </c>
      <c r="B228" s="15" t="s">
        <v>30</v>
      </c>
      <c r="C228" s="15" t="s">
        <v>496</v>
      </c>
      <c r="D228" s="15" t="s">
        <v>497</v>
      </c>
      <c r="E228" s="13">
        <v>480</v>
      </c>
      <c r="F228" s="13" t="s">
        <v>100</v>
      </c>
      <c r="G228" s="40"/>
      <c r="H228" s="14" t="str">
        <f t="shared" si="6"/>
        <v/>
      </c>
      <c r="I228" s="13" t="s">
        <v>30</v>
      </c>
      <c r="J228" s="13">
        <v>0</v>
      </c>
    </row>
    <row r="229" spans="1:10" s="13" customFormat="1" ht="158.4" hidden="1" x14ac:dyDescent="0.3">
      <c r="A229" s="15" t="s">
        <v>498</v>
      </c>
      <c r="B229" s="15" t="s">
        <v>30</v>
      </c>
      <c r="C229" s="15" t="s">
        <v>499</v>
      </c>
      <c r="D229" s="15" t="s">
        <v>500</v>
      </c>
      <c r="E229" s="13">
        <v>12</v>
      </c>
      <c r="F229" s="13" t="s">
        <v>133</v>
      </c>
      <c r="G229" s="40"/>
      <c r="H229" s="14" t="str">
        <f t="shared" si="6"/>
        <v/>
      </c>
      <c r="I229" s="13" t="s">
        <v>30</v>
      </c>
      <c r="J229" s="13">
        <v>0</v>
      </c>
    </row>
    <row r="230" spans="1:10" s="13" customFormat="1" ht="57.6" hidden="1" x14ac:dyDescent="0.3">
      <c r="A230" s="15" t="s">
        <v>501</v>
      </c>
      <c r="B230" s="15" t="s">
        <v>30</v>
      </c>
      <c r="C230" s="15" t="s">
        <v>502</v>
      </c>
      <c r="D230" s="15" t="s">
        <v>503</v>
      </c>
      <c r="E230" s="13">
        <v>70</v>
      </c>
      <c r="F230" s="13" t="s">
        <v>100</v>
      </c>
      <c r="G230" s="40"/>
      <c r="H230" s="14" t="str">
        <f t="shared" si="6"/>
        <v/>
      </c>
      <c r="I230" s="13" t="s">
        <v>30</v>
      </c>
      <c r="J230" s="13">
        <v>0</v>
      </c>
    </row>
    <row r="231" spans="1:10" s="13" customFormat="1" ht="86.4" hidden="1" x14ac:dyDescent="0.3">
      <c r="A231" s="15" t="s">
        <v>504</v>
      </c>
      <c r="B231" s="15" t="s">
        <v>30</v>
      </c>
      <c r="C231" s="15" t="s">
        <v>505</v>
      </c>
      <c r="D231" s="15" t="s">
        <v>506</v>
      </c>
      <c r="E231" s="13">
        <v>8</v>
      </c>
      <c r="F231" s="13" t="s">
        <v>60</v>
      </c>
      <c r="G231" s="40"/>
      <c r="H231" s="14" t="str">
        <f t="shared" si="6"/>
        <v/>
      </c>
      <c r="I231" s="13" t="s">
        <v>30</v>
      </c>
      <c r="J231" s="13">
        <v>0</v>
      </c>
    </row>
    <row r="232" spans="1:10" s="13" customFormat="1" ht="86.4" hidden="1" x14ac:dyDescent="0.3">
      <c r="A232" s="15" t="s">
        <v>507</v>
      </c>
      <c r="B232" s="15" t="s">
        <v>30</v>
      </c>
      <c r="C232" s="15" t="s">
        <v>508</v>
      </c>
      <c r="D232" s="15" t="s">
        <v>509</v>
      </c>
      <c r="E232" s="13">
        <v>5.71</v>
      </c>
      <c r="F232" s="13" t="s">
        <v>71</v>
      </c>
      <c r="G232" s="40"/>
      <c r="H232" s="14" t="str">
        <f t="shared" si="6"/>
        <v/>
      </c>
      <c r="I232" s="13" t="s">
        <v>30</v>
      </c>
      <c r="J232" s="13">
        <v>0</v>
      </c>
    </row>
    <row r="233" spans="1:10" s="13" customFormat="1" ht="86.4" hidden="1" x14ac:dyDescent="0.3">
      <c r="A233" s="15" t="s">
        <v>510</v>
      </c>
      <c r="B233" s="15" t="s">
        <v>30</v>
      </c>
      <c r="C233" s="15" t="s">
        <v>511</v>
      </c>
      <c r="D233" s="15" t="s">
        <v>512</v>
      </c>
      <c r="E233" s="13">
        <v>3</v>
      </c>
      <c r="F233" s="13" t="s">
        <v>71</v>
      </c>
      <c r="G233" s="40"/>
      <c r="H233" s="14" t="str">
        <f t="shared" si="6"/>
        <v/>
      </c>
      <c r="I233" s="13" t="s">
        <v>30</v>
      </c>
      <c r="J233" s="13">
        <v>0</v>
      </c>
    </row>
    <row r="234" spans="1:10" s="11" customFormat="1" hidden="1" x14ac:dyDescent="0.3">
      <c r="A234" s="20" t="s">
        <v>513</v>
      </c>
      <c r="B234" s="20"/>
      <c r="C234" s="20" t="s">
        <v>514</v>
      </c>
      <c r="D234" s="20"/>
      <c r="G234" s="38"/>
      <c r="H234" s="12">
        <f>SUM(H235,H236)</f>
        <v>0</v>
      </c>
    </row>
    <row r="235" spans="1:10" s="13" customFormat="1" ht="172.8" hidden="1" x14ac:dyDescent="0.3">
      <c r="A235" s="15" t="s">
        <v>515</v>
      </c>
      <c r="B235" s="15" t="s">
        <v>30</v>
      </c>
      <c r="C235" s="15" t="s">
        <v>516</v>
      </c>
      <c r="D235" s="15" t="s">
        <v>517</v>
      </c>
      <c r="E235" s="13">
        <v>3.9</v>
      </c>
      <c r="F235" s="13" t="s">
        <v>133</v>
      </c>
      <c r="G235" s="40"/>
      <c r="H235" s="14" t="str">
        <f>IF(AND(ISNUMBER(E235),ISNUMBER(G235)),ROUND(PRODUCT(PRODUCT(E235, G235), 1 - J235), 2),"")</f>
        <v/>
      </c>
      <c r="I235" s="13" t="s">
        <v>30</v>
      </c>
      <c r="J235" s="13">
        <v>0</v>
      </c>
    </row>
    <row r="236" spans="1:10" s="13" customFormat="1" ht="28.8" hidden="1" x14ac:dyDescent="0.3">
      <c r="A236" s="15" t="s">
        <v>518</v>
      </c>
      <c r="B236" s="15" t="s">
        <v>30</v>
      </c>
      <c r="C236" s="15" t="s">
        <v>519</v>
      </c>
      <c r="D236" s="15" t="s">
        <v>520</v>
      </c>
      <c r="E236" s="13">
        <v>27</v>
      </c>
      <c r="F236" s="13" t="s">
        <v>100</v>
      </c>
      <c r="G236" s="40"/>
      <c r="H236" s="14" t="str">
        <f>IF(AND(ISNUMBER(E236),ISNUMBER(G236)),ROUND(PRODUCT(PRODUCT(E236, G236), 1 - J236), 2),"")</f>
        <v/>
      </c>
      <c r="I236" s="13" t="s">
        <v>30</v>
      </c>
      <c r="J236" s="13">
        <v>0</v>
      </c>
    </row>
    <row r="237" spans="1:10" s="11" customFormat="1" hidden="1" x14ac:dyDescent="0.3">
      <c r="A237" s="20" t="s">
        <v>521</v>
      </c>
      <c r="B237" s="20"/>
      <c r="C237" s="20" t="s">
        <v>522</v>
      </c>
      <c r="D237" s="20"/>
      <c r="G237" s="38"/>
      <c r="H237" s="12">
        <f>SUM(H238,H239,H240)</f>
        <v>0</v>
      </c>
    </row>
    <row r="238" spans="1:10" s="13" customFormat="1" ht="158.4" hidden="1" x14ac:dyDescent="0.3">
      <c r="A238" s="15" t="s">
        <v>523</v>
      </c>
      <c r="B238" s="15" t="s">
        <v>30</v>
      </c>
      <c r="C238" s="15" t="s">
        <v>524</v>
      </c>
      <c r="D238" s="15" t="s">
        <v>525</v>
      </c>
      <c r="E238" s="13">
        <v>7.3</v>
      </c>
      <c r="F238" s="13" t="s">
        <v>133</v>
      </c>
      <c r="G238" s="40"/>
      <c r="H238" s="14" t="str">
        <f>IF(AND(ISNUMBER(E238),ISNUMBER(G238)),ROUND(PRODUCT(PRODUCT(E238, G238), 1 - J238), 2),"")</f>
        <v/>
      </c>
      <c r="I238" s="13" t="s">
        <v>30</v>
      </c>
      <c r="J238" s="13">
        <v>0</v>
      </c>
    </row>
    <row r="239" spans="1:10" s="13" customFormat="1" ht="158.4" hidden="1" x14ac:dyDescent="0.3">
      <c r="A239" s="15" t="s">
        <v>526</v>
      </c>
      <c r="B239" s="15" t="s">
        <v>30</v>
      </c>
      <c r="C239" s="15" t="s">
        <v>527</v>
      </c>
      <c r="D239" s="15" t="s">
        <v>528</v>
      </c>
      <c r="E239" s="13">
        <v>4.7</v>
      </c>
      <c r="F239" s="13" t="s">
        <v>133</v>
      </c>
      <c r="G239" s="40"/>
      <c r="H239" s="14" t="str">
        <f>IF(AND(ISNUMBER(E239),ISNUMBER(G239)),ROUND(PRODUCT(PRODUCT(E239, G239), 1 - J239), 2),"")</f>
        <v/>
      </c>
      <c r="I239" s="13" t="s">
        <v>30</v>
      </c>
      <c r="J239" s="13">
        <v>0</v>
      </c>
    </row>
    <row r="240" spans="1:10" s="13" customFormat="1" ht="57.6" hidden="1" x14ac:dyDescent="0.3">
      <c r="A240" s="15" t="s">
        <v>529</v>
      </c>
      <c r="B240" s="15" t="s">
        <v>30</v>
      </c>
      <c r="C240" s="15" t="s">
        <v>530</v>
      </c>
      <c r="D240" s="15" t="s">
        <v>531</v>
      </c>
      <c r="E240" s="13">
        <v>78</v>
      </c>
      <c r="F240" s="13" t="s">
        <v>100</v>
      </c>
      <c r="G240" s="40"/>
      <c r="H240" s="14" t="str">
        <f>IF(AND(ISNUMBER(E240),ISNUMBER(G240)),ROUND(PRODUCT(PRODUCT(E240, G240), 1 - J240), 2),"")</f>
        <v/>
      </c>
      <c r="I240" s="13" t="s">
        <v>30</v>
      </c>
      <c r="J240" s="13">
        <v>0</v>
      </c>
    </row>
    <row r="241" spans="1:10" s="11" customFormat="1" hidden="1" x14ac:dyDescent="0.3">
      <c r="A241" s="20" t="s">
        <v>532</v>
      </c>
      <c r="B241" s="20"/>
      <c r="C241" s="20" t="s">
        <v>533</v>
      </c>
      <c r="D241" s="20"/>
      <c r="G241" s="38"/>
      <c r="H241" s="12">
        <f>SUM(H242,H243,H244,H245)</f>
        <v>0</v>
      </c>
    </row>
    <row r="242" spans="1:10" s="13" customFormat="1" ht="172.8" hidden="1" x14ac:dyDescent="0.3">
      <c r="A242" s="15" t="s">
        <v>534</v>
      </c>
      <c r="B242" s="15" t="s">
        <v>30</v>
      </c>
      <c r="C242" s="15" t="s">
        <v>535</v>
      </c>
      <c r="D242" s="15" t="s">
        <v>536</v>
      </c>
      <c r="E242" s="13">
        <v>3.7</v>
      </c>
      <c r="F242" s="13" t="s">
        <v>133</v>
      </c>
      <c r="G242" s="40"/>
      <c r="H242" s="14" t="str">
        <f>IF(AND(ISNUMBER(E242),ISNUMBER(G242)),ROUND(PRODUCT(PRODUCT(E242, G242), 1 - J242), 2),"")</f>
        <v/>
      </c>
      <c r="I242" s="13" t="s">
        <v>30</v>
      </c>
      <c r="J242" s="13">
        <v>0</v>
      </c>
    </row>
    <row r="243" spans="1:10" s="13" customFormat="1" ht="72" hidden="1" x14ac:dyDescent="0.3">
      <c r="A243" s="15" t="s">
        <v>537</v>
      </c>
      <c r="B243" s="15" t="s">
        <v>30</v>
      </c>
      <c r="C243" s="15" t="s">
        <v>538</v>
      </c>
      <c r="D243" s="15" t="s">
        <v>539</v>
      </c>
      <c r="E243" s="13">
        <v>14</v>
      </c>
      <c r="F243" s="13" t="s">
        <v>100</v>
      </c>
      <c r="G243" s="40"/>
      <c r="H243" s="14" t="str">
        <f>IF(AND(ISNUMBER(E243),ISNUMBER(G243)),ROUND(PRODUCT(PRODUCT(E243, G243), 1 - J243), 2),"")</f>
        <v/>
      </c>
      <c r="I243" s="13" t="s">
        <v>30</v>
      </c>
      <c r="J243" s="13">
        <v>0</v>
      </c>
    </row>
    <row r="244" spans="1:10" s="13" customFormat="1" ht="72" hidden="1" x14ac:dyDescent="0.3">
      <c r="A244" s="15" t="s">
        <v>540</v>
      </c>
      <c r="B244" s="15" t="s">
        <v>30</v>
      </c>
      <c r="C244" s="15" t="s">
        <v>541</v>
      </c>
      <c r="D244" s="15" t="s">
        <v>542</v>
      </c>
      <c r="E244" s="13">
        <v>4</v>
      </c>
      <c r="F244" s="13" t="s">
        <v>100</v>
      </c>
      <c r="G244" s="40"/>
      <c r="H244" s="14" t="str">
        <f>IF(AND(ISNUMBER(E244),ISNUMBER(G244)),ROUND(PRODUCT(PRODUCT(E244, G244), 1 - J244), 2),"")</f>
        <v/>
      </c>
      <c r="I244" s="13" t="s">
        <v>30</v>
      </c>
      <c r="J244" s="13">
        <v>0</v>
      </c>
    </row>
    <row r="245" spans="1:10" s="13" customFormat="1" ht="158.4" hidden="1" x14ac:dyDescent="0.3">
      <c r="A245" s="15" t="s">
        <v>543</v>
      </c>
      <c r="B245" s="15" t="s">
        <v>30</v>
      </c>
      <c r="C245" s="15" t="s">
        <v>544</v>
      </c>
      <c r="D245" s="15" t="s">
        <v>545</v>
      </c>
      <c r="E245" s="13">
        <v>184</v>
      </c>
      <c r="F245" s="13" t="s">
        <v>100</v>
      </c>
      <c r="G245" s="40"/>
      <c r="H245" s="14" t="str">
        <f>IF(AND(ISNUMBER(E245),ISNUMBER(G245)),ROUND(PRODUCT(PRODUCT(E245, G245), 1 - J245), 2),"")</f>
        <v/>
      </c>
      <c r="I245" s="13" t="s">
        <v>30</v>
      </c>
      <c r="J245" s="13">
        <v>0</v>
      </c>
    </row>
    <row r="246" spans="1:10" s="11" customFormat="1" hidden="1" x14ac:dyDescent="0.3">
      <c r="A246" s="20" t="s">
        <v>546</v>
      </c>
      <c r="B246" s="20"/>
      <c r="C246" s="20" t="s">
        <v>547</v>
      </c>
      <c r="D246" s="20"/>
      <c r="G246" s="38"/>
      <c r="H246" s="12">
        <f>SUM(H247,H248,H249,H250)</f>
        <v>0</v>
      </c>
    </row>
    <row r="247" spans="1:10" s="13" customFormat="1" ht="144" hidden="1" x14ac:dyDescent="0.3">
      <c r="A247" s="15" t="s">
        <v>548</v>
      </c>
      <c r="B247" s="15" t="s">
        <v>30</v>
      </c>
      <c r="C247" s="15" t="s">
        <v>549</v>
      </c>
      <c r="D247" s="15" t="s">
        <v>550</v>
      </c>
      <c r="E247" s="13">
        <v>1</v>
      </c>
      <c r="F247" s="13" t="s">
        <v>551</v>
      </c>
      <c r="G247" s="40"/>
      <c r="H247" s="14" t="str">
        <f>IF(AND(ISNUMBER(E247),ISNUMBER(G247)),ROUND(PRODUCT(PRODUCT(E247, G247), 1 - J247), 2),"")</f>
        <v/>
      </c>
      <c r="I247" s="13" t="s">
        <v>30</v>
      </c>
      <c r="J247" s="13">
        <v>0</v>
      </c>
    </row>
    <row r="248" spans="1:10" s="13" customFormat="1" ht="86.4" hidden="1" x14ac:dyDescent="0.3">
      <c r="A248" s="15" t="s">
        <v>552</v>
      </c>
      <c r="B248" s="15" t="s">
        <v>30</v>
      </c>
      <c r="C248" s="15" t="s">
        <v>553</v>
      </c>
      <c r="D248" s="15" t="s">
        <v>554</v>
      </c>
      <c r="E248" s="13">
        <v>5</v>
      </c>
      <c r="F248" s="13" t="s">
        <v>60</v>
      </c>
      <c r="G248" s="40"/>
      <c r="H248" s="14" t="str">
        <f>IF(AND(ISNUMBER(E248),ISNUMBER(G248)),ROUND(PRODUCT(PRODUCT(E248, G248), 1 - J248), 2),"")</f>
        <v/>
      </c>
      <c r="I248" s="13" t="s">
        <v>30</v>
      </c>
      <c r="J248" s="13">
        <v>0</v>
      </c>
    </row>
    <row r="249" spans="1:10" s="13" customFormat="1" ht="86.4" hidden="1" x14ac:dyDescent="0.3">
      <c r="A249" s="15" t="s">
        <v>555</v>
      </c>
      <c r="B249" s="15" t="s">
        <v>30</v>
      </c>
      <c r="C249" s="15" t="s">
        <v>556</v>
      </c>
      <c r="D249" s="15" t="s">
        <v>557</v>
      </c>
      <c r="E249" s="13">
        <v>8</v>
      </c>
      <c r="F249" s="13" t="s">
        <v>60</v>
      </c>
      <c r="G249" s="40"/>
      <c r="H249" s="14" t="str">
        <f>IF(AND(ISNUMBER(E249),ISNUMBER(G249)),ROUND(PRODUCT(PRODUCT(E249, G249), 1 - J249), 2),"")</f>
        <v/>
      </c>
      <c r="I249" s="13" t="s">
        <v>30</v>
      </c>
      <c r="J249" s="13">
        <v>0</v>
      </c>
    </row>
    <row r="250" spans="1:10" s="13" customFormat="1" ht="230.4" hidden="1" x14ac:dyDescent="0.3">
      <c r="A250" s="15" t="s">
        <v>558</v>
      </c>
      <c r="B250" s="15" t="s">
        <v>30</v>
      </c>
      <c r="C250" s="15" t="s">
        <v>559</v>
      </c>
      <c r="D250" s="15" t="s">
        <v>560</v>
      </c>
      <c r="E250" s="13">
        <v>1</v>
      </c>
      <c r="F250" s="13" t="s">
        <v>551</v>
      </c>
      <c r="G250" s="40"/>
      <c r="H250" s="14" t="str">
        <f>IF(AND(ISNUMBER(E250),ISNUMBER(G250)),ROUND(PRODUCT(PRODUCT(E250, G250), 1 - J250), 2),"")</f>
        <v/>
      </c>
      <c r="I250" s="13" t="s">
        <v>30</v>
      </c>
      <c r="J250" s="13">
        <v>0</v>
      </c>
    </row>
    <row r="251" spans="1:10" s="11" customFormat="1" ht="28.8" hidden="1" x14ac:dyDescent="0.3">
      <c r="A251" s="20" t="s">
        <v>561</v>
      </c>
      <c r="B251" s="20"/>
      <c r="C251" s="20" t="s">
        <v>562</v>
      </c>
      <c r="D251" s="20"/>
      <c r="G251" s="38"/>
      <c r="H251" s="12">
        <f>SUM(H252,H253)</f>
        <v>0</v>
      </c>
    </row>
    <row r="252" spans="1:10" s="13" customFormat="1" ht="201.6" hidden="1" x14ac:dyDescent="0.3">
      <c r="A252" s="15" t="s">
        <v>563</v>
      </c>
      <c r="B252" s="15" t="s">
        <v>30</v>
      </c>
      <c r="C252" s="15" t="s">
        <v>564</v>
      </c>
      <c r="D252" s="15" t="s">
        <v>565</v>
      </c>
      <c r="E252" s="13">
        <v>4.8</v>
      </c>
      <c r="F252" s="13" t="s">
        <v>133</v>
      </c>
      <c r="G252" s="40"/>
      <c r="H252" s="14" t="str">
        <f>IF(AND(ISNUMBER(E252),ISNUMBER(G252)),ROUND(PRODUCT(PRODUCT(E252, G252), 1 - J252), 2),"")</f>
        <v/>
      </c>
      <c r="I252" s="13" t="s">
        <v>30</v>
      </c>
      <c r="J252" s="13">
        <v>0</v>
      </c>
    </row>
    <row r="253" spans="1:10" s="13" customFormat="1" ht="100.8" hidden="1" x14ac:dyDescent="0.3">
      <c r="A253" s="15" t="s">
        <v>566</v>
      </c>
      <c r="B253" s="15" t="s">
        <v>30</v>
      </c>
      <c r="C253" s="15" t="s">
        <v>567</v>
      </c>
      <c r="D253" s="15" t="s">
        <v>568</v>
      </c>
      <c r="E253" s="13">
        <v>32</v>
      </c>
      <c r="F253" s="13" t="s">
        <v>100</v>
      </c>
      <c r="G253" s="40"/>
      <c r="H253" s="14" t="str">
        <f>IF(AND(ISNUMBER(E253),ISNUMBER(G253)),ROUND(PRODUCT(PRODUCT(E253, G253), 1 - J253), 2),"")</f>
        <v/>
      </c>
      <c r="I253" s="13" t="s">
        <v>30</v>
      </c>
      <c r="J253" s="13">
        <v>0</v>
      </c>
    </row>
    <row r="254" spans="1:10" s="11" customFormat="1" ht="28.8" hidden="1" x14ac:dyDescent="0.3">
      <c r="A254" s="20" t="s">
        <v>569</v>
      </c>
      <c r="B254" s="20"/>
      <c r="C254" s="20" t="s">
        <v>570</v>
      </c>
      <c r="D254" s="20"/>
      <c r="G254" s="38"/>
      <c r="H254" s="12">
        <f>SUM(H255,H256,H257,H258,H259,H260,H261,H262,H263,H264,H265,H266,H267,H268,H269,H270,H271,H272)</f>
        <v>0</v>
      </c>
    </row>
    <row r="255" spans="1:10" s="13" customFormat="1" ht="57.6" hidden="1" x14ac:dyDescent="0.3">
      <c r="A255" s="15" t="s">
        <v>571</v>
      </c>
      <c r="B255" s="15" t="s">
        <v>30</v>
      </c>
      <c r="C255" s="15" t="s">
        <v>572</v>
      </c>
      <c r="D255" s="15" t="s">
        <v>573</v>
      </c>
      <c r="E255" s="13">
        <v>21</v>
      </c>
      <c r="F255" s="13" t="s">
        <v>133</v>
      </c>
      <c r="G255" s="40"/>
      <c r="H255" s="14" t="str">
        <f t="shared" ref="H255:H272" si="7">IF(AND(ISNUMBER(E255),ISNUMBER(G255)),ROUND(PRODUCT(PRODUCT(E255, G255), 1 - J255), 2),"")</f>
        <v/>
      </c>
      <c r="I255" s="13" t="s">
        <v>30</v>
      </c>
      <c r="J255" s="13">
        <v>0</v>
      </c>
    </row>
    <row r="256" spans="1:10" s="13" customFormat="1" ht="172.8" hidden="1" x14ac:dyDescent="0.3">
      <c r="A256" s="15" t="s">
        <v>574</v>
      </c>
      <c r="B256" s="15" t="s">
        <v>30</v>
      </c>
      <c r="C256" s="15" t="s">
        <v>575</v>
      </c>
      <c r="D256" s="15" t="s">
        <v>576</v>
      </c>
      <c r="E256" s="13">
        <v>123</v>
      </c>
      <c r="F256" s="13" t="s">
        <v>133</v>
      </c>
      <c r="G256" s="40"/>
      <c r="H256" s="14" t="str">
        <f t="shared" si="7"/>
        <v/>
      </c>
      <c r="I256" s="13" t="s">
        <v>30</v>
      </c>
      <c r="J256" s="13">
        <v>0</v>
      </c>
    </row>
    <row r="257" spans="1:10" s="13" customFormat="1" ht="158.4" hidden="1" x14ac:dyDescent="0.3">
      <c r="A257" s="15" t="s">
        <v>577</v>
      </c>
      <c r="B257" s="15" t="s">
        <v>30</v>
      </c>
      <c r="C257" s="15" t="s">
        <v>578</v>
      </c>
      <c r="D257" s="15" t="s">
        <v>579</v>
      </c>
      <c r="E257" s="13">
        <v>59</v>
      </c>
      <c r="F257" s="13" t="s">
        <v>133</v>
      </c>
      <c r="G257" s="40"/>
      <c r="H257" s="14" t="str">
        <f t="shared" si="7"/>
        <v/>
      </c>
      <c r="I257" s="13" t="s">
        <v>30</v>
      </c>
      <c r="J257" s="13">
        <v>0</v>
      </c>
    </row>
    <row r="258" spans="1:10" s="13" customFormat="1" ht="158.4" hidden="1" x14ac:dyDescent="0.3">
      <c r="A258" s="15" t="s">
        <v>580</v>
      </c>
      <c r="B258" s="15" t="s">
        <v>30</v>
      </c>
      <c r="C258" s="15" t="s">
        <v>581</v>
      </c>
      <c r="D258" s="15" t="s">
        <v>582</v>
      </c>
      <c r="E258" s="13">
        <v>1.1000000000000001</v>
      </c>
      <c r="F258" s="13" t="s">
        <v>133</v>
      </c>
      <c r="G258" s="40"/>
      <c r="H258" s="14" t="str">
        <f t="shared" si="7"/>
        <v/>
      </c>
      <c r="I258" s="13" t="s">
        <v>30</v>
      </c>
      <c r="J258" s="13">
        <v>0</v>
      </c>
    </row>
    <row r="259" spans="1:10" s="13" customFormat="1" ht="158.4" hidden="1" x14ac:dyDescent="0.3">
      <c r="A259" s="15" t="s">
        <v>583</v>
      </c>
      <c r="B259" s="15" t="s">
        <v>30</v>
      </c>
      <c r="C259" s="15" t="s">
        <v>584</v>
      </c>
      <c r="D259" s="15" t="s">
        <v>585</v>
      </c>
      <c r="E259" s="13">
        <v>13</v>
      </c>
      <c r="F259" s="13" t="s">
        <v>133</v>
      </c>
      <c r="G259" s="40"/>
      <c r="H259" s="14" t="str">
        <f t="shared" si="7"/>
        <v/>
      </c>
      <c r="I259" s="13" t="s">
        <v>30</v>
      </c>
      <c r="J259" s="13">
        <v>0</v>
      </c>
    </row>
    <row r="260" spans="1:10" s="13" customFormat="1" ht="158.4" hidden="1" x14ac:dyDescent="0.3">
      <c r="A260" s="15" t="s">
        <v>586</v>
      </c>
      <c r="B260" s="15" t="s">
        <v>30</v>
      </c>
      <c r="C260" s="15" t="s">
        <v>587</v>
      </c>
      <c r="D260" s="15" t="s">
        <v>588</v>
      </c>
      <c r="E260" s="13">
        <v>75</v>
      </c>
      <c r="F260" s="13" t="s">
        <v>133</v>
      </c>
      <c r="G260" s="40"/>
      <c r="H260" s="14" t="str">
        <f t="shared" si="7"/>
        <v/>
      </c>
      <c r="I260" s="13" t="s">
        <v>30</v>
      </c>
      <c r="J260" s="13">
        <v>0</v>
      </c>
    </row>
    <row r="261" spans="1:10" s="13" customFormat="1" ht="273.60000000000002" hidden="1" x14ac:dyDescent="0.3">
      <c r="A261" s="15" t="s">
        <v>589</v>
      </c>
      <c r="B261" s="15" t="s">
        <v>30</v>
      </c>
      <c r="C261" s="15" t="s">
        <v>590</v>
      </c>
      <c r="D261" s="15" t="s">
        <v>591</v>
      </c>
      <c r="E261" s="13">
        <v>1</v>
      </c>
      <c r="F261" s="13" t="s">
        <v>60</v>
      </c>
      <c r="G261" s="40"/>
      <c r="H261" s="14" t="str">
        <f t="shared" si="7"/>
        <v/>
      </c>
      <c r="I261" s="13" t="s">
        <v>30</v>
      </c>
      <c r="J261" s="13">
        <v>0</v>
      </c>
    </row>
    <row r="262" spans="1:10" s="13" customFormat="1" ht="244.8" hidden="1" x14ac:dyDescent="0.3">
      <c r="A262" s="15" t="s">
        <v>592</v>
      </c>
      <c r="B262" s="15" t="s">
        <v>30</v>
      </c>
      <c r="C262" s="15" t="s">
        <v>593</v>
      </c>
      <c r="D262" s="15" t="s">
        <v>594</v>
      </c>
      <c r="E262" s="13">
        <v>2</v>
      </c>
      <c r="F262" s="13" t="s">
        <v>60</v>
      </c>
      <c r="G262" s="40"/>
      <c r="H262" s="14" t="str">
        <f t="shared" si="7"/>
        <v/>
      </c>
      <c r="I262" s="13" t="s">
        <v>30</v>
      </c>
      <c r="J262" s="13">
        <v>0</v>
      </c>
    </row>
    <row r="263" spans="1:10" s="13" customFormat="1" ht="57.6" hidden="1" x14ac:dyDescent="0.3">
      <c r="A263" s="15" t="s">
        <v>595</v>
      </c>
      <c r="B263" s="15" t="s">
        <v>30</v>
      </c>
      <c r="C263" s="15" t="s">
        <v>596</v>
      </c>
      <c r="D263" s="15" t="s">
        <v>597</v>
      </c>
      <c r="E263" s="13">
        <v>40</v>
      </c>
      <c r="F263" s="13" t="s">
        <v>100</v>
      </c>
      <c r="G263" s="40"/>
      <c r="H263" s="14" t="str">
        <f t="shared" si="7"/>
        <v/>
      </c>
      <c r="I263" s="13" t="s">
        <v>30</v>
      </c>
      <c r="J263" s="13">
        <v>0</v>
      </c>
    </row>
    <row r="264" spans="1:10" s="13" customFormat="1" ht="57.6" hidden="1" x14ac:dyDescent="0.3">
      <c r="A264" s="15" t="s">
        <v>598</v>
      </c>
      <c r="B264" s="15" t="s">
        <v>30</v>
      </c>
      <c r="C264" s="15" t="s">
        <v>599</v>
      </c>
      <c r="D264" s="15" t="s">
        <v>600</v>
      </c>
      <c r="E264" s="13">
        <v>420</v>
      </c>
      <c r="F264" s="13" t="s">
        <v>100</v>
      </c>
      <c r="G264" s="40"/>
      <c r="H264" s="14" t="str">
        <f t="shared" si="7"/>
        <v/>
      </c>
      <c r="I264" s="13" t="s">
        <v>30</v>
      </c>
      <c r="J264" s="13">
        <v>0</v>
      </c>
    </row>
    <row r="265" spans="1:10" s="13" customFormat="1" ht="43.2" hidden="1" x14ac:dyDescent="0.3">
      <c r="A265" s="15" t="s">
        <v>601</v>
      </c>
      <c r="B265" s="15" t="s">
        <v>30</v>
      </c>
      <c r="C265" s="15" t="s">
        <v>602</v>
      </c>
      <c r="D265" s="15" t="s">
        <v>603</v>
      </c>
      <c r="E265" s="13">
        <v>72</v>
      </c>
      <c r="F265" s="13" t="s">
        <v>100</v>
      </c>
      <c r="G265" s="40"/>
      <c r="H265" s="14" t="str">
        <f t="shared" si="7"/>
        <v/>
      </c>
      <c r="I265" s="13" t="s">
        <v>30</v>
      </c>
      <c r="J265" s="13">
        <v>0</v>
      </c>
    </row>
    <row r="266" spans="1:10" s="13" customFormat="1" ht="72" hidden="1" x14ac:dyDescent="0.3">
      <c r="A266" s="15" t="s">
        <v>604</v>
      </c>
      <c r="B266" s="15" t="s">
        <v>30</v>
      </c>
      <c r="C266" s="15" t="s">
        <v>605</v>
      </c>
      <c r="D266" s="15" t="s">
        <v>606</v>
      </c>
      <c r="E266" s="13">
        <v>202</v>
      </c>
      <c r="F266" s="13" t="s">
        <v>100</v>
      </c>
      <c r="G266" s="40"/>
      <c r="H266" s="14" t="str">
        <f t="shared" si="7"/>
        <v/>
      </c>
      <c r="I266" s="13" t="s">
        <v>30</v>
      </c>
      <c r="J266" s="13">
        <v>0</v>
      </c>
    </row>
    <row r="267" spans="1:10" s="13" customFormat="1" ht="57.6" hidden="1" x14ac:dyDescent="0.3">
      <c r="A267" s="15" t="s">
        <v>607</v>
      </c>
      <c r="B267" s="15" t="s">
        <v>30</v>
      </c>
      <c r="C267" s="15" t="s">
        <v>608</v>
      </c>
      <c r="D267" s="15" t="s">
        <v>609</v>
      </c>
      <c r="E267" s="13">
        <v>250</v>
      </c>
      <c r="F267" s="13" t="s">
        <v>100</v>
      </c>
      <c r="G267" s="40"/>
      <c r="H267" s="14" t="str">
        <f t="shared" si="7"/>
        <v/>
      </c>
      <c r="I267" s="13" t="s">
        <v>30</v>
      </c>
      <c r="J267" s="13">
        <v>0</v>
      </c>
    </row>
    <row r="268" spans="1:10" s="13" customFormat="1" ht="57.6" hidden="1" x14ac:dyDescent="0.3">
      <c r="A268" s="15" t="s">
        <v>610</v>
      </c>
      <c r="B268" s="15" t="s">
        <v>30</v>
      </c>
      <c r="C268" s="15" t="s">
        <v>611</v>
      </c>
      <c r="D268" s="15" t="s">
        <v>612</v>
      </c>
      <c r="E268" s="13">
        <v>1</v>
      </c>
      <c r="F268" s="13" t="s">
        <v>38</v>
      </c>
      <c r="G268" s="40"/>
      <c r="H268" s="14" t="str">
        <f t="shared" si="7"/>
        <v/>
      </c>
      <c r="I268" s="13" t="s">
        <v>30</v>
      </c>
      <c r="J268" s="13">
        <v>0</v>
      </c>
    </row>
    <row r="269" spans="1:10" s="13" customFormat="1" ht="57.6" hidden="1" x14ac:dyDescent="0.3">
      <c r="A269" s="15" t="s">
        <v>613</v>
      </c>
      <c r="B269" s="15" t="s">
        <v>30</v>
      </c>
      <c r="C269" s="15" t="s">
        <v>614</v>
      </c>
      <c r="D269" s="15" t="s">
        <v>615</v>
      </c>
      <c r="E269" s="13">
        <v>3</v>
      </c>
      <c r="F269" s="13" t="s">
        <v>60</v>
      </c>
      <c r="G269" s="40"/>
      <c r="H269" s="14" t="str">
        <f t="shared" si="7"/>
        <v/>
      </c>
      <c r="I269" s="13" t="s">
        <v>30</v>
      </c>
      <c r="J269" s="13">
        <v>0</v>
      </c>
    </row>
    <row r="270" spans="1:10" s="13" customFormat="1" ht="28.8" hidden="1" x14ac:dyDescent="0.3">
      <c r="A270" s="15" t="s">
        <v>616</v>
      </c>
      <c r="B270" s="15" t="s">
        <v>30</v>
      </c>
      <c r="C270" s="15" t="s">
        <v>614</v>
      </c>
      <c r="D270" s="15" t="s">
        <v>617</v>
      </c>
      <c r="E270" s="13">
        <v>1</v>
      </c>
      <c r="F270" s="13" t="s">
        <v>60</v>
      </c>
      <c r="G270" s="40"/>
      <c r="H270" s="14" t="str">
        <f t="shared" si="7"/>
        <v/>
      </c>
      <c r="I270" s="13" t="s">
        <v>30</v>
      </c>
      <c r="J270" s="13">
        <v>0</v>
      </c>
    </row>
    <row r="271" spans="1:10" s="13" customFormat="1" ht="28.8" hidden="1" x14ac:dyDescent="0.3">
      <c r="A271" s="15" t="s">
        <v>618</v>
      </c>
      <c r="B271" s="15" t="s">
        <v>30</v>
      </c>
      <c r="C271" s="15" t="s">
        <v>614</v>
      </c>
      <c r="D271" s="15" t="s">
        <v>619</v>
      </c>
      <c r="E271" s="13">
        <v>5</v>
      </c>
      <c r="F271" s="13" t="s">
        <v>60</v>
      </c>
      <c r="G271" s="40"/>
      <c r="H271" s="14" t="str">
        <f t="shared" si="7"/>
        <v/>
      </c>
      <c r="I271" s="13" t="s">
        <v>30</v>
      </c>
      <c r="J271" s="13">
        <v>0</v>
      </c>
    </row>
    <row r="272" spans="1:10" s="13" customFormat="1" ht="28.8" hidden="1" x14ac:dyDescent="0.3">
      <c r="A272" s="15" t="s">
        <v>620</v>
      </c>
      <c r="B272" s="15" t="s">
        <v>30</v>
      </c>
      <c r="C272" s="15" t="s">
        <v>614</v>
      </c>
      <c r="D272" s="15" t="s">
        <v>621</v>
      </c>
      <c r="E272" s="13">
        <v>1</v>
      </c>
      <c r="F272" s="13" t="s">
        <v>60</v>
      </c>
      <c r="G272" s="40"/>
      <c r="H272" s="14" t="str">
        <f t="shared" si="7"/>
        <v/>
      </c>
      <c r="I272" s="13" t="s">
        <v>30</v>
      </c>
      <c r="J272" s="13">
        <v>0</v>
      </c>
    </row>
    <row r="273" spans="1:10" s="11" customFormat="1" hidden="1" x14ac:dyDescent="0.3">
      <c r="A273" s="20" t="s">
        <v>622</v>
      </c>
      <c r="B273" s="20"/>
      <c r="C273" s="20" t="s">
        <v>623</v>
      </c>
      <c r="D273" s="20"/>
      <c r="G273" s="38"/>
      <c r="H273" s="12">
        <v>0</v>
      </c>
    </row>
    <row r="274" spans="1:10" s="11" customFormat="1" hidden="1" x14ac:dyDescent="0.3">
      <c r="A274" s="20" t="s">
        <v>624</v>
      </c>
      <c r="B274" s="20"/>
      <c r="C274" s="20" t="s">
        <v>625</v>
      </c>
      <c r="D274" s="20"/>
      <c r="G274" s="38"/>
      <c r="H274" s="12">
        <v>0</v>
      </c>
    </row>
    <row r="275" spans="1:10" s="11" customFormat="1" hidden="1" x14ac:dyDescent="0.3">
      <c r="A275" s="20" t="s">
        <v>626</v>
      </c>
      <c r="B275" s="20"/>
      <c r="C275" s="20" t="s">
        <v>627</v>
      </c>
      <c r="D275" s="20"/>
      <c r="G275" s="38"/>
      <c r="H275" s="12">
        <f>SUM(H276,H277,H278,H279,H280,H281,H282)</f>
        <v>0</v>
      </c>
    </row>
    <row r="276" spans="1:10" s="13" customFormat="1" ht="100.8" hidden="1" x14ac:dyDescent="0.3">
      <c r="A276" s="15" t="s">
        <v>628</v>
      </c>
      <c r="B276" s="15" t="s">
        <v>30</v>
      </c>
      <c r="C276" s="15" t="s">
        <v>629</v>
      </c>
      <c r="D276" s="15" t="s">
        <v>630</v>
      </c>
      <c r="E276" s="13">
        <v>145</v>
      </c>
      <c r="F276" s="13" t="s">
        <v>100</v>
      </c>
      <c r="G276" s="40"/>
      <c r="H276" s="14" t="str">
        <f t="shared" ref="H276:H282" si="8">IF(AND(ISNUMBER(E276),ISNUMBER(G276)),ROUND(PRODUCT(PRODUCT(E276, G276), 1 - J276), 2),"")</f>
        <v/>
      </c>
      <c r="I276" s="13" t="s">
        <v>30</v>
      </c>
      <c r="J276" s="13">
        <v>0</v>
      </c>
    </row>
    <row r="277" spans="1:10" s="13" customFormat="1" ht="72" hidden="1" x14ac:dyDescent="0.3">
      <c r="A277" s="15" t="s">
        <v>631</v>
      </c>
      <c r="B277" s="15" t="s">
        <v>30</v>
      </c>
      <c r="C277" s="15" t="s">
        <v>632</v>
      </c>
      <c r="D277" s="15" t="s">
        <v>633</v>
      </c>
      <c r="E277" s="13">
        <v>9</v>
      </c>
      <c r="F277" s="13" t="s">
        <v>100</v>
      </c>
      <c r="G277" s="40"/>
      <c r="H277" s="14" t="str">
        <f t="shared" si="8"/>
        <v/>
      </c>
      <c r="I277" s="13" t="s">
        <v>30</v>
      </c>
      <c r="J277" s="13">
        <v>0</v>
      </c>
    </row>
    <row r="278" spans="1:10" s="13" customFormat="1" ht="100.8" hidden="1" x14ac:dyDescent="0.3">
      <c r="A278" s="15" t="s">
        <v>634</v>
      </c>
      <c r="B278" s="15" t="s">
        <v>30</v>
      </c>
      <c r="C278" s="15" t="s">
        <v>635</v>
      </c>
      <c r="D278" s="15" t="s">
        <v>636</v>
      </c>
      <c r="E278" s="13">
        <v>22</v>
      </c>
      <c r="F278" s="13" t="s">
        <v>100</v>
      </c>
      <c r="G278" s="40"/>
      <c r="H278" s="14" t="str">
        <f t="shared" si="8"/>
        <v/>
      </c>
      <c r="I278" s="13" t="s">
        <v>30</v>
      </c>
      <c r="J278" s="13">
        <v>0</v>
      </c>
    </row>
    <row r="279" spans="1:10" s="13" customFormat="1" ht="115.2" hidden="1" x14ac:dyDescent="0.3">
      <c r="A279" s="15" t="s">
        <v>637</v>
      </c>
      <c r="B279" s="15" t="s">
        <v>30</v>
      </c>
      <c r="C279" s="15" t="s">
        <v>638</v>
      </c>
      <c r="D279" s="15" t="s">
        <v>639</v>
      </c>
      <c r="E279" s="13">
        <v>1257</v>
      </c>
      <c r="F279" s="13" t="s">
        <v>100</v>
      </c>
      <c r="G279" s="40"/>
      <c r="H279" s="14" t="str">
        <f t="shared" si="8"/>
        <v/>
      </c>
      <c r="I279" s="13" t="s">
        <v>30</v>
      </c>
      <c r="J279" s="13">
        <v>0</v>
      </c>
    </row>
    <row r="280" spans="1:10" s="13" customFormat="1" ht="115.2" hidden="1" x14ac:dyDescent="0.3">
      <c r="A280" s="15" t="s">
        <v>640</v>
      </c>
      <c r="B280" s="15" t="s">
        <v>30</v>
      </c>
      <c r="C280" s="15" t="s">
        <v>641</v>
      </c>
      <c r="D280" s="15" t="s">
        <v>642</v>
      </c>
      <c r="E280" s="13">
        <v>70</v>
      </c>
      <c r="F280" s="13" t="s">
        <v>643</v>
      </c>
      <c r="G280" s="40"/>
      <c r="H280" s="14" t="str">
        <f t="shared" si="8"/>
        <v/>
      </c>
      <c r="I280" s="13" t="s">
        <v>30</v>
      </c>
      <c r="J280" s="13">
        <v>0</v>
      </c>
    </row>
    <row r="281" spans="1:10" s="13" customFormat="1" ht="72" hidden="1" x14ac:dyDescent="0.3">
      <c r="A281" s="15" t="s">
        <v>644</v>
      </c>
      <c r="B281" s="15" t="s">
        <v>30</v>
      </c>
      <c r="C281" s="15" t="s">
        <v>645</v>
      </c>
      <c r="D281" s="15" t="s">
        <v>646</v>
      </c>
      <c r="E281" s="13">
        <v>360</v>
      </c>
      <c r="F281" s="13" t="s">
        <v>100</v>
      </c>
      <c r="G281" s="40"/>
      <c r="H281" s="14" t="str">
        <f t="shared" si="8"/>
        <v/>
      </c>
      <c r="I281" s="13" t="s">
        <v>30</v>
      </c>
      <c r="J281" s="13">
        <v>0</v>
      </c>
    </row>
    <row r="282" spans="1:10" s="13" customFormat="1" ht="57.6" hidden="1" x14ac:dyDescent="0.3">
      <c r="A282" s="15" t="s">
        <v>647</v>
      </c>
      <c r="B282" s="15" t="s">
        <v>30</v>
      </c>
      <c r="C282" s="15" t="s">
        <v>648</v>
      </c>
      <c r="D282" s="15" t="s">
        <v>649</v>
      </c>
      <c r="E282" s="13">
        <v>80</v>
      </c>
      <c r="F282" s="13" t="s">
        <v>643</v>
      </c>
      <c r="G282" s="40"/>
      <c r="H282" s="14" t="str">
        <f t="shared" si="8"/>
        <v/>
      </c>
      <c r="I282" s="13" t="s">
        <v>30</v>
      </c>
      <c r="J282" s="13">
        <v>0</v>
      </c>
    </row>
    <row r="283" spans="1:10" s="11" customFormat="1" hidden="1" x14ac:dyDescent="0.3">
      <c r="A283" s="20" t="s">
        <v>650</v>
      </c>
      <c r="B283" s="20"/>
      <c r="C283" s="20" t="s">
        <v>651</v>
      </c>
      <c r="D283" s="20"/>
      <c r="G283" s="38"/>
      <c r="H283" s="12">
        <f>SUM(H284,H285,H286,H287,H288,H289,H290,H291,H292,H293,H294,H295,H296)</f>
        <v>0</v>
      </c>
    </row>
    <row r="284" spans="1:10" s="13" customFormat="1" ht="28.8" hidden="1" x14ac:dyDescent="0.3">
      <c r="A284" s="15" t="s">
        <v>652</v>
      </c>
      <c r="B284" s="15" t="s">
        <v>30</v>
      </c>
      <c r="C284" s="15" t="s">
        <v>653</v>
      </c>
      <c r="D284" s="15" t="s">
        <v>654</v>
      </c>
      <c r="E284" s="13">
        <v>3</v>
      </c>
      <c r="F284" s="13" t="s">
        <v>362</v>
      </c>
      <c r="G284" s="40"/>
      <c r="H284" s="14" t="str">
        <f t="shared" ref="H284:H296" si="9">IF(AND(ISNUMBER(E284),ISNUMBER(G284)),ROUND(PRODUCT(PRODUCT(E284, G284), 1 - J284), 2),"")</f>
        <v/>
      </c>
      <c r="I284" s="13" t="s">
        <v>30</v>
      </c>
      <c r="J284" s="13">
        <v>0</v>
      </c>
    </row>
    <row r="285" spans="1:10" s="13" customFormat="1" ht="28.8" hidden="1" x14ac:dyDescent="0.3">
      <c r="A285" s="15" t="s">
        <v>655</v>
      </c>
      <c r="B285" s="15" t="s">
        <v>30</v>
      </c>
      <c r="C285" s="15" t="s">
        <v>656</v>
      </c>
      <c r="D285" s="15" t="s">
        <v>657</v>
      </c>
      <c r="E285" s="13">
        <v>1</v>
      </c>
      <c r="F285" s="13" t="s">
        <v>362</v>
      </c>
      <c r="G285" s="40"/>
      <c r="H285" s="14" t="str">
        <f t="shared" si="9"/>
        <v/>
      </c>
      <c r="I285" s="13" t="s">
        <v>30</v>
      </c>
      <c r="J285" s="13">
        <v>0</v>
      </c>
    </row>
    <row r="286" spans="1:10" s="13" customFormat="1" ht="28.8" hidden="1" x14ac:dyDescent="0.3">
      <c r="A286" s="15" t="s">
        <v>658</v>
      </c>
      <c r="B286" s="15" t="s">
        <v>30</v>
      </c>
      <c r="C286" s="15" t="s">
        <v>659</v>
      </c>
      <c r="D286" s="15" t="s">
        <v>660</v>
      </c>
      <c r="E286" s="13">
        <v>20</v>
      </c>
      <c r="F286" s="13" t="s">
        <v>362</v>
      </c>
      <c r="G286" s="40"/>
      <c r="H286" s="14" t="str">
        <f t="shared" si="9"/>
        <v/>
      </c>
      <c r="I286" s="13" t="s">
        <v>30</v>
      </c>
      <c r="J286" s="13">
        <v>0</v>
      </c>
    </row>
    <row r="287" spans="1:10" s="13" customFormat="1" ht="28.8" hidden="1" x14ac:dyDescent="0.3">
      <c r="A287" s="15" t="s">
        <v>661</v>
      </c>
      <c r="B287" s="15" t="s">
        <v>30</v>
      </c>
      <c r="C287" s="15" t="s">
        <v>662</v>
      </c>
      <c r="D287" s="15" t="s">
        <v>663</v>
      </c>
      <c r="E287" s="13">
        <v>20</v>
      </c>
      <c r="F287" s="13" t="s">
        <v>362</v>
      </c>
      <c r="G287" s="40"/>
      <c r="H287" s="14" t="str">
        <f t="shared" si="9"/>
        <v/>
      </c>
      <c r="I287" s="13" t="s">
        <v>30</v>
      </c>
      <c r="J287" s="13">
        <v>0</v>
      </c>
    </row>
    <row r="288" spans="1:10" s="13" customFormat="1" ht="28.8" hidden="1" x14ac:dyDescent="0.3">
      <c r="A288" s="15" t="s">
        <v>664</v>
      </c>
      <c r="B288" s="15" t="s">
        <v>30</v>
      </c>
      <c r="C288" s="15" t="s">
        <v>665</v>
      </c>
      <c r="D288" s="15" t="s">
        <v>666</v>
      </c>
      <c r="E288" s="13">
        <v>1</v>
      </c>
      <c r="F288" s="13" t="s">
        <v>362</v>
      </c>
      <c r="G288" s="40"/>
      <c r="H288" s="14" t="str">
        <f t="shared" si="9"/>
        <v/>
      </c>
      <c r="I288" s="13" t="s">
        <v>30</v>
      </c>
      <c r="J288" s="13">
        <v>0</v>
      </c>
    </row>
    <row r="289" spans="1:10" s="13" customFormat="1" ht="28.8" hidden="1" x14ac:dyDescent="0.3">
      <c r="A289" s="15" t="s">
        <v>667</v>
      </c>
      <c r="B289" s="15" t="s">
        <v>30</v>
      </c>
      <c r="C289" s="15" t="s">
        <v>668</v>
      </c>
      <c r="D289" s="15" t="s">
        <v>669</v>
      </c>
      <c r="E289" s="13">
        <v>10</v>
      </c>
      <c r="F289" s="13" t="s">
        <v>362</v>
      </c>
      <c r="G289" s="40"/>
      <c r="H289" s="14" t="str">
        <f t="shared" si="9"/>
        <v/>
      </c>
      <c r="I289" s="13" t="s">
        <v>30</v>
      </c>
      <c r="J289" s="13">
        <v>0</v>
      </c>
    </row>
    <row r="290" spans="1:10" s="13" customFormat="1" ht="28.8" hidden="1" x14ac:dyDescent="0.3">
      <c r="A290" s="15" t="s">
        <v>670</v>
      </c>
      <c r="B290" s="15" t="s">
        <v>30</v>
      </c>
      <c r="C290" s="15" t="s">
        <v>671</v>
      </c>
      <c r="D290" s="15" t="s">
        <v>672</v>
      </c>
      <c r="E290" s="13">
        <v>1</v>
      </c>
      <c r="F290" s="13" t="s">
        <v>362</v>
      </c>
      <c r="G290" s="40"/>
      <c r="H290" s="14" t="str">
        <f t="shared" si="9"/>
        <v/>
      </c>
      <c r="I290" s="13" t="s">
        <v>30</v>
      </c>
      <c r="J290" s="13">
        <v>0</v>
      </c>
    </row>
    <row r="291" spans="1:10" s="13" customFormat="1" ht="28.8" hidden="1" x14ac:dyDescent="0.3">
      <c r="A291" s="15" t="s">
        <v>673</v>
      </c>
      <c r="B291" s="15" t="s">
        <v>30</v>
      </c>
      <c r="C291" s="15" t="s">
        <v>674</v>
      </c>
      <c r="D291" s="15" t="s">
        <v>675</v>
      </c>
      <c r="E291" s="13">
        <v>2</v>
      </c>
      <c r="F291" s="13" t="s">
        <v>362</v>
      </c>
      <c r="G291" s="40"/>
      <c r="H291" s="14" t="str">
        <f t="shared" si="9"/>
        <v/>
      </c>
      <c r="I291" s="13" t="s">
        <v>30</v>
      </c>
      <c r="J291" s="13">
        <v>0</v>
      </c>
    </row>
    <row r="292" spans="1:10" s="13" customFormat="1" ht="28.8" hidden="1" x14ac:dyDescent="0.3">
      <c r="A292" s="15" t="s">
        <v>676</v>
      </c>
      <c r="B292" s="15" t="s">
        <v>30</v>
      </c>
      <c r="C292" s="15" t="s">
        <v>677</v>
      </c>
      <c r="D292" s="15" t="s">
        <v>678</v>
      </c>
      <c r="E292" s="13">
        <v>5</v>
      </c>
      <c r="F292" s="13" t="s">
        <v>362</v>
      </c>
      <c r="G292" s="40"/>
      <c r="H292" s="14" t="str">
        <f t="shared" si="9"/>
        <v/>
      </c>
      <c r="I292" s="13" t="s">
        <v>30</v>
      </c>
      <c r="J292" s="13">
        <v>0</v>
      </c>
    </row>
    <row r="293" spans="1:10" s="13" customFormat="1" ht="28.8" hidden="1" x14ac:dyDescent="0.3">
      <c r="A293" s="15" t="s">
        <v>679</v>
      </c>
      <c r="B293" s="15" t="s">
        <v>30</v>
      </c>
      <c r="C293" s="15" t="s">
        <v>680</v>
      </c>
      <c r="D293" s="15" t="s">
        <v>681</v>
      </c>
      <c r="E293" s="13">
        <v>5</v>
      </c>
      <c r="F293" s="13" t="s">
        <v>362</v>
      </c>
      <c r="G293" s="40"/>
      <c r="H293" s="14" t="str">
        <f t="shared" si="9"/>
        <v/>
      </c>
      <c r="I293" s="13" t="s">
        <v>30</v>
      </c>
      <c r="J293" s="13">
        <v>0</v>
      </c>
    </row>
    <row r="294" spans="1:10" s="13" customFormat="1" ht="28.8" hidden="1" x14ac:dyDescent="0.3">
      <c r="A294" s="15" t="s">
        <v>682</v>
      </c>
      <c r="B294" s="15" t="s">
        <v>30</v>
      </c>
      <c r="C294" s="15" t="s">
        <v>683</v>
      </c>
      <c r="D294" s="15" t="s">
        <v>684</v>
      </c>
      <c r="E294" s="13">
        <v>1</v>
      </c>
      <c r="F294" s="13" t="s">
        <v>362</v>
      </c>
      <c r="G294" s="40"/>
      <c r="H294" s="14" t="str">
        <f t="shared" si="9"/>
        <v/>
      </c>
      <c r="I294" s="13" t="s">
        <v>30</v>
      </c>
      <c r="J294" s="13">
        <v>0</v>
      </c>
    </row>
    <row r="295" spans="1:10" s="13" customFormat="1" ht="115.2" hidden="1" x14ac:dyDescent="0.3">
      <c r="A295" s="15" t="s">
        <v>685</v>
      </c>
      <c r="B295" s="15" t="s">
        <v>30</v>
      </c>
      <c r="C295" s="15" t="s">
        <v>686</v>
      </c>
      <c r="D295" s="15" t="s">
        <v>687</v>
      </c>
      <c r="E295" s="13">
        <v>1</v>
      </c>
      <c r="F295" s="13" t="s">
        <v>362</v>
      </c>
      <c r="G295" s="40"/>
      <c r="H295" s="14" t="str">
        <f t="shared" si="9"/>
        <v/>
      </c>
      <c r="I295" s="13" t="s">
        <v>30</v>
      </c>
      <c r="J295" s="13">
        <v>0</v>
      </c>
    </row>
    <row r="296" spans="1:10" s="13" customFormat="1" ht="409.6" hidden="1" x14ac:dyDescent="0.3">
      <c r="A296" s="15" t="s">
        <v>688</v>
      </c>
      <c r="B296" s="15" t="s">
        <v>30</v>
      </c>
      <c r="C296" s="15" t="s">
        <v>689</v>
      </c>
      <c r="D296" s="15" t="s">
        <v>690</v>
      </c>
      <c r="E296" s="13">
        <v>1</v>
      </c>
      <c r="F296" s="13" t="s">
        <v>691</v>
      </c>
      <c r="G296" s="40"/>
      <c r="H296" s="14" t="str">
        <f t="shared" si="9"/>
        <v/>
      </c>
      <c r="I296" s="13" t="s">
        <v>30</v>
      </c>
      <c r="J296" s="13">
        <v>0</v>
      </c>
    </row>
    <row r="297" spans="1:10" s="11" customFormat="1" hidden="1" x14ac:dyDescent="0.3">
      <c r="A297" s="20" t="s">
        <v>692</v>
      </c>
      <c r="B297" s="20"/>
      <c r="C297" s="20" t="s">
        <v>693</v>
      </c>
      <c r="D297" s="20"/>
      <c r="G297" s="38"/>
      <c r="H297" s="12">
        <f>SUM(H298,H299,H300,H301,H311,H312,H314,H315,H316,H317,H318,H319)</f>
        <v>0</v>
      </c>
    </row>
    <row r="298" spans="1:10" s="11" customFormat="1" hidden="1" x14ac:dyDescent="0.3">
      <c r="A298" s="20" t="s">
        <v>694</v>
      </c>
      <c r="B298" s="20"/>
      <c r="C298" s="20" t="s">
        <v>27</v>
      </c>
      <c r="D298" s="20"/>
      <c r="G298" s="38"/>
      <c r="H298" s="12">
        <v>0</v>
      </c>
    </row>
    <row r="299" spans="1:10" s="11" customFormat="1" ht="28.8" hidden="1" x14ac:dyDescent="0.3">
      <c r="A299" s="20" t="s">
        <v>695</v>
      </c>
      <c r="B299" s="20"/>
      <c r="C299" s="20" t="s">
        <v>696</v>
      </c>
      <c r="D299" s="20"/>
      <c r="G299" s="38"/>
      <c r="H299" s="12">
        <v>0</v>
      </c>
    </row>
    <row r="300" spans="1:10" s="11" customFormat="1" hidden="1" x14ac:dyDescent="0.3">
      <c r="A300" s="20" t="s">
        <v>697</v>
      </c>
      <c r="B300" s="20"/>
      <c r="C300" s="20" t="s">
        <v>416</v>
      </c>
      <c r="D300" s="20"/>
      <c r="G300" s="38"/>
      <c r="H300" s="12">
        <v>0</v>
      </c>
    </row>
    <row r="301" spans="1:10" s="11" customFormat="1" hidden="1" x14ac:dyDescent="0.3">
      <c r="A301" s="20" t="s">
        <v>698</v>
      </c>
      <c r="B301" s="20"/>
      <c r="C301" s="20" t="s">
        <v>699</v>
      </c>
      <c r="D301" s="20"/>
      <c r="G301" s="38"/>
      <c r="H301" s="12">
        <f>SUM(H302,H303,H304,H305,H306,H307,H308,H309,H310)</f>
        <v>0</v>
      </c>
    </row>
    <row r="302" spans="1:10" s="13" customFormat="1" ht="216" hidden="1" x14ac:dyDescent="0.3">
      <c r="A302" s="15" t="s">
        <v>700</v>
      </c>
      <c r="B302" s="15" t="s">
        <v>30</v>
      </c>
      <c r="C302" s="15" t="s">
        <v>701</v>
      </c>
      <c r="D302" s="15" t="s">
        <v>702</v>
      </c>
      <c r="E302" s="13">
        <v>145</v>
      </c>
      <c r="F302" s="13" t="s">
        <v>60</v>
      </c>
      <c r="G302" s="40"/>
      <c r="H302" s="14" t="str">
        <f t="shared" ref="H302:H310" si="10">IF(AND(ISNUMBER(E302),ISNUMBER(G302)),ROUND(PRODUCT(PRODUCT(E302, G302), 1 - J302), 2),"")</f>
        <v/>
      </c>
      <c r="I302" s="13" t="s">
        <v>30</v>
      </c>
      <c r="J302" s="13">
        <v>0</v>
      </c>
    </row>
    <row r="303" spans="1:10" s="13" customFormat="1" ht="158.4" hidden="1" x14ac:dyDescent="0.3">
      <c r="A303" s="15" t="s">
        <v>703</v>
      </c>
      <c r="B303" s="15" t="s">
        <v>30</v>
      </c>
      <c r="C303" s="15" t="s">
        <v>704</v>
      </c>
      <c r="D303" s="15" t="s">
        <v>705</v>
      </c>
      <c r="E303" s="13">
        <v>8</v>
      </c>
      <c r="F303" s="13" t="s">
        <v>60</v>
      </c>
      <c r="G303" s="40"/>
      <c r="H303" s="14" t="str">
        <f t="shared" si="10"/>
        <v/>
      </c>
      <c r="I303" s="13" t="s">
        <v>30</v>
      </c>
      <c r="J303" s="13">
        <v>0</v>
      </c>
    </row>
    <row r="304" spans="1:10" s="13" customFormat="1" ht="302.39999999999998" hidden="1" x14ac:dyDescent="0.3">
      <c r="A304" s="15" t="s">
        <v>706</v>
      </c>
      <c r="B304" s="15" t="s">
        <v>30</v>
      </c>
      <c r="C304" s="15" t="s">
        <v>707</v>
      </c>
      <c r="D304" s="15" t="s">
        <v>708</v>
      </c>
      <c r="E304" s="13">
        <v>33</v>
      </c>
      <c r="F304" s="13" t="s">
        <v>60</v>
      </c>
      <c r="G304" s="40"/>
      <c r="H304" s="14" t="str">
        <f t="shared" si="10"/>
        <v/>
      </c>
      <c r="I304" s="13" t="s">
        <v>30</v>
      </c>
      <c r="J304" s="13">
        <v>0</v>
      </c>
    </row>
    <row r="305" spans="1:10" s="13" customFormat="1" ht="230.4" hidden="1" x14ac:dyDescent="0.3">
      <c r="A305" s="15" t="s">
        <v>709</v>
      </c>
      <c r="B305" s="15" t="s">
        <v>30</v>
      </c>
      <c r="C305" s="15" t="s">
        <v>710</v>
      </c>
      <c r="D305" s="15" t="s">
        <v>711</v>
      </c>
      <c r="E305" s="13">
        <v>33</v>
      </c>
      <c r="F305" s="13" t="s">
        <v>60</v>
      </c>
      <c r="G305" s="40"/>
      <c r="H305" s="14" t="str">
        <f t="shared" si="10"/>
        <v/>
      </c>
      <c r="I305" s="13" t="s">
        <v>30</v>
      </c>
      <c r="J305" s="13">
        <v>0</v>
      </c>
    </row>
    <row r="306" spans="1:10" s="13" customFormat="1" ht="259.2" hidden="1" x14ac:dyDescent="0.3">
      <c r="A306" s="15" t="s">
        <v>712</v>
      </c>
      <c r="B306" s="15" t="s">
        <v>30</v>
      </c>
      <c r="C306" s="15" t="s">
        <v>713</v>
      </c>
      <c r="D306" s="15" t="s">
        <v>714</v>
      </c>
      <c r="E306" s="13">
        <v>12</v>
      </c>
      <c r="F306" s="13" t="s">
        <v>60</v>
      </c>
      <c r="G306" s="40"/>
      <c r="H306" s="14" t="str">
        <f t="shared" si="10"/>
        <v/>
      </c>
      <c r="I306" s="13" t="s">
        <v>30</v>
      </c>
      <c r="J306" s="13">
        <v>0</v>
      </c>
    </row>
    <row r="307" spans="1:10" s="13" customFormat="1" ht="273.60000000000002" hidden="1" x14ac:dyDescent="0.3">
      <c r="A307" s="15" t="s">
        <v>715</v>
      </c>
      <c r="B307" s="15" t="s">
        <v>30</v>
      </c>
      <c r="C307" s="15" t="s">
        <v>716</v>
      </c>
      <c r="D307" s="15" t="s">
        <v>717</v>
      </c>
      <c r="E307" s="13">
        <v>1</v>
      </c>
      <c r="F307" s="13" t="s">
        <v>60</v>
      </c>
      <c r="G307" s="40"/>
      <c r="H307" s="14" t="str">
        <f t="shared" si="10"/>
        <v/>
      </c>
      <c r="I307" s="13" t="s">
        <v>30</v>
      </c>
      <c r="J307" s="13">
        <v>0</v>
      </c>
    </row>
    <row r="308" spans="1:10" s="13" customFormat="1" ht="273.60000000000002" hidden="1" x14ac:dyDescent="0.3">
      <c r="A308" s="15" t="s">
        <v>718</v>
      </c>
      <c r="B308" s="15" t="s">
        <v>30</v>
      </c>
      <c r="C308" s="15" t="s">
        <v>719</v>
      </c>
      <c r="D308" s="15" t="s">
        <v>720</v>
      </c>
      <c r="E308" s="13">
        <v>1</v>
      </c>
      <c r="F308" s="13" t="s">
        <v>60</v>
      </c>
      <c r="G308" s="40"/>
      <c r="H308" s="14" t="str">
        <f t="shared" si="10"/>
        <v/>
      </c>
      <c r="I308" s="13" t="s">
        <v>30</v>
      </c>
      <c r="J308" s="13">
        <v>0</v>
      </c>
    </row>
    <row r="309" spans="1:10" s="13" customFormat="1" ht="144" hidden="1" x14ac:dyDescent="0.3">
      <c r="A309" s="15" t="s">
        <v>721</v>
      </c>
      <c r="B309" s="15" t="s">
        <v>30</v>
      </c>
      <c r="C309" s="15" t="s">
        <v>722</v>
      </c>
      <c r="D309" s="15" t="s">
        <v>723</v>
      </c>
      <c r="E309" s="13">
        <v>1</v>
      </c>
      <c r="F309" s="13" t="s">
        <v>60</v>
      </c>
      <c r="G309" s="40"/>
      <c r="H309" s="14" t="str">
        <f t="shared" si="10"/>
        <v/>
      </c>
      <c r="I309" s="13" t="s">
        <v>30</v>
      </c>
      <c r="J309" s="13">
        <v>0</v>
      </c>
    </row>
    <row r="310" spans="1:10" s="13" customFormat="1" ht="144" hidden="1" x14ac:dyDescent="0.3">
      <c r="A310" s="15" t="s">
        <v>724</v>
      </c>
      <c r="B310" s="15" t="s">
        <v>30</v>
      </c>
      <c r="C310" s="15" t="s">
        <v>725</v>
      </c>
      <c r="D310" s="15" t="s">
        <v>726</v>
      </c>
      <c r="E310" s="13">
        <v>1</v>
      </c>
      <c r="F310" s="13" t="s">
        <v>60</v>
      </c>
      <c r="G310" s="40"/>
      <c r="H310" s="14" t="str">
        <f t="shared" si="10"/>
        <v/>
      </c>
      <c r="I310" s="13" t="s">
        <v>30</v>
      </c>
      <c r="J310" s="13">
        <v>0</v>
      </c>
    </row>
    <row r="311" spans="1:10" s="11" customFormat="1" hidden="1" x14ac:dyDescent="0.3">
      <c r="A311" s="20" t="s">
        <v>727</v>
      </c>
      <c r="B311" s="20"/>
      <c r="C311" s="20" t="s">
        <v>728</v>
      </c>
      <c r="D311" s="20"/>
      <c r="G311" s="38"/>
      <c r="H311" s="12">
        <v>0</v>
      </c>
    </row>
    <row r="312" spans="1:10" s="11" customFormat="1" hidden="1" x14ac:dyDescent="0.3">
      <c r="A312" s="20" t="s">
        <v>729</v>
      </c>
      <c r="B312" s="20"/>
      <c r="C312" s="20" t="s">
        <v>514</v>
      </c>
      <c r="D312" s="20"/>
      <c r="G312" s="38"/>
      <c r="H312" s="12">
        <f>SUM(H313)</f>
        <v>0</v>
      </c>
    </row>
    <row r="313" spans="1:10" s="13" customFormat="1" ht="72" hidden="1" x14ac:dyDescent="0.3">
      <c r="A313" s="15" t="s">
        <v>730</v>
      </c>
      <c r="B313" s="15" t="s">
        <v>30</v>
      </c>
      <c r="C313" s="15" t="s">
        <v>731</v>
      </c>
      <c r="D313" s="15" t="s">
        <v>732</v>
      </c>
      <c r="E313" s="13">
        <v>10</v>
      </c>
      <c r="F313" s="13" t="s">
        <v>691</v>
      </c>
      <c r="G313" s="40"/>
      <c r="H313" s="14" t="str">
        <f>IF(AND(ISNUMBER(E313),ISNUMBER(G313)),ROUND(PRODUCT(PRODUCT(E313, G313), 1 - J313), 2),"")</f>
        <v/>
      </c>
      <c r="I313" s="13" t="s">
        <v>30</v>
      </c>
      <c r="J313" s="13">
        <v>0</v>
      </c>
    </row>
    <row r="314" spans="1:10" s="11" customFormat="1" hidden="1" x14ac:dyDescent="0.3">
      <c r="A314" s="20" t="s">
        <v>733</v>
      </c>
      <c r="B314" s="20"/>
      <c r="C314" s="20" t="s">
        <v>734</v>
      </c>
      <c r="D314" s="20"/>
      <c r="G314" s="38"/>
      <c r="H314" s="12">
        <v>0</v>
      </c>
    </row>
    <row r="315" spans="1:10" s="11" customFormat="1" hidden="1" x14ac:dyDescent="0.3">
      <c r="A315" s="20" t="s">
        <v>735</v>
      </c>
      <c r="B315" s="20"/>
      <c r="C315" s="20" t="s">
        <v>533</v>
      </c>
      <c r="D315" s="20"/>
      <c r="G315" s="38"/>
      <c r="H315" s="12">
        <v>0</v>
      </c>
    </row>
    <row r="316" spans="1:10" s="11" customFormat="1" hidden="1" x14ac:dyDescent="0.3">
      <c r="A316" s="20" t="s">
        <v>736</v>
      </c>
      <c r="B316" s="20"/>
      <c r="C316" s="20" t="s">
        <v>737</v>
      </c>
      <c r="D316" s="20"/>
      <c r="G316" s="38"/>
      <c r="H316" s="12">
        <v>0</v>
      </c>
    </row>
    <row r="317" spans="1:10" s="11" customFormat="1" hidden="1" x14ac:dyDescent="0.3">
      <c r="A317" s="20" t="s">
        <v>738</v>
      </c>
      <c r="B317" s="20"/>
      <c r="C317" s="20" t="s">
        <v>739</v>
      </c>
      <c r="D317" s="20"/>
      <c r="G317" s="38"/>
      <c r="H317" s="12">
        <v>0</v>
      </c>
    </row>
    <row r="318" spans="1:10" s="11" customFormat="1" hidden="1" x14ac:dyDescent="0.3">
      <c r="A318" s="20" t="s">
        <v>740</v>
      </c>
      <c r="B318" s="20"/>
      <c r="C318" s="20" t="s">
        <v>741</v>
      </c>
      <c r="D318" s="20"/>
      <c r="G318" s="38"/>
      <c r="H318" s="12">
        <v>0</v>
      </c>
    </row>
    <row r="319" spans="1:10" s="11" customFormat="1" hidden="1" x14ac:dyDescent="0.3">
      <c r="A319" s="20" t="s">
        <v>742</v>
      </c>
      <c r="B319" s="20"/>
      <c r="C319" s="20" t="s">
        <v>651</v>
      </c>
      <c r="D319" s="20"/>
      <c r="G319" s="38"/>
      <c r="H319" s="12">
        <v>0</v>
      </c>
    </row>
    <row r="320" spans="1:10" s="11" customFormat="1" hidden="1" x14ac:dyDescent="0.3">
      <c r="A320" s="20" t="s">
        <v>743</v>
      </c>
      <c r="B320" s="20"/>
      <c r="C320" s="20" t="s">
        <v>744</v>
      </c>
      <c r="D320" s="20"/>
      <c r="G320" s="38"/>
      <c r="H320" s="12">
        <f>SUM(H321,H324,H329,H330,H331)</f>
        <v>0</v>
      </c>
    </row>
    <row r="321" spans="1:10" s="11" customFormat="1" hidden="1" x14ac:dyDescent="0.3">
      <c r="A321" s="20" t="s">
        <v>745</v>
      </c>
      <c r="B321" s="20"/>
      <c r="C321" s="20" t="s">
        <v>83</v>
      </c>
      <c r="D321" s="20"/>
      <c r="G321" s="38"/>
      <c r="H321" s="12">
        <v>0</v>
      </c>
    </row>
    <row r="322" spans="1:10" s="13" customFormat="1" ht="409.6" hidden="1" x14ac:dyDescent="0.3">
      <c r="A322" s="15"/>
      <c r="B322" s="15"/>
      <c r="C322" s="15" t="s">
        <v>28</v>
      </c>
      <c r="D322" s="15" t="s">
        <v>29</v>
      </c>
      <c r="G322" s="39"/>
      <c r="I322" s="13" t="s">
        <v>30</v>
      </c>
    </row>
    <row r="323" spans="1:10" s="13" customFormat="1" ht="187.2" hidden="1" x14ac:dyDescent="0.3">
      <c r="A323" s="15"/>
      <c r="B323" s="15"/>
      <c r="C323" s="15" t="s">
        <v>746</v>
      </c>
      <c r="D323" s="15" t="s">
        <v>747</v>
      </c>
      <c r="G323" s="39"/>
      <c r="I323" s="13" t="s">
        <v>30</v>
      </c>
    </row>
    <row r="324" spans="1:10" s="11" customFormat="1" hidden="1" x14ac:dyDescent="0.3">
      <c r="A324" s="20" t="s">
        <v>748</v>
      </c>
      <c r="B324" s="20"/>
      <c r="C324" s="20" t="s">
        <v>749</v>
      </c>
      <c r="D324" s="20"/>
      <c r="G324" s="38"/>
      <c r="H324" s="12">
        <f>SUM(H325,H326,H327,H328)</f>
        <v>0</v>
      </c>
    </row>
    <row r="325" spans="1:10" s="13" customFormat="1" ht="259.2" hidden="1" x14ac:dyDescent="0.3">
      <c r="A325" s="15" t="s">
        <v>750</v>
      </c>
      <c r="B325" s="15" t="s">
        <v>30</v>
      </c>
      <c r="C325" s="15" t="s">
        <v>751</v>
      </c>
      <c r="D325" s="15" t="s">
        <v>752</v>
      </c>
      <c r="E325" s="13">
        <v>7.2</v>
      </c>
      <c r="F325" s="13" t="s">
        <v>133</v>
      </c>
      <c r="G325" s="40"/>
      <c r="H325" s="14" t="str">
        <f>IF(AND(ISNUMBER(E325),ISNUMBER(G325)),ROUND(PRODUCT(PRODUCT(E325, G325), 1 - J325), 2),"")</f>
        <v/>
      </c>
      <c r="I325" s="13" t="s">
        <v>30</v>
      </c>
      <c r="J325" s="13">
        <v>0</v>
      </c>
    </row>
    <row r="326" spans="1:10" s="13" customFormat="1" ht="172.8" hidden="1" x14ac:dyDescent="0.3">
      <c r="A326" s="15" t="s">
        <v>753</v>
      </c>
      <c r="B326" s="15" t="s">
        <v>30</v>
      </c>
      <c r="C326" s="15" t="s">
        <v>754</v>
      </c>
      <c r="D326" s="15" t="s">
        <v>755</v>
      </c>
      <c r="E326" s="13">
        <v>0.8</v>
      </c>
      <c r="F326" s="13" t="s">
        <v>133</v>
      </c>
      <c r="G326" s="40"/>
      <c r="H326" s="14" t="str">
        <f>IF(AND(ISNUMBER(E326),ISNUMBER(G326)),ROUND(PRODUCT(PRODUCT(E326, G326), 1 - J326), 2),"")</f>
        <v/>
      </c>
      <c r="I326" s="13" t="s">
        <v>30</v>
      </c>
      <c r="J326" s="13">
        <v>0</v>
      </c>
    </row>
    <row r="327" spans="1:10" s="13" customFormat="1" ht="129.6" hidden="1" x14ac:dyDescent="0.3">
      <c r="A327" s="15" t="s">
        <v>756</v>
      </c>
      <c r="B327" s="15" t="s">
        <v>30</v>
      </c>
      <c r="C327" s="15" t="s">
        <v>757</v>
      </c>
      <c r="D327" s="15" t="s">
        <v>758</v>
      </c>
      <c r="E327" s="13">
        <v>0.25</v>
      </c>
      <c r="F327" s="13" t="s">
        <v>133</v>
      </c>
      <c r="G327" s="40"/>
      <c r="H327" s="14" t="str">
        <f>IF(AND(ISNUMBER(E327),ISNUMBER(G327)),ROUND(PRODUCT(PRODUCT(E327, G327), 1 - J327), 2),"")</f>
        <v/>
      </c>
      <c r="I327" s="13" t="s">
        <v>30</v>
      </c>
      <c r="J327" s="13">
        <v>0</v>
      </c>
    </row>
    <row r="328" spans="1:10" s="13" customFormat="1" ht="100.8" hidden="1" x14ac:dyDescent="0.3">
      <c r="A328" s="15" t="s">
        <v>759</v>
      </c>
      <c r="B328" s="15" t="s">
        <v>30</v>
      </c>
      <c r="C328" s="15" t="s">
        <v>760</v>
      </c>
      <c r="D328" s="15" t="s">
        <v>761</v>
      </c>
      <c r="E328" s="13">
        <v>17.5</v>
      </c>
      <c r="F328" s="13" t="s">
        <v>100</v>
      </c>
      <c r="G328" s="40"/>
      <c r="H328" s="14" t="str">
        <f>IF(AND(ISNUMBER(E328),ISNUMBER(G328)),ROUND(PRODUCT(PRODUCT(E328, G328), 1 - J328), 2),"")</f>
        <v/>
      </c>
      <c r="I328" s="13" t="s">
        <v>30</v>
      </c>
      <c r="J328" s="13">
        <v>0</v>
      </c>
    </row>
    <row r="329" spans="1:10" s="11" customFormat="1" hidden="1" x14ac:dyDescent="0.3">
      <c r="A329" s="20" t="s">
        <v>762</v>
      </c>
      <c r="B329" s="20"/>
      <c r="C329" s="20" t="s">
        <v>763</v>
      </c>
      <c r="D329" s="20"/>
      <c r="G329" s="38"/>
      <c r="H329" s="12">
        <v>0</v>
      </c>
    </row>
    <row r="330" spans="1:10" s="11" customFormat="1" hidden="1" x14ac:dyDescent="0.3">
      <c r="A330" s="20" t="s">
        <v>764</v>
      </c>
      <c r="B330" s="20"/>
      <c r="C330" s="20" t="s">
        <v>765</v>
      </c>
      <c r="D330" s="20"/>
      <c r="G330" s="38"/>
      <c r="H330" s="12">
        <v>0</v>
      </c>
    </row>
    <row r="331" spans="1:10" s="11" customFormat="1" hidden="1" x14ac:dyDescent="0.3">
      <c r="A331" s="20" t="s">
        <v>766</v>
      </c>
      <c r="B331" s="20"/>
      <c r="C331" s="20" t="s">
        <v>79</v>
      </c>
      <c r="D331" s="20"/>
      <c r="G331" s="38"/>
      <c r="H331" s="12">
        <v>0</v>
      </c>
    </row>
    <row r="332" spans="1:10" s="11" customFormat="1" ht="28.8" hidden="1" x14ac:dyDescent="0.3">
      <c r="A332" s="20" t="s">
        <v>767</v>
      </c>
      <c r="B332" s="20"/>
      <c r="C332" s="20" t="s">
        <v>768</v>
      </c>
      <c r="D332" s="20"/>
      <c r="G332" s="38"/>
      <c r="H332" s="12">
        <f>SUM(H333,H334,H335,H336,H337,H338,H339)</f>
        <v>0</v>
      </c>
    </row>
    <row r="333" spans="1:10" s="11" customFormat="1" hidden="1" x14ac:dyDescent="0.3">
      <c r="A333" s="20" t="s">
        <v>769</v>
      </c>
      <c r="B333" s="20"/>
      <c r="C333" s="20" t="s">
        <v>83</v>
      </c>
      <c r="D333" s="20"/>
      <c r="G333" s="38"/>
      <c r="H333" s="12">
        <v>0</v>
      </c>
    </row>
    <row r="334" spans="1:10" s="11" customFormat="1" hidden="1" x14ac:dyDescent="0.3">
      <c r="A334" s="20" t="s">
        <v>770</v>
      </c>
      <c r="B334" s="20"/>
      <c r="C334" s="20" t="s">
        <v>771</v>
      </c>
      <c r="D334" s="20"/>
      <c r="G334" s="38"/>
      <c r="H334" s="12">
        <v>0</v>
      </c>
    </row>
    <row r="335" spans="1:10" s="11" customFormat="1" hidden="1" x14ac:dyDescent="0.3">
      <c r="A335" s="20" t="s">
        <v>772</v>
      </c>
      <c r="B335" s="20"/>
      <c r="C335" s="20" t="s">
        <v>773</v>
      </c>
      <c r="D335" s="20"/>
      <c r="G335" s="38"/>
      <c r="H335" s="12">
        <v>0</v>
      </c>
    </row>
    <row r="336" spans="1:10" s="11" customFormat="1" ht="28.8" hidden="1" x14ac:dyDescent="0.3">
      <c r="A336" s="20" t="s">
        <v>774</v>
      </c>
      <c r="B336" s="20"/>
      <c r="C336" s="20" t="s">
        <v>775</v>
      </c>
      <c r="D336" s="20"/>
      <c r="G336" s="38"/>
      <c r="H336" s="12">
        <v>0</v>
      </c>
    </row>
    <row r="337" spans="1:8" s="11" customFormat="1" hidden="1" x14ac:dyDescent="0.3">
      <c r="A337" s="20" t="s">
        <v>776</v>
      </c>
      <c r="B337" s="20"/>
      <c r="C337" s="20" t="s">
        <v>777</v>
      </c>
      <c r="D337" s="20"/>
      <c r="G337" s="38"/>
      <c r="H337" s="12">
        <v>0</v>
      </c>
    </row>
    <row r="338" spans="1:8" s="11" customFormat="1" hidden="1" x14ac:dyDescent="0.3">
      <c r="A338" s="20" t="s">
        <v>778</v>
      </c>
      <c r="B338" s="20"/>
      <c r="C338" s="20" t="s">
        <v>623</v>
      </c>
      <c r="D338" s="20"/>
      <c r="G338" s="38"/>
      <c r="H338" s="12">
        <v>0</v>
      </c>
    </row>
    <row r="339" spans="1:8" s="11" customFormat="1" hidden="1" x14ac:dyDescent="0.3">
      <c r="A339" s="20" t="s">
        <v>779</v>
      </c>
      <c r="B339" s="20"/>
      <c r="C339" s="20" t="s">
        <v>79</v>
      </c>
      <c r="D339" s="20"/>
      <c r="G339" s="38"/>
      <c r="H339" s="12">
        <v>0</v>
      </c>
    </row>
    <row r="340" spans="1:8" s="11" customFormat="1" ht="28.8" hidden="1" x14ac:dyDescent="0.3">
      <c r="A340" s="20" t="s">
        <v>780</v>
      </c>
      <c r="B340" s="20"/>
      <c r="C340" s="20" t="s">
        <v>781</v>
      </c>
      <c r="D340" s="20"/>
      <c r="G340" s="38"/>
      <c r="H340" s="12">
        <f>SUM(H341,H342,H343,H344,H345,H346,H347,H348)</f>
        <v>0</v>
      </c>
    </row>
    <row r="341" spans="1:8" s="11" customFormat="1" hidden="1" x14ac:dyDescent="0.3">
      <c r="A341" s="20" t="s">
        <v>782</v>
      </c>
      <c r="B341" s="20"/>
      <c r="C341" s="20" t="s">
        <v>83</v>
      </c>
      <c r="D341" s="20"/>
      <c r="G341" s="38"/>
      <c r="H341" s="12">
        <v>0</v>
      </c>
    </row>
    <row r="342" spans="1:8" s="11" customFormat="1" hidden="1" x14ac:dyDescent="0.3">
      <c r="A342" s="20" t="s">
        <v>783</v>
      </c>
      <c r="B342" s="20"/>
      <c r="C342" s="20" t="s">
        <v>784</v>
      </c>
      <c r="D342" s="20"/>
      <c r="G342" s="38"/>
      <c r="H342" s="12">
        <v>0</v>
      </c>
    </row>
    <row r="343" spans="1:8" s="11" customFormat="1" ht="28.8" hidden="1" x14ac:dyDescent="0.3">
      <c r="A343" s="20" t="s">
        <v>785</v>
      </c>
      <c r="B343" s="20"/>
      <c r="C343" s="20" t="s">
        <v>786</v>
      </c>
      <c r="D343" s="20"/>
      <c r="G343" s="38"/>
      <c r="H343" s="12">
        <v>0</v>
      </c>
    </row>
    <row r="344" spans="1:8" s="11" customFormat="1" ht="28.8" hidden="1" x14ac:dyDescent="0.3">
      <c r="A344" s="20" t="s">
        <v>787</v>
      </c>
      <c r="B344" s="20"/>
      <c r="C344" s="20" t="s">
        <v>788</v>
      </c>
      <c r="D344" s="20"/>
      <c r="G344" s="38"/>
      <c r="H344" s="12">
        <v>0</v>
      </c>
    </row>
    <row r="345" spans="1:8" s="11" customFormat="1" hidden="1" x14ac:dyDescent="0.3">
      <c r="A345" s="20" t="s">
        <v>789</v>
      </c>
      <c r="B345" s="20"/>
      <c r="C345" s="20" t="s">
        <v>94</v>
      </c>
      <c r="D345" s="20"/>
      <c r="G345" s="38"/>
      <c r="H345" s="12">
        <v>0</v>
      </c>
    </row>
    <row r="346" spans="1:8" s="11" customFormat="1" hidden="1" x14ac:dyDescent="0.3">
      <c r="A346" s="20" t="s">
        <v>790</v>
      </c>
      <c r="B346" s="20"/>
      <c r="C346" s="20" t="s">
        <v>791</v>
      </c>
      <c r="D346" s="20"/>
      <c r="G346" s="38"/>
      <c r="H346" s="12">
        <v>0</v>
      </c>
    </row>
    <row r="347" spans="1:8" s="11" customFormat="1" ht="28.8" hidden="1" x14ac:dyDescent="0.3">
      <c r="A347" s="20" t="s">
        <v>792</v>
      </c>
      <c r="B347" s="20"/>
      <c r="C347" s="20" t="s">
        <v>793</v>
      </c>
      <c r="D347" s="20"/>
      <c r="G347" s="38"/>
      <c r="H347" s="12">
        <v>0</v>
      </c>
    </row>
    <row r="348" spans="1:8" s="11" customFormat="1" hidden="1" x14ac:dyDescent="0.3">
      <c r="A348" s="20" t="s">
        <v>794</v>
      </c>
      <c r="B348" s="20"/>
      <c r="C348" s="20" t="s">
        <v>79</v>
      </c>
      <c r="D348" s="20"/>
      <c r="G348" s="38"/>
      <c r="H348" s="12">
        <v>0</v>
      </c>
    </row>
    <row r="349" spans="1:8" s="11" customFormat="1" ht="43.2" hidden="1" x14ac:dyDescent="0.3">
      <c r="A349" s="20" t="s">
        <v>795</v>
      </c>
      <c r="B349" s="20"/>
      <c r="C349" s="20" t="s">
        <v>796</v>
      </c>
      <c r="D349" s="20"/>
      <c r="G349" s="38"/>
      <c r="H349" s="12">
        <f>SUM(H350,H351,H352,H353,H354,H355,H356,H357,H358)</f>
        <v>0</v>
      </c>
    </row>
    <row r="350" spans="1:8" s="11" customFormat="1" hidden="1" x14ac:dyDescent="0.3">
      <c r="A350" s="20" t="s">
        <v>797</v>
      </c>
      <c r="B350" s="20"/>
      <c r="C350" s="20" t="s">
        <v>83</v>
      </c>
      <c r="D350" s="20"/>
      <c r="G350" s="38"/>
      <c r="H350" s="12">
        <v>0</v>
      </c>
    </row>
    <row r="351" spans="1:8" s="11" customFormat="1" ht="28.8" hidden="1" x14ac:dyDescent="0.3">
      <c r="A351" s="20" t="s">
        <v>798</v>
      </c>
      <c r="B351" s="20"/>
      <c r="C351" s="20" t="s">
        <v>799</v>
      </c>
      <c r="D351" s="20"/>
      <c r="G351" s="38"/>
      <c r="H351" s="12">
        <v>0</v>
      </c>
    </row>
    <row r="352" spans="1:8" s="11" customFormat="1" hidden="1" x14ac:dyDescent="0.3">
      <c r="A352" s="20" t="s">
        <v>800</v>
      </c>
      <c r="B352" s="20"/>
      <c r="C352" s="20" t="s">
        <v>801</v>
      </c>
      <c r="D352" s="20"/>
      <c r="G352" s="38"/>
      <c r="H352" s="12">
        <v>0</v>
      </c>
    </row>
    <row r="353" spans="1:8" s="11" customFormat="1" hidden="1" x14ac:dyDescent="0.3">
      <c r="A353" s="20" t="s">
        <v>802</v>
      </c>
      <c r="B353" s="20"/>
      <c r="C353" s="20" t="s">
        <v>803</v>
      </c>
      <c r="D353" s="20"/>
      <c r="G353" s="38"/>
      <c r="H353" s="12">
        <v>0</v>
      </c>
    </row>
    <row r="354" spans="1:8" s="11" customFormat="1" ht="28.8" hidden="1" x14ac:dyDescent="0.3">
      <c r="A354" s="20" t="s">
        <v>804</v>
      </c>
      <c r="B354" s="20"/>
      <c r="C354" s="20" t="s">
        <v>805</v>
      </c>
      <c r="D354" s="20"/>
      <c r="G354" s="38"/>
      <c r="H354" s="12">
        <v>0</v>
      </c>
    </row>
    <row r="355" spans="1:8" s="11" customFormat="1" hidden="1" x14ac:dyDescent="0.3">
      <c r="A355" s="20" t="s">
        <v>806</v>
      </c>
      <c r="B355" s="20"/>
      <c r="C355" s="20" t="s">
        <v>807</v>
      </c>
      <c r="D355" s="20"/>
      <c r="G355" s="38"/>
      <c r="H355" s="12">
        <v>0</v>
      </c>
    </row>
    <row r="356" spans="1:8" s="11" customFormat="1" hidden="1" x14ac:dyDescent="0.3">
      <c r="A356" s="20" t="s">
        <v>808</v>
      </c>
      <c r="B356" s="20"/>
      <c r="C356" s="20" t="s">
        <v>79</v>
      </c>
      <c r="D356" s="20"/>
      <c r="G356" s="38"/>
      <c r="H356" s="12">
        <v>0</v>
      </c>
    </row>
    <row r="357" spans="1:8" s="11" customFormat="1" hidden="1" x14ac:dyDescent="0.3">
      <c r="A357" s="20" t="s">
        <v>809</v>
      </c>
      <c r="B357" s="20"/>
      <c r="C357" s="20" t="s">
        <v>810</v>
      </c>
      <c r="D357" s="20"/>
      <c r="G357" s="38"/>
      <c r="H357" s="12">
        <v>0</v>
      </c>
    </row>
    <row r="358" spans="1:8" s="11" customFormat="1" hidden="1" x14ac:dyDescent="0.3">
      <c r="A358" s="20" t="s">
        <v>811</v>
      </c>
      <c r="B358" s="20"/>
      <c r="C358" s="20" t="s">
        <v>812</v>
      </c>
      <c r="D358" s="20"/>
      <c r="G358" s="38"/>
      <c r="H358" s="12">
        <v>0</v>
      </c>
    </row>
    <row r="359" spans="1:8" s="11" customFormat="1" ht="28.8" hidden="1" x14ac:dyDescent="0.3">
      <c r="A359" s="20" t="s">
        <v>813</v>
      </c>
      <c r="B359" s="20"/>
      <c r="C359" s="20" t="s">
        <v>814</v>
      </c>
      <c r="D359" s="20"/>
      <c r="G359" s="38"/>
      <c r="H359" s="12">
        <v>0</v>
      </c>
    </row>
    <row r="360" spans="1:8" s="11" customFormat="1" hidden="1" x14ac:dyDescent="0.3">
      <c r="A360" s="20" t="s">
        <v>815</v>
      </c>
      <c r="B360" s="20"/>
      <c r="C360" s="20" t="s">
        <v>816</v>
      </c>
      <c r="D360" s="20"/>
      <c r="G360" s="38"/>
      <c r="H360" s="12">
        <f>SUM(H361,H362,H363,H364,H365,H366)</f>
        <v>0</v>
      </c>
    </row>
    <row r="361" spans="1:8" s="11" customFormat="1" hidden="1" x14ac:dyDescent="0.3">
      <c r="A361" s="20" t="s">
        <v>817</v>
      </c>
      <c r="B361" s="20"/>
      <c r="C361" s="20" t="s">
        <v>83</v>
      </c>
      <c r="D361" s="20"/>
      <c r="G361" s="38"/>
      <c r="H361" s="12">
        <v>0</v>
      </c>
    </row>
    <row r="362" spans="1:8" s="11" customFormat="1" hidden="1" x14ac:dyDescent="0.3">
      <c r="A362" s="20" t="s">
        <v>818</v>
      </c>
      <c r="B362" s="20"/>
      <c r="C362" s="20" t="s">
        <v>819</v>
      </c>
      <c r="D362" s="20"/>
      <c r="G362" s="38"/>
      <c r="H362" s="12">
        <v>0</v>
      </c>
    </row>
    <row r="363" spans="1:8" s="11" customFormat="1" hidden="1" x14ac:dyDescent="0.3">
      <c r="A363" s="20" t="s">
        <v>820</v>
      </c>
      <c r="B363" s="20"/>
      <c r="C363" s="20" t="s">
        <v>821</v>
      </c>
      <c r="D363" s="20"/>
      <c r="G363" s="38"/>
      <c r="H363" s="12">
        <v>0</v>
      </c>
    </row>
    <row r="364" spans="1:8" s="11" customFormat="1" hidden="1" x14ac:dyDescent="0.3">
      <c r="A364" s="20" t="s">
        <v>822</v>
      </c>
      <c r="B364" s="20"/>
      <c r="C364" s="20" t="s">
        <v>823</v>
      </c>
      <c r="D364" s="20"/>
      <c r="G364" s="38"/>
      <c r="H364" s="12">
        <v>0</v>
      </c>
    </row>
    <row r="365" spans="1:8" s="11" customFormat="1" hidden="1" x14ac:dyDescent="0.3">
      <c r="A365" s="20" t="s">
        <v>824</v>
      </c>
      <c r="B365" s="20"/>
      <c r="C365" s="20" t="s">
        <v>825</v>
      </c>
      <c r="D365" s="20"/>
      <c r="G365" s="38"/>
      <c r="H365" s="12">
        <v>0</v>
      </c>
    </row>
    <row r="366" spans="1:8" s="11" customFormat="1" hidden="1" x14ac:dyDescent="0.3">
      <c r="A366" s="20" t="s">
        <v>826</v>
      </c>
      <c r="B366" s="20"/>
      <c r="C366" s="20" t="s">
        <v>79</v>
      </c>
      <c r="D366" s="20"/>
      <c r="G366" s="38"/>
      <c r="H366" s="12">
        <v>0</v>
      </c>
    </row>
    <row r="367" spans="1:8" s="11" customFormat="1" hidden="1" x14ac:dyDescent="0.3">
      <c r="A367" s="20" t="s">
        <v>827</v>
      </c>
      <c r="B367" s="20"/>
      <c r="C367" s="20" t="s">
        <v>828</v>
      </c>
      <c r="D367" s="20"/>
      <c r="G367" s="38"/>
      <c r="H367" s="12">
        <f>SUM(H368,H371,H378,H379,H380,H381,H382)</f>
        <v>0</v>
      </c>
    </row>
    <row r="368" spans="1:8" s="11" customFormat="1" hidden="1" x14ac:dyDescent="0.3">
      <c r="A368" s="20" t="s">
        <v>829</v>
      </c>
      <c r="B368" s="20"/>
      <c r="C368" s="20" t="s">
        <v>83</v>
      </c>
      <c r="D368" s="20"/>
      <c r="G368" s="38"/>
      <c r="H368" s="12">
        <v>0</v>
      </c>
    </row>
    <row r="369" spans="1:10" s="13" customFormat="1" ht="409.6" hidden="1" x14ac:dyDescent="0.3">
      <c r="A369" s="15"/>
      <c r="B369" s="15"/>
      <c r="C369" s="15" t="s">
        <v>28</v>
      </c>
      <c r="D369" s="15" t="s">
        <v>29</v>
      </c>
      <c r="G369" s="39"/>
      <c r="I369" s="13" t="s">
        <v>30</v>
      </c>
    </row>
    <row r="370" spans="1:10" s="13" customFormat="1" ht="57.6" hidden="1" x14ac:dyDescent="0.3">
      <c r="A370" s="15"/>
      <c r="B370" s="15"/>
      <c r="C370" s="15" t="s">
        <v>830</v>
      </c>
      <c r="D370" s="15" t="s">
        <v>831</v>
      </c>
      <c r="G370" s="39"/>
      <c r="I370" s="13" t="s">
        <v>30</v>
      </c>
    </row>
    <row r="371" spans="1:10" s="11" customFormat="1" hidden="1" x14ac:dyDescent="0.3">
      <c r="A371" s="20" t="s">
        <v>832</v>
      </c>
      <c r="B371" s="20"/>
      <c r="C371" s="20" t="s">
        <v>833</v>
      </c>
      <c r="D371" s="20"/>
      <c r="G371" s="38"/>
      <c r="H371" s="12">
        <f>SUM(H372,H373,H374,H375,H376,H377)</f>
        <v>0</v>
      </c>
    </row>
    <row r="372" spans="1:10" s="13" customFormat="1" ht="115.2" hidden="1" x14ac:dyDescent="0.3">
      <c r="A372" s="15" t="s">
        <v>834</v>
      </c>
      <c r="B372" s="15" t="s">
        <v>30</v>
      </c>
      <c r="C372" s="15" t="s">
        <v>835</v>
      </c>
      <c r="D372" s="15" t="s">
        <v>836</v>
      </c>
      <c r="E372" s="13">
        <v>4375</v>
      </c>
      <c r="F372" s="13" t="s">
        <v>100</v>
      </c>
      <c r="G372" s="40"/>
      <c r="H372" s="14" t="str">
        <f t="shared" ref="H372:H377" si="11">IF(AND(ISNUMBER(E372),ISNUMBER(G372)),ROUND(PRODUCT(PRODUCT(E372, G372), 1 - J372), 2),"")</f>
        <v/>
      </c>
      <c r="I372" s="13" t="s">
        <v>30</v>
      </c>
      <c r="J372" s="13">
        <v>0</v>
      </c>
    </row>
    <row r="373" spans="1:10" s="13" customFormat="1" ht="158.4" hidden="1" x14ac:dyDescent="0.3">
      <c r="A373" s="15" t="s">
        <v>837</v>
      </c>
      <c r="B373" s="15" t="s">
        <v>30</v>
      </c>
      <c r="C373" s="15" t="s">
        <v>838</v>
      </c>
      <c r="D373" s="15" t="s">
        <v>839</v>
      </c>
      <c r="E373" s="13">
        <v>4375</v>
      </c>
      <c r="F373" s="13" t="s">
        <v>100</v>
      </c>
      <c r="G373" s="40"/>
      <c r="H373" s="14" t="str">
        <f t="shared" si="11"/>
        <v/>
      </c>
      <c r="I373" s="13" t="s">
        <v>30</v>
      </c>
      <c r="J373" s="13">
        <v>0</v>
      </c>
    </row>
    <row r="374" spans="1:10" s="13" customFormat="1" ht="43.2" hidden="1" x14ac:dyDescent="0.3">
      <c r="A374" s="15" t="s">
        <v>840</v>
      </c>
      <c r="B374" s="15" t="s">
        <v>30</v>
      </c>
      <c r="C374" s="15" t="s">
        <v>841</v>
      </c>
      <c r="D374" s="15" t="s">
        <v>842</v>
      </c>
      <c r="E374" s="13">
        <v>340</v>
      </c>
      <c r="F374" s="13" t="s">
        <v>643</v>
      </c>
      <c r="G374" s="40"/>
      <c r="H374" s="14" t="str">
        <f t="shared" si="11"/>
        <v/>
      </c>
      <c r="I374" s="13" t="s">
        <v>30</v>
      </c>
      <c r="J374" s="13">
        <v>0</v>
      </c>
    </row>
    <row r="375" spans="1:10" s="13" customFormat="1" ht="115.2" hidden="1" x14ac:dyDescent="0.3">
      <c r="A375" s="15" t="s">
        <v>843</v>
      </c>
      <c r="B375" s="15" t="s">
        <v>30</v>
      </c>
      <c r="C375" s="15" t="s">
        <v>844</v>
      </c>
      <c r="D375" s="15" t="s">
        <v>845</v>
      </c>
      <c r="E375" s="13">
        <v>30</v>
      </c>
      <c r="F375" s="13" t="s">
        <v>60</v>
      </c>
      <c r="G375" s="40"/>
      <c r="H375" s="14" t="str">
        <f t="shared" si="11"/>
        <v/>
      </c>
      <c r="I375" s="13" t="s">
        <v>30</v>
      </c>
      <c r="J375" s="13">
        <v>0</v>
      </c>
    </row>
    <row r="376" spans="1:10" s="13" customFormat="1" ht="100.8" hidden="1" x14ac:dyDescent="0.3">
      <c r="A376" s="15" t="s">
        <v>846</v>
      </c>
      <c r="B376" s="15" t="s">
        <v>30</v>
      </c>
      <c r="C376" s="15" t="s">
        <v>847</v>
      </c>
      <c r="D376" s="15" t="s">
        <v>848</v>
      </c>
      <c r="E376" s="13">
        <v>14</v>
      </c>
      <c r="F376" s="13" t="s">
        <v>60</v>
      </c>
      <c r="G376" s="40"/>
      <c r="H376" s="14" t="str">
        <f t="shared" si="11"/>
        <v/>
      </c>
      <c r="I376" s="13" t="s">
        <v>30</v>
      </c>
      <c r="J376" s="13">
        <v>0</v>
      </c>
    </row>
    <row r="377" spans="1:10" s="13" customFormat="1" ht="86.4" hidden="1" x14ac:dyDescent="0.3">
      <c r="A377" s="15" t="s">
        <v>849</v>
      </c>
      <c r="B377" s="15" t="s">
        <v>30</v>
      </c>
      <c r="C377" s="15" t="s">
        <v>850</v>
      </c>
      <c r="D377" s="15" t="s">
        <v>851</v>
      </c>
      <c r="E377" s="13">
        <v>485</v>
      </c>
      <c r="F377" s="13" t="s">
        <v>71</v>
      </c>
      <c r="G377" s="40"/>
      <c r="H377" s="14" t="str">
        <f t="shared" si="11"/>
        <v/>
      </c>
      <c r="I377" s="13" t="s">
        <v>30</v>
      </c>
      <c r="J377" s="13">
        <v>0</v>
      </c>
    </row>
    <row r="378" spans="1:10" s="11" customFormat="1" hidden="1" x14ac:dyDescent="0.3">
      <c r="A378" s="20" t="s">
        <v>852</v>
      </c>
      <c r="B378" s="20"/>
      <c r="C378" s="20" t="s">
        <v>853</v>
      </c>
      <c r="D378" s="20"/>
      <c r="G378" s="38"/>
      <c r="H378" s="12">
        <v>0</v>
      </c>
    </row>
    <row r="379" spans="1:10" s="11" customFormat="1" hidden="1" x14ac:dyDescent="0.3">
      <c r="A379" s="20" t="s">
        <v>854</v>
      </c>
      <c r="B379" s="20"/>
      <c r="C379" s="20" t="s">
        <v>855</v>
      </c>
      <c r="D379" s="20"/>
      <c r="G379" s="38"/>
      <c r="H379" s="12">
        <v>0</v>
      </c>
    </row>
    <row r="380" spans="1:10" s="11" customFormat="1" hidden="1" x14ac:dyDescent="0.3">
      <c r="A380" s="20" t="s">
        <v>856</v>
      </c>
      <c r="B380" s="20"/>
      <c r="C380" s="20" t="s">
        <v>857</v>
      </c>
      <c r="D380" s="20"/>
      <c r="G380" s="38"/>
      <c r="H380" s="12">
        <v>0</v>
      </c>
    </row>
    <row r="381" spans="1:10" s="11" customFormat="1" hidden="1" x14ac:dyDescent="0.3">
      <c r="A381" s="20" t="s">
        <v>858</v>
      </c>
      <c r="B381" s="20"/>
      <c r="C381" s="20" t="s">
        <v>859</v>
      </c>
      <c r="D381" s="20"/>
      <c r="G381" s="38"/>
      <c r="H381" s="12">
        <v>0</v>
      </c>
    </row>
    <row r="382" spans="1:10" s="11" customFormat="1" hidden="1" x14ac:dyDescent="0.3">
      <c r="A382" s="20" t="s">
        <v>860</v>
      </c>
      <c r="B382" s="20"/>
      <c r="C382" s="20" t="s">
        <v>79</v>
      </c>
      <c r="D382" s="20"/>
      <c r="G382" s="38"/>
      <c r="H382" s="12">
        <f>SUM(H383)</f>
        <v>0</v>
      </c>
    </row>
    <row r="383" spans="1:10" s="13" customFormat="1" ht="72" hidden="1" x14ac:dyDescent="0.3">
      <c r="A383" s="15" t="s">
        <v>861</v>
      </c>
      <c r="B383" s="15" t="s">
        <v>30</v>
      </c>
      <c r="C383" s="15" t="s">
        <v>862</v>
      </c>
      <c r="D383" s="15" t="s">
        <v>863</v>
      </c>
      <c r="E383" s="13">
        <v>12</v>
      </c>
      <c r="F383" s="13" t="s">
        <v>100</v>
      </c>
      <c r="G383" s="40"/>
      <c r="H383" s="14" t="str">
        <f>IF(AND(ISNUMBER(E383),ISNUMBER(G383)),ROUND(PRODUCT(PRODUCT(E383, G383), 1 - J383), 2),"")</f>
        <v/>
      </c>
      <c r="I383" s="13" t="s">
        <v>30</v>
      </c>
      <c r="J383" s="13">
        <v>0</v>
      </c>
    </row>
    <row r="384" spans="1:10" s="11" customFormat="1" ht="28.8" hidden="1" x14ac:dyDescent="0.3">
      <c r="A384" s="20" t="s">
        <v>864</v>
      </c>
      <c r="B384" s="20"/>
      <c r="C384" s="20" t="s">
        <v>865</v>
      </c>
      <c r="D384" s="20"/>
      <c r="G384" s="38"/>
      <c r="H384" s="12">
        <f>SUM(H385,H386,H387,H388,H389,H390,H391)</f>
        <v>0</v>
      </c>
    </row>
    <row r="385" spans="1:11" s="11" customFormat="1" hidden="1" x14ac:dyDescent="0.3">
      <c r="A385" s="20" t="s">
        <v>866</v>
      </c>
      <c r="B385" s="20"/>
      <c r="C385" s="20" t="s">
        <v>83</v>
      </c>
      <c r="D385" s="20"/>
      <c r="G385" s="38"/>
      <c r="H385" s="12">
        <v>0</v>
      </c>
    </row>
    <row r="386" spans="1:11" s="11" customFormat="1" hidden="1" x14ac:dyDescent="0.3">
      <c r="A386" s="20" t="s">
        <v>867</v>
      </c>
      <c r="B386" s="20"/>
      <c r="C386" s="20" t="s">
        <v>868</v>
      </c>
      <c r="D386" s="20"/>
      <c r="G386" s="38"/>
      <c r="H386" s="12">
        <v>0</v>
      </c>
    </row>
    <row r="387" spans="1:11" s="11" customFormat="1" hidden="1" x14ac:dyDescent="0.3">
      <c r="A387" s="20" t="s">
        <v>869</v>
      </c>
      <c r="B387" s="20"/>
      <c r="C387" s="20" t="s">
        <v>870</v>
      </c>
      <c r="D387" s="20"/>
      <c r="G387" s="38"/>
      <c r="H387" s="12">
        <v>0</v>
      </c>
    </row>
    <row r="388" spans="1:11" s="11" customFormat="1" hidden="1" x14ac:dyDescent="0.3">
      <c r="A388" s="20" t="s">
        <v>871</v>
      </c>
      <c r="B388" s="20"/>
      <c r="C388" s="20" t="s">
        <v>872</v>
      </c>
      <c r="D388" s="20"/>
      <c r="G388" s="38"/>
      <c r="H388" s="12">
        <v>0</v>
      </c>
    </row>
    <row r="389" spans="1:11" s="11" customFormat="1" hidden="1" x14ac:dyDescent="0.3">
      <c r="A389" s="20" t="s">
        <v>873</v>
      </c>
      <c r="B389" s="20"/>
      <c r="C389" s="20" t="s">
        <v>874</v>
      </c>
      <c r="D389" s="20"/>
      <c r="G389" s="38"/>
      <c r="H389" s="12">
        <v>0</v>
      </c>
    </row>
    <row r="390" spans="1:11" s="11" customFormat="1" x14ac:dyDescent="0.3">
      <c r="A390" s="20" t="s">
        <v>875</v>
      </c>
      <c r="B390" s="20"/>
      <c r="C390" s="20" t="s">
        <v>791</v>
      </c>
      <c r="D390" s="20"/>
      <c r="G390" s="38"/>
      <c r="H390" s="12">
        <v>0</v>
      </c>
    </row>
    <row r="391" spans="1:11" s="11" customFormat="1" x14ac:dyDescent="0.3">
      <c r="A391" s="20" t="s">
        <v>876</v>
      </c>
      <c r="B391" s="20"/>
      <c r="C391" s="20" t="s">
        <v>79</v>
      </c>
      <c r="D391" s="20"/>
      <c r="G391" s="38"/>
      <c r="H391" s="12">
        <v>0</v>
      </c>
    </row>
    <row r="392" spans="1:11" s="11" customFormat="1" x14ac:dyDescent="0.3">
      <c r="A392" s="20" t="s">
        <v>877</v>
      </c>
      <c r="B392" s="20"/>
      <c r="C392" s="20" t="s">
        <v>878</v>
      </c>
      <c r="D392" s="20"/>
      <c r="G392" s="38"/>
      <c r="H392" s="12">
        <f>H396+H407+H414+H422+H428+H426</f>
        <v>249000</v>
      </c>
    </row>
    <row r="393" spans="1:11" s="11" customFormat="1" x14ac:dyDescent="0.3">
      <c r="A393" s="20" t="s">
        <v>879</v>
      </c>
      <c r="B393" s="20"/>
      <c r="C393" s="20" t="s">
        <v>83</v>
      </c>
      <c r="D393" s="20"/>
      <c r="G393" s="38"/>
      <c r="H393" s="12"/>
    </row>
    <row r="394" spans="1:11" s="13" customFormat="1" ht="409.6" hidden="1" x14ac:dyDescent="0.3">
      <c r="A394" s="15"/>
      <c r="B394" s="15"/>
      <c r="C394" s="15" t="s">
        <v>28</v>
      </c>
      <c r="D394" s="15" t="s">
        <v>29</v>
      </c>
      <c r="G394" s="39"/>
      <c r="I394" s="13" t="s">
        <v>30</v>
      </c>
    </row>
    <row r="395" spans="1:11" s="13" customFormat="1" ht="236.4" customHeight="1" x14ac:dyDescent="0.3">
      <c r="A395" s="15"/>
      <c r="B395" s="15"/>
      <c r="C395" s="15" t="s">
        <v>880</v>
      </c>
      <c r="D395" s="15" t="s">
        <v>881</v>
      </c>
      <c r="G395" s="39"/>
      <c r="I395" s="13" t="s">
        <v>30</v>
      </c>
    </row>
    <row r="396" spans="1:11" s="11" customFormat="1" x14ac:dyDescent="0.3">
      <c r="A396" s="20" t="s">
        <v>882</v>
      </c>
      <c r="B396" s="20"/>
      <c r="C396" s="20" t="s">
        <v>883</v>
      </c>
      <c r="D396" s="20"/>
      <c r="G396" s="38"/>
      <c r="H396" s="12">
        <f>SUM(H397:H404)</f>
        <v>221870</v>
      </c>
    </row>
    <row r="397" spans="1:11" s="13" customFormat="1" ht="57.6" x14ac:dyDescent="0.3">
      <c r="A397" s="15" t="s">
        <v>884</v>
      </c>
      <c r="B397" s="15" t="s">
        <v>30</v>
      </c>
      <c r="C397" s="15" t="s">
        <v>885</v>
      </c>
      <c r="D397" s="15" t="s">
        <v>2801</v>
      </c>
      <c r="E397" s="13">
        <v>4450</v>
      </c>
      <c r="F397" s="13" t="s">
        <v>100</v>
      </c>
      <c r="G397" s="50">
        <v>2</v>
      </c>
      <c r="H397" s="14">
        <f t="shared" ref="H397:H404" si="12">IF(AND(ISNUMBER(E397),ISNUMBER(G397)),ROUND(PRODUCT(PRODUCT(E397, G397), 1 - J397), 2),"")</f>
        <v>8900</v>
      </c>
      <c r="I397" s="13" t="s">
        <v>30</v>
      </c>
      <c r="J397" s="13">
        <v>0</v>
      </c>
    </row>
    <row r="398" spans="1:11" s="13" customFormat="1" ht="87.6" customHeight="1" x14ac:dyDescent="0.3">
      <c r="A398" s="15" t="s">
        <v>886</v>
      </c>
      <c r="B398" s="15" t="s">
        <v>30</v>
      </c>
      <c r="C398" s="15" t="s">
        <v>887</v>
      </c>
      <c r="D398" s="15" t="s">
        <v>2802</v>
      </c>
      <c r="E398" s="13">
        <v>4375</v>
      </c>
      <c r="F398" s="13" t="s">
        <v>100</v>
      </c>
      <c r="G398" s="51">
        <v>25</v>
      </c>
      <c r="H398" s="14">
        <f t="shared" si="12"/>
        <v>109375</v>
      </c>
      <c r="I398" s="13" t="s">
        <v>30</v>
      </c>
      <c r="J398" s="13">
        <v>0</v>
      </c>
      <c r="K398" s="13">
        <v>25</v>
      </c>
    </row>
    <row r="399" spans="1:11" s="13" customFormat="1" ht="163.19999999999999" customHeight="1" x14ac:dyDescent="0.3">
      <c r="A399" s="15" t="s">
        <v>888</v>
      </c>
      <c r="B399" s="15" t="s">
        <v>30</v>
      </c>
      <c r="C399" s="15" t="s">
        <v>887</v>
      </c>
      <c r="D399" s="15" t="s">
        <v>2803</v>
      </c>
      <c r="E399" s="13">
        <v>4375</v>
      </c>
      <c r="F399" s="13" t="s">
        <v>100</v>
      </c>
      <c r="G399" s="51">
        <v>18</v>
      </c>
      <c r="H399" s="14">
        <f t="shared" si="12"/>
        <v>78750</v>
      </c>
      <c r="I399" s="13" t="s">
        <v>30</v>
      </c>
      <c r="J399" s="13">
        <v>0</v>
      </c>
    </row>
    <row r="400" spans="1:11" s="13" customFormat="1" ht="180" customHeight="1" x14ac:dyDescent="0.3">
      <c r="A400" s="15" t="s">
        <v>889</v>
      </c>
      <c r="B400" s="15" t="s">
        <v>30</v>
      </c>
      <c r="C400" s="15" t="s">
        <v>890</v>
      </c>
      <c r="D400" s="15" t="s">
        <v>891</v>
      </c>
      <c r="E400" s="13">
        <v>4375</v>
      </c>
      <c r="F400" s="13" t="s">
        <v>100</v>
      </c>
      <c r="G400" s="54" t="s">
        <v>2806</v>
      </c>
      <c r="H400" s="16" t="s">
        <v>2800</v>
      </c>
      <c r="I400" s="13" t="s">
        <v>30</v>
      </c>
      <c r="J400" s="13">
        <v>0</v>
      </c>
    </row>
    <row r="401" spans="1:10" s="13" customFormat="1" ht="115.8" customHeight="1" x14ac:dyDescent="0.3">
      <c r="A401" s="15" t="s">
        <v>892</v>
      </c>
      <c r="B401" s="15" t="s">
        <v>30</v>
      </c>
      <c r="C401" s="15" t="s">
        <v>893</v>
      </c>
      <c r="D401" s="15" t="s">
        <v>894</v>
      </c>
      <c r="E401" s="13">
        <v>160</v>
      </c>
      <c r="F401" s="13" t="s">
        <v>100</v>
      </c>
      <c r="G401" s="34">
        <v>25</v>
      </c>
      <c r="H401" s="14">
        <f t="shared" si="12"/>
        <v>4000</v>
      </c>
      <c r="I401" s="13" t="s">
        <v>30</v>
      </c>
      <c r="J401" s="13">
        <v>0</v>
      </c>
    </row>
    <row r="402" spans="1:10" s="13" customFormat="1" ht="72" x14ac:dyDescent="0.3">
      <c r="A402" s="15" t="s">
        <v>895</v>
      </c>
      <c r="B402" s="15" t="s">
        <v>30</v>
      </c>
      <c r="C402" s="15" t="s">
        <v>896</v>
      </c>
      <c r="D402" s="15" t="s">
        <v>897</v>
      </c>
      <c r="E402" s="13">
        <v>310</v>
      </c>
      <c r="F402" s="13" t="s">
        <v>71</v>
      </c>
      <c r="G402" s="34">
        <v>15</v>
      </c>
      <c r="H402" s="14">
        <f t="shared" si="12"/>
        <v>4650</v>
      </c>
      <c r="I402" s="13" t="s">
        <v>30</v>
      </c>
      <c r="J402" s="13">
        <v>0</v>
      </c>
    </row>
    <row r="403" spans="1:10" s="13" customFormat="1" ht="28.8" x14ac:dyDescent="0.3">
      <c r="A403" s="15" t="s">
        <v>898</v>
      </c>
      <c r="B403" s="15" t="s">
        <v>30</v>
      </c>
      <c r="C403" s="15" t="s">
        <v>899</v>
      </c>
      <c r="D403" s="15" t="s">
        <v>900</v>
      </c>
      <c r="E403" s="13">
        <v>307</v>
      </c>
      <c r="F403" s="13" t="s">
        <v>100</v>
      </c>
      <c r="G403" s="34">
        <v>22</v>
      </c>
      <c r="H403" s="14">
        <f t="shared" si="12"/>
        <v>6754</v>
      </c>
      <c r="I403" s="13" t="s">
        <v>30</v>
      </c>
      <c r="J403" s="13">
        <v>0</v>
      </c>
    </row>
    <row r="404" spans="1:10" s="13" customFormat="1" ht="242.25" customHeight="1" x14ac:dyDescent="0.3">
      <c r="A404" s="15" t="s">
        <v>901</v>
      </c>
      <c r="B404" s="15" t="s">
        <v>30</v>
      </c>
      <c r="C404" s="15" t="s">
        <v>902</v>
      </c>
      <c r="D404" s="15" t="s">
        <v>903</v>
      </c>
      <c r="E404" s="13">
        <v>1</v>
      </c>
      <c r="F404" s="13" t="s">
        <v>691</v>
      </c>
      <c r="G404" s="34">
        <v>9441</v>
      </c>
      <c r="H404" s="14">
        <f t="shared" si="12"/>
        <v>9441</v>
      </c>
      <c r="I404" s="13" t="s">
        <v>30</v>
      </c>
      <c r="J404" s="13">
        <v>0</v>
      </c>
    </row>
    <row r="405" spans="1:10" s="11" customFormat="1" ht="28.8" x14ac:dyDescent="0.3">
      <c r="A405" s="20" t="s">
        <v>904</v>
      </c>
      <c r="B405" s="20"/>
      <c r="C405" s="20" t="s">
        <v>905</v>
      </c>
      <c r="D405" s="20"/>
      <c r="G405" s="38"/>
      <c r="H405" s="12"/>
    </row>
    <row r="406" spans="1:10" s="11" customFormat="1" ht="28.8" x14ac:dyDescent="0.3">
      <c r="A406" s="20" t="s">
        <v>906</v>
      </c>
      <c r="B406" s="20"/>
      <c r="C406" s="20" t="s">
        <v>907</v>
      </c>
      <c r="D406" s="20"/>
      <c r="G406" s="38"/>
      <c r="H406" s="12"/>
    </row>
    <row r="407" spans="1:10" s="11" customFormat="1" x14ac:dyDescent="0.3">
      <c r="A407" s="20" t="s">
        <v>908</v>
      </c>
      <c r="B407" s="20"/>
      <c r="C407" s="20" t="s">
        <v>909</v>
      </c>
      <c r="D407" s="20"/>
      <c r="G407" s="38"/>
      <c r="H407" s="12">
        <f>SUM(H408:H413)</f>
        <v>2180</v>
      </c>
    </row>
    <row r="408" spans="1:10" s="13" customFormat="1" ht="288.75" customHeight="1" x14ac:dyDescent="0.3">
      <c r="A408" s="15" t="s">
        <v>910</v>
      </c>
      <c r="B408" s="15" t="s">
        <v>30</v>
      </c>
      <c r="C408" s="15" t="s">
        <v>911</v>
      </c>
      <c r="D408" s="15" t="s">
        <v>912</v>
      </c>
      <c r="E408" s="13">
        <v>13</v>
      </c>
      <c r="F408" s="13" t="s">
        <v>100</v>
      </c>
      <c r="G408" s="40">
        <v>80</v>
      </c>
      <c r="H408" s="14">
        <f t="shared" ref="H408:H413" si="13">IF(AND(ISNUMBER(E408),ISNUMBER(G408)),ROUND(PRODUCT(PRODUCT(E408, G408), 1 - J408), 2),"")</f>
        <v>1040</v>
      </c>
      <c r="I408" s="13" t="s">
        <v>30</v>
      </c>
      <c r="J408" s="13">
        <v>0</v>
      </c>
    </row>
    <row r="409" spans="1:10" s="13" customFormat="1" ht="100.8" x14ac:dyDescent="0.3">
      <c r="A409" s="15" t="s">
        <v>913</v>
      </c>
      <c r="B409" s="15" t="s">
        <v>30</v>
      </c>
      <c r="C409" s="15" t="s">
        <v>914</v>
      </c>
      <c r="D409" s="15" t="s">
        <v>915</v>
      </c>
      <c r="E409" s="13">
        <v>15</v>
      </c>
      <c r="F409" s="13" t="s">
        <v>643</v>
      </c>
      <c r="G409" s="40">
        <v>30</v>
      </c>
      <c r="H409" s="14">
        <f t="shared" si="13"/>
        <v>450</v>
      </c>
      <c r="I409" s="13" t="s">
        <v>30</v>
      </c>
      <c r="J409" s="13">
        <v>0</v>
      </c>
    </row>
    <row r="410" spans="1:10" s="13" customFormat="1" ht="86.4" x14ac:dyDescent="0.3">
      <c r="A410" s="15" t="s">
        <v>916</v>
      </c>
      <c r="B410" s="15" t="s">
        <v>30</v>
      </c>
      <c r="C410" s="15" t="s">
        <v>917</v>
      </c>
      <c r="D410" s="15" t="s">
        <v>918</v>
      </c>
      <c r="E410" s="13">
        <v>15</v>
      </c>
      <c r="F410" s="13" t="s">
        <v>643</v>
      </c>
      <c r="G410" s="40">
        <v>10</v>
      </c>
      <c r="H410" s="14">
        <f t="shared" si="13"/>
        <v>150</v>
      </c>
      <c r="I410" s="13" t="s">
        <v>30</v>
      </c>
      <c r="J410" s="13">
        <v>0</v>
      </c>
    </row>
    <row r="411" spans="1:10" s="13" customFormat="1" ht="108.75" customHeight="1" x14ac:dyDescent="0.3">
      <c r="A411" s="15" t="s">
        <v>919</v>
      </c>
      <c r="B411" s="15" t="s">
        <v>30</v>
      </c>
      <c r="C411" s="15" t="s">
        <v>920</v>
      </c>
      <c r="D411" s="15" t="s">
        <v>921</v>
      </c>
      <c r="E411" s="13">
        <v>1</v>
      </c>
      <c r="F411" s="13" t="s">
        <v>60</v>
      </c>
      <c r="G411" s="40">
        <v>40</v>
      </c>
      <c r="H411" s="14">
        <f t="shared" si="13"/>
        <v>40</v>
      </c>
      <c r="I411" s="13" t="s">
        <v>30</v>
      </c>
      <c r="J411" s="13">
        <v>0</v>
      </c>
    </row>
    <row r="412" spans="1:10" s="13" customFormat="1" ht="144" x14ac:dyDescent="0.3">
      <c r="A412" s="15" t="s">
        <v>922</v>
      </c>
      <c r="B412" s="15" t="s">
        <v>30</v>
      </c>
      <c r="C412" s="15" t="s">
        <v>923</v>
      </c>
      <c r="D412" s="15" t="s">
        <v>924</v>
      </c>
      <c r="E412" s="13">
        <v>15.5</v>
      </c>
      <c r="F412" s="13" t="s">
        <v>100</v>
      </c>
      <c r="G412" s="40">
        <v>25</v>
      </c>
      <c r="H412" s="14">
        <f t="shared" si="13"/>
        <v>387.5</v>
      </c>
      <c r="I412" s="13" t="s">
        <v>30</v>
      </c>
      <c r="J412" s="13">
        <v>0</v>
      </c>
    </row>
    <row r="413" spans="1:10" s="13" customFormat="1" ht="57.6" x14ac:dyDescent="0.3">
      <c r="A413" s="15" t="s">
        <v>925</v>
      </c>
      <c r="B413" s="15" t="s">
        <v>30</v>
      </c>
      <c r="C413" s="15" t="s">
        <v>926</v>
      </c>
      <c r="D413" s="15" t="s">
        <v>927</v>
      </c>
      <c r="E413" s="13">
        <v>15</v>
      </c>
      <c r="F413" s="13" t="s">
        <v>643</v>
      </c>
      <c r="G413" s="40">
        <v>7.5</v>
      </c>
      <c r="H413" s="14">
        <f t="shared" si="13"/>
        <v>112.5</v>
      </c>
      <c r="I413" s="13" t="s">
        <v>30</v>
      </c>
      <c r="J413" s="13">
        <v>0</v>
      </c>
    </row>
    <row r="414" spans="1:10" s="11" customFormat="1" x14ac:dyDescent="0.3">
      <c r="A414" s="20" t="s">
        <v>928</v>
      </c>
      <c r="B414" s="20"/>
      <c r="C414" s="20" t="s">
        <v>791</v>
      </c>
      <c r="D414" s="20"/>
      <c r="G414" s="38"/>
      <c r="H414" s="12">
        <f>SUM(H415:H421)</f>
        <v>10450</v>
      </c>
    </row>
    <row r="415" spans="1:10" s="13" customFormat="1" ht="129.6" x14ac:dyDescent="0.3">
      <c r="A415" s="15" t="s">
        <v>929</v>
      </c>
      <c r="B415" s="15" t="s">
        <v>30</v>
      </c>
      <c r="C415" s="15" t="s">
        <v>930</v>
      </c>
      <c r="D415" s="15" t="s">
        <v>931</v>
      </c>
      <c r="E415" s="13">
        <v>15</v>
      </c>
      <c r="F415" s="13" t="s">
        <v>60</v>
      </c>
      <c r="G415" s="40">
        <v>150</v>
      </c>
      <c r="H415" s="14">
        <f t="shared" ref="H415:H421" si="14">IF(AND(ISNUMBER(E415),ISNUMBER(G415)),ROUND(PRODUCT(PRODUCT(E415, G415), 1 - J415), 2),"")</f>
        <v>2250</v>
      </c>
      <c r="I415" s="13" t="s">
        <v>30</v>
      </c>
      <c r="J415" s="13">
        <v>0</v>
      </c>
    </row>
    <row r="416" spans="1:10" s="13" customFormat="1" ht="100.8" x14ac:dyDescent="0.3">
      <c r="A416" s="15" t="s">
        <v>932</v>
      </c>
      <c r="B416" s="15" t="s">
        <v>30</v>
      </c>
      <c r="C416" s="15" t="s">
        <v>933</v>
      </c>
      <c r="D416" s="15" t="s">
        <v>934</v>
      </c>
      <c r="E416" s="13">
        <v>35</v>
      </c>
      <c r="F416" s="13" t="s">
        <v>60</v>
      </c>
      <c r="G416" s="40">
        <v>40</v>
      </c>
      <c r="H416" s="14">
        <f t="shared" si="14"/>
        <v>1400</v>
      </c>
      <c r="I416" s="13" t="s">
        <v>30</v>
      </c>
      <c r="J416" s="13">
        <v>0</v>
      </c>
    </row>
    <row r="417" spans="1:11" s="13" customFormat="1" ht="100.8" x14ac:dyDescent="0.3">
      <c r="A417" s="15" t="s">
        <v>935</v>
      </c>
      <c r="B417" s="15" t="s">
        <v>30</v>
      </c>
      <c r="C417" s="15" t="s">
        <v>936</v>
      </c>
      <c r="D417" s="15" t="s">
        <v>937</v>
      </c>
      <c r="E417" s="13">
        <v>15</v>
      </c>
      <c r="F417" s="13" t="s">
        <v>60</v>
      </c>
      <c r="G417" s="40">
        <v>60</v>
      </c>
      <c r="H417" s="14">
        <f t="shared" si="14"/>
        <v>900</v>
      </c>
      <c r="I417" s="13" t="s">
        <v>30</v>
      </c>
      <c r="J417" s="13">
        <v>0</v>
      </c>
    </row>
    <row r="418" spans="1:11" s="13" customFormat="1" ht="100.8" x14ac:dyDescent="0.3">
      <c r="A418" s="15" t="s">
        <v>938</v>
      </c>
      <c r="B418" s="15" t="s">
        <v>30</v>
      </c>
      <c r="C418" s="15" t="s">
        <v>939</v>
      </c>
      <c r="D418" s="15" t="s">
        <v>940</v>
      </c>
      <c r="E418" s="13">
        <v>5</v>
      </c>
      <c r="F418" s="13" t="s">
        <v>60</v>
      </c>
      <c r="G418" s="40">
        <v>60</v>
      </c>
      <c r="H418" s="14">
        <f t="shared" si="14"/>
        <v>300</v>
      </c>
      <c r="I418" s="13" t="s">
        <v>30</v>
      </c>
      <c r="J418" s="13">
        <v>0</v>
      </c>
    </row>
    <row r="419" spans="1:11" s="13" customFormat="1" ht="43.2" x14ac:dyDescent="0.3">
      <c r="A419" s="15" t="s">
        <v>941</v>
      </c>
      <c r="B419" s="15" t="s">
        <v>30</v>
      </c>
      <c r="C419" s="15" t="s">
        <v>942</v>
      </c>
      <c r="D419" s="15" t="s">
        <v>943</v>
      </c>
      <c r="E419" s="13">
        <v>1200</v>
      </c>
      <c r="F419" s="13" t="s">
        <v>60</v>
      </c>
      <c r="G419" s="40">
        <v>3</v>
      </c>
      <c r="H419" s="14">
        <f t="shared" si="14"/>
        <v>3600</v>
      </c>
      <c r="I419" s="13" t="s">
        <v>30</v>
      </c>
      <c r="J419" s="13">
        <v>0</v>
      </c>
    </row>
    <row r="420" spans="1:11" s="13" customFormat="1" ht="43.2" x14ac:dyDescent="0.3">
      <c r="A420" s="15" t="s">
        <v>944</v>
      </c>
      <c r="B420" s="15" t="s">
        <v>30</v>
      </c>
      <c r="C420" s="15" t="s">
        <v>945</v>
      </c>
      <c r="D420" s="15" t="s">
        <v>946</v>
      </c>
      <c r="E420" s="13">
        <v>32</v>
      </c>
      <c r="F420" s="13" t="s">
        <v>60</v>
      </c>
      <c r="G420" s="40">
        <v>40</v>
      </c>
      <c r="H420" s="14">
        <f t="shared" si="14"/>
        <v>1280</v>
      </c>
      <c r="I420" s="13" t="s">
        <v>30</v>
      </c>
      <c r="J420" s="13">
        <v>0</v>
      </c>
    </row>
    <row r="421" spans="1:11" s="13" customFormat="1" ht="57.6" x14ac:dyDescent="0.3">
      <c r="A421" s="15" t="s">
        <v>947</v>
      </c>
      <c r="B421" s="15" t="s">
        <v>30</v>
      </c>
      <c r="C421" s="15" t="s">
        <v>948</v>
      </c>
      <c r="D421" s="15" t="s">
        <v>2805</v>
      </c>
      <c r="E421" s="13">
        <v>18</v>
      </c>
      <c r="F421" s="13" t="s">
        <v>60</v>
      </c>
      <c r="G421" s="40">
        <v>40</v>
      </c>
      <c r="H421" s="14">
        <f t="shared" si="14"/>
        <v>720</v>
      </c>
      <c r="I421" s="13" t="s">
        <v>30</v>
      </c>
      <c r="J421" s="13">
        <v>0</v>
      </c>
    </row>
    <row r="422" spans="1:11" s="11" customFormat="1" x14ac:dyDescent="0.3">
      <c r="A422" s="20" t="s">
        <v>949</v>
      </c>
      <c r="B422" s="20"/>
      <c r="C422" s="20" t="s">
        <v>950</v>
      </c>
      <c r="D422" s="20"/>
      <c r="G422" s="38"/>
      <c r="H422" s="12">
        <f>SUM(H423,H424,H425)</f>
        <v>8200</v>
      </c>
    </row>
    <row r="423" spans="1:11" s="13" customFormat="1" ht="118.8" customHeight="1" x14ac:dyDescent="0.3">
      <c r="A423" s="15" t="s">
        <v>951</v>
      </c>
      <c r="B423" s="15" t="s">
        <v>30</v>
      </c>
      <c r="C423" s="15" t="s">
        <v>952</v>
      </c>
      <c r="D423" s="15" t="s">
        <v>2814</v>
      </c>
      <c r="E423" s="13">
        <v>32</v>
      </c>
      <c r="F423" s="13" t="s">
        <v>60</v>
      </c>
      <c r="G423" s="40">
        <v>225</v>
      </c>
      <c r="H423" s="14">
        <f>IF(AND(ISNUMBER(E423),ISNUMBER(G423)),ROUND(PRODUCT(PRODUCT(E423, G423), 1 - J423), 2),"")</f>
        <v>7200</v>
      </c>
      <c r="I423" s="13" t="s">
        <v>30</v>
      </c>
      <c r="J423" s="13">
        <v>0</v>
      </c>
    </row>
    <row r="424" spans="1:11" s="13" customFormat="1" ht="120.75" customHeight="1" x14ac:dyDescent="0.3">
      <c r="A424" s="52" t="s">
        <v>953</v>
      </c>
      <c r="B424" s="52" t="s">
        <v>30</v>
      </c>
      <c r="C424" s="52" t="s">
        <v>954</v>
      </c>
      <c r="D424" s="52" t="s">
        <v>2804</v>
      </c>
      <c r="E424" s="53">
        <v>306</v>
      </c>
      <c r="F424" s="53" t="s">
        <v>71</v>
      </c>
      <c r="G424" s="54" t="s">
        <v>2813</v>
      </c>
      <c r="H424" s="55" t="s">
        <v>2800</v>
      </c>
      <c r="I424" s="13" t="s">
        <v>30</v>
      </c>
      <c r="J424" s="13">
        <v>0</v>
      </c>
      <c r="K424" s="22"/>
    </row>
    <row r="425" spans="1:11" s="13" customFormat="1" ht="129.6" x14ac:dyDescent="0.3">
      <c r="A425" s="15" t="s">
        <v>955</v>
      </c>
      <c r="B425" s="15" t="s">
        <v>30</v>
      </c>
      <c r="C425" s="15" t="s">
        <v>956</v>
      </c>
      <c r="D425" s="15" t="s">
        <v>957</v>
      </c>
      <c r="E425" s="13">
        <v>1</v>
      </c>
      <c r="F425" s="13" t="s">
        <v>60</v>
      </c>
      <c r="G425" s="40">
        <v>1000</v>
      </c>
      <c r="H425" s="14">
        <f>IF(AND(ISNUMBER(E425),ISNUMBER(G425)),ROUND(PRODUCT(PRODUCT(E425, G425), 1 - J425), 2),"")</f>
        <v>1000</v>
      </c>
      <c r="I425" s="13" t="s">
        <v>30</v>
      </c>
      <c r="J425" s="13">
        <v>0</v>
      </c>
    </row>
    <row r="426" spans="1:11" s="11" customFormat="1" x14ac:dyDescent="0.3">
      <c r="A426" s="20" t="s">
        <v>958</v>
      </c>
      <c r="B426" s="20"/>
      <c r="C426" s="20" t="s">
        <v>959</v>
      </c>
      <c r="D426" s="20"/>
      <c r="G426" s="38"/>
      <c r="H426" s="12">
        <f>SUM(H427)</f>
        <v>1700</v>
      </c>
    </row>
    <row r="427" spans="1:11" s="13" customFormat="1" ht="57.6" x14ac:dyDescent="0.3">
      <c r="A427" s="15" t="s">
        <v>960</v>
      </c>
      <c r="B427" s="15" t="s">
        <v>30</v>
      </c>
      <c r="C427" s="15" t="s">
        <v>961</v>
      </c>
      <c r="D427" s="15" t="s">
        <v>962</v>
      </c>
      <c r="E427" s="13">
        <v>340</v>
      </c>
      <c r="F427" s="13" t="s">
        <v>71</v>
      </c>
      <c r="G427" s="41">
        <v>5</v>
      </c>
      <c r="H427" s="14">
        <f>IF(AND(ISNUMBER(E427),ISNUMBER(G427)),ROUND(PRODUCT(PRODUCT(E427, G427), 1 - J427), 2),"")</f>
        <v>1700</v>
      </c>
      <c r="I427" s="13" t="s">
        <v>30</v>
      </c>
      <c r="J427" s="13">
        <v>0</v>
      </c>
    </row>
    <row r="428" spans="1:11" s="11" customFormat="1" x14ac:dyDescent="0.3">
      <c r="A428" s="20" t="s">
        <v>963</v>
      </c>
      <c r="B428" s="20"/>
      <c r="C428" s="20" t="s">
        <v>79</v>
      </c>
      <c r="D428" s="20"/>
      <c r="G428" s="38"/>
      <c r="H428" s="12">
        <f>SUM(H429,H430,H431)</f>
        <v>4600</v>
      </c>
    </row>
    <row r="429" spans="1:11" s="13" customFormat="1" ht="43.2" x14ac:dyDescent="0.3">
      <c r="A429" s="15" t="s">
        <v>964</v>
      </c>
      <c r="B429" s="15" t="s">
        <v>30</v>
      </c>
      <c r="C429" s="15" t="s">
        <v>965</v>
      </c>
      <c r="D429" s="15" t="s">
        <v>966</v>
      </c>
      <c r="E429" s="13">
        <v>4375</v>
      </c>
      <c r="F429" s="13" t="s">
        <v>100</v>
      </c>
      <c r="G429" s="40">
        <v>0.8</v>
      </c>
      <c r="H429" s="14">
        <f>IF(AND(ISNUMBER(E429),ISNUMBER(G429)),ROUND(PRODUCT(PRODUCT(E429, G429), 1 - J429), 2),"")</f>
        <v>3500</v>
      </c>
      <c r="I429" s="13" t="s">
        <v>30</v>
      </c>
      <c r="J429" s="13">
        <v>0</v>
      </c>
    </row>
    <row r="430" spans="1:11" s="13" customFormat="1" ht="28.8" x14ac:dyDescent="0.3">
      <c r="A430" s="15" t="s">
        <v>967</v>
      </c>
      <c r="B430" s="15" t="s">
        <v>30</v>
      </c>
      <c r="C430" s="15" t="s">
        <v>968</v>
      </c>
      <c r="D430" s="15" t="s">
        <v>969</v>
      </c>
      <c r="E430" s="13">
        <v>1</v>
      </c>
      <c r="F430" s="13" t="s">
        <v>60</v>
      </c>
      <c r="G430" s="41">
        <v>300</v>
      </c>
      <c r="H430" s="14">
        <f t="shared" ref="H430:H431" si="15">IF(AND(ISNUMBER(E430),ISNUMBER(G430)),ROUND(PRODUCT(PRODUCT(E430, G430), 1 - J430), 2),"")</f>
        <v>300</v>
      </c>
      <c r="I430" s="13" t="s">
        <v>30</v>
      </c>
      <c r="J430" s="13">
        <v>0</v>
      </c>
    </row>
    <row r="431" spans="1:11" s="13" customFormat="1" ht="57.6" x14ac:dyDescent="0.3">
      <c r="A431" s="15" t="s">
        <v>970</v>
      </c>
      <c r="B431" s="15" t="s">
        <v>30</v>
      </c>
      <c r="C431" s="15" t="s">
        <v>971</v>
      </c>
      <c r="D431" s="15" t="s">
        <v>972</v>
      </c>
      <c r="E431" s="13">
        <v>8</v>
      </c>
      <c r="F431" s="13" t="s">
        <v>100</v>
      </c>
      <c r="G431" s="41">
        <v>100</v>
      </c>
      <c r="H431" s="14">
        <f t="shared" si="15"/>
        <v>800</v>
      </c>
      <c r="I431" s="13" t="s">
        <v>30</v>
      </c>
      <c r="J431" s="13">
        <v>0</v>
      </c>
    </row>
    <row r="432" spans="1:11" s="11" customFormat="1" hidden="1" x14ac:dyDescent="0.3">
      <c r="A432" s="20" t="s">
        <v>973</v>
      </c>
      <c r="B432" s="20"/>
      <c r="C432" s="20" t="s">
        <v>974</v>
      </c>
      <c r="D432" s="20"/>
      <c r="G432" s="38"/>
      <c r="H432" s="12">
        <f>SUM(H433,H434,H435,H436,H437,H438,H439)</f>
        <v>0</v>
      </c>
    </row>
    <row r="433" spans="1:9" s="11" customFormat="1" hidden="1" x14ac:dyDescent="0.3">
      <c r="A433" s="20" t="s">
        <v>975</v>
      </c>
      <c r="B433" s="20"/>
      <c r="C433" s="20" t="s">
        <v>83</v>
      </c>
      <c r="D433" s="20"/>
      <c r="G433" s="38"/>
      <c r="H433" s="12">
        <v>0</v>
      </c>
    </row>
    <row r="434" spans="1:9" s="11" customFormat="1" hidden="1" x14ac:dyDescent="0.3">
      <c r="A434" s="20" t="s">
        <v>976</v>
      </c>
      <c r="B434" s="20"/>
      <c r="C434" s="20" t="s">
        <v>977</v>
      </c>
      <c r="D434" s="20"/>
      <c r="G434" s="38"/>
      <c r="H434" s="12">
        <v>0</v>
      </c>
    </row>
    <row r="435" spans="1:9" s="11" customFormat="1" hidden="1" x14ac:dyDescent="0.3">
      <c r="A435" s="20" t="s">
        <v>978</v>
      </c>
      <c r="B435" s="20"/>
      <c r="C435" s="20" t="s">
        <v>979</v>
      </c>
      <c r="D435" s="20"/>
      <c r="G435" s="38"/>
      <c r="H435" s="12">
        <v>0</v>
      </c>
    </row>
    <row r="436" spans="1:9" s="11" customFormat="1" hidden="1" x14ac:dyDescent="0.3">
      <c r="A436" s="20" t="s">
        <v>980</v>
      </c>
      <c r="B436" s="20"/>
      <c r="C436" s="20" t="s">
        <v>981</v>
      </c>
      <c r="D436" s="20"/>
      <c r="G436" s="38"/>
      <c r="H436" s="12">
        <v>0</v>
      </c>
    </row>
    <row r="437" spans="1:9" s="11" customFormat="1" hidden="1" x14ac:dyDescent="0.3">
      <c r="A437" s="20" t="s">
        <v>982</v>
      </c>
      <c r="B437" s="20"/>
      <c r="C437" s="20" t="s">
        <v>79</v>
      </c>
      <c r="D437" s="20"/>
      <c r="G437" s="38"/>
      <c r="H437" s="12">
        <v>0</v>
      </c>
    </row>
    <row r="438" spans="1:9" s="11" customFormat="1" hidden="1" x14ac:dyDescent="0.3">
      <c r="A438" s="20" t="s">
        <v>983</v>
      </c>
      <c r="B438" s="20"/>
      <c r="C438" s="20" t="s">
        <v>810</v>
      </c>
      <c r="D438" s="20"/>
      <c r="G438" s="38"/>
      <c r="H438" s="12">
        <v>0</v>
      </c>
    </row>
    <row r="439" spans="1:9" s="11" customFormat="1" hidden="1" x14ac:dyDescent="0.3">
      <c r="A439" s="20" t="s">
        <v>984</v>
      </c>
      <c r="B439" s="20"/>
      <c r="C439" s="20" t="s">
        <v>812</v>
      </c>
      <c r="D439" s="20"/>
      <c r="G439" s="38"/>
      <c r="H439" s="12">
        <v>0</v>
      </c>
    </row>
    <row r="440" spans="1:9" s="11" customFormat="1" hidden="1" x14ac:dyDescent="0.3">
      <c r="A440" s="20" t="s">
        <v>985</v>
      </c>
      <c r="B440" s="20"/>
      <c r="C440" s="20" t="s">
        <v>986</v>
      </c>
      <c r="D440" s="20"/>
      <c r="G440" s="38"/>
      <c r="H440" s="12">
        <f>SUM(H441,H442,H443,H444)</f>
        <v>0</v>
      </c>
    </row>
    <row r="441" spans="1:9" s="11" customFormat="1" hidden="1" x14ac:dyDescent="0.3">
      <c r="A441" s="20" t="s">
        <v>987</v>
      </c>
      <c r="B441" s="20"/>
      <c r="C441" s="20" t="s">
        <v>83</v>
      </c>
      <c r="D441" s="20"/>
      <c r="G441" s="38"/>
      <c r="H441" s="12">
        <v>0</v>
      </c>
    </row>
    <row r="442" spans="1:9" s="11" customFormat="1" hidden="1" x14ac:dyDescent="0.3">
      <c r="A442" s="20" t="s">
        <v>988</v>
      </c>
      <c r="B442" s="20"/>
      <c r="C442" s="20" t="s">
        <v>989</v>
      </c>
      <c r="D442" s="20"/>
      <c r="G442" s="38"/>
      <c r="H442" s="12">
        <v>0</v>
      </c>
    </row>
    <row r="443" spans="1:9" s="11" customFormat="1" hidden="1" x14ac:dyDescent="0.3">
      <c r="A443" s="20" t="s">
        <v>990</v>
      </c>
      <c r="B443" s="20"/>
      <c r="C443" s="20" t="s">
        <v>991</v>
      </c>
      <c r="D443" s="20"/>
      <c r="G443" s="38"/>
      <c r="H443" s="12">
        <v>0</v>
      </c>
    </row>
    <row r="444" spans="1:9" s="11" customFormat="1" hidden="1" x14ac:dyDescent="0.3">
      <c r="A444" s="20" t="s">
        <v>992</v>
      </c>
      <c r="B444" s="20"/>
      <c r="C444" s="20" t="s">
        <v>79</v>
      </c>
      <c r="D444" s="20"/>
      <c r="G444" s="38"/>
      <c r="H444" s="12">
        <v>0</v>
      </c>
    </row>
    <row r="445" spans="1:9" s="11" customFormat="1" hidden="1" x14ac:dyDescent="0.3">
      <c r="A445" s="20" t="s">
        <v>993</v>
      </c>
      <c r="B445" s="20"/>
      <c r="C445" s="20" t="s">
        <v>994</v>
      </c>
      <c r="D445" s="20"/>
      <c r="G445" s="38"/>
      <c r="H445" s="12">
        <f>SUM(H446,H449,H450,H458,H461,H462,H463)</f>
        <v>0</v>
      </c>
    </row>
    <row r="446" spans="1:9" s="11" customFormat="1" hidden="1" x14ac:dyDescent="0.3">
      <c r="A446" s="20" t="s">
        <v>995</v>
      </c>
      <c r="B446" s="20"/>
      <c r="C446" s="20" t="s">
        <v>83</v>
      </c>
      <c r="D446" s="20"/>
      <c r="G446" s="38"/>
      <c r="H446" s="12">
        <v>0</v>
      </c>
    </row>
    <row r="447" spans="1:9" s="13" customFormat="1" ht="409.6" hidden="1" x14ac:dyDescent="0.3">
      <c r="A447" s="15"/>
      <c r="B447" s="15"/>
      <c r="C447" s="15" t="s">
        <v>28</v>
      </c>
      <c r="D447" s="15" t="s">
        <v>29</v>
      </c>
      <c r="G447" s="39"/>
      <c r="I447" s="13" t="s">
        <v>30</v>
      </c>
    </row>
    <row r="448" spans="1:9" s="13" customFormat="1" ht="144" hidden="1" x14ac:dyDescent="0.3">
      <c r="A448" s="15"/>
      <c r="B448" s="15"/>
      <c r="C448" s="15" t="s">
        <v>996</v>
      </c>
      <c r="D448" s="15" t="s">
        <v>997</v>
      </c>
      <c r="G448" s="39"/>
      <c r="I448" s="13" t="s">
        <v>30</v>
      </c>
    </row>
    <row r="449" spans="1:10" s="11" customFormat="1" hidden="1" x14ac:dyDescent="0.3">
      <c r="A449" s="20" t="s">
        <v>998</v>
      </c>
      <c r="B449" s="20"/>
      <c r="C449" s="20" t="s">
        <v>999</v>
      </c>
      <c r="D449" s="20"/>
      <c r="G449" s="38"/>
      <c r="H449" s="12">
        <v>0</v>
      </c>
    </row>
    <row r="450" spans="1:10" s="11" customFormat="1" hidden="1" x14ac:dyDescent="0.3">
      <c r="A450" s="20" t="s">
        <v>1000</v>
      </c>
      <c r="B450" s="20"/>
      <c r="C450" s="20" t="s">
        <v>1001</v>
      </c>
      <c r="D450" s="20"/>
      <c r="G450" s="38"/>
      <c r="H450" s="12">
        <f>SUM(H453,H454,H455,H456,H457)</f>
        <v>0</v>
      </c>
    </row>
    <row r="451" spans="1:10" s="13" customFormat="1" ht="388.8" hidden="1" x14ac:dyDescent="0.3">
      <c r="A451" s="15"/>
      <c r="B451" s="15"/>
      <c r="C451" s="15" t="s">
        <v>1002</v>
      </c>
      <c r="D451" s="15" t="s">
        <v>1003</v>
      </c>
      <c r="G451" s="39"/>
      <c r="I451" s="13" t="s">
        <v>30</v>
      </c>
    </row>
    <row r="452" spans="1:10" s="13" customFormat="1" ht="316.8" hidden="1" x14ac:dyDescent="0.3">
      <c r="A452" s="15"/>
      <c r="B452" s="15"/>
      <c r="C452" s="15" t="s">
        <v>1004</v>
      </c>
      <c r="D452" s="15" t="s">
        <v>1005</v>
      </c>
      <c r="G452" s="39"/>
      <c r="I452" s="13" t="s">
        <v>30</v>
      </c>
    </row>
    <row r="453" spans="1:10" s="13" customFormat="1" ht="302.39999999999998" hidden="1" x14ac:dyDescent="0.3">
      <c r="A453" s="15" t="s">
        <v>1006</v>
      </c>
      <c r="B453" s="15" t="s">
        <v>30</v>
      </c>
      <c r="C453" s="15" t="s">
        <v>1004</v>
      </c>
      <c r="D453" s="15" t="s">
        <v>1007</v>
      </c>
      <c r="E453" s="13">
        <v>1510</v>
      </c>
      <c r="F453" s="13" t="s">
        <v>100</v>
      </c>
      <c r="G453" s="40"/>
      <c r="H453" s="14" t="str">
        <f>IF(AND(ISNUMBER(E453),ISNUMBER(G453)),ROUND(PRODUCT(PRODUCT(E453, G453), 1 - J453), 2),"")</f>
        <v/>
      </c>
      <c r="I453" s="13" t="s">
        <v>30</v>
      </c>
      <c r="J453" s="13">
        <v>0</v>
      </c>
    </row>
    <row r="454" spans="1:10" s="13" customFormat="1" ht="115.2" hidden="1" x14ac:dyDescent="0.3">
      <c r="A454" s="15" t="s">
        <v>1008</v>
      </c>
      <c r="B454" s="15" t="s">
        <v>30</v>
      </c>
      <c r="C454" s="15" t="s">
        <v>1009</v>
      </c>
      <c r="D454" s="15" t="s">
        <v>1010</v>
      </c>
      <c r="E454" s="13">
        <v>335</v>
      </c>
      <c r="F454" s="13" t="s">
        <v>100</v>
      </c>
      <c r="G454" s="40"/>
      <c r="H454" s="14" t="str">
        <f>IF(AND(ISNUMBER(E454),ISNUMBER(G454)),ROUND(PRODUCT(PRODUCT(E454, G454), 1 - J454), 2),"")</f>
        <v/>
      </c>
      <c r="I454" s="13" t="s">
        <v>30</v>
      </c>
      <c r="J454" s="13">
        <v>0</v>
      </c>
    </row>
    <row r="455" spans="1:10" s="13" customFormat="1" ht="129.6" hidden="1" x14ac:dyDescent="0.3">
      <c r="A455" s="15" t="s">
        <v>1011</v>
      </c>
      <c r="B455" s="15" t="s">
        <v>30</v>
      </c>
      <c r="C455" s="15" t="s">
        <v>1012</v>
      </c>
      <c r="D455" s="15" t="s">
        <v>1013</v>
      </c>
      <c r="E455" s="13">
        <v>344</v>
      </c>
      <c r="F455" s="13" t="s">
        <v>71</v>
      </c>
      <c r="G455" s="40"/>
      <c r="H455" s="14" t="str">
        <f>IF(AND(ISNUMBER(E455),ISNUMBER(G455)),ROUND(PRODUCT(PRODUCT(E455, G455), 1 - J455), 2),"")</f>
        <v/>
      </c>
      <c r="I455" s="13" t="s">
        <v>30</v>
      </c>
      <c r="J455" s="13">
        <v>0</v>
      </c>
    </row>
    <row r="456" spans="1:10" s="13" customFormat="1" ht="144" hidden="1" x14ac:dyDescent="0.3">
      <c r="A456" s="15" t="s">
        <v>1014</v>
      </c>
      <c r="B456" s="15" t="s">
        <v>30</v>
      </c>
      <c r="C456" s="15" t="s">
        <v>1015</v>
      </c>
      <c r="D456" s="15" t="s">
        <v>1016</v>
      </c>
      <c r="E456" s="13">
        <v>288</v>
      </c>
      <c r="F456" s="13" t="s">
        <v>71</v>
      </c>
      <c r="G456" s="40"/>
      <c r="H456" s="14" t="str">
        <f>IF(AND(ISNUMBER(E456),ISNUMBER(G456)),ROUND(PRODUCT(PRODUCT(E456, G456), 1 - J456), 2),"")</f>
        <v/>
      </c>
      <c r="I456" s="13" t="s">
        <v>30</v>
      </c>
      <c r="J456" s="13">
        <v>0</v>
      </c>
    </row>
    <row r="457" spans="1:10" s="13" customFormat="1" ht="216" hidden="1" x14ac:dyDescent="0.3">
      <c r="A457" s="15" t="s">
        <v>1017</v>
      </c>
      <c r="B457" s="15" t="s">
        <v>30</v>
      </c>
      <c r="C457" s="15" t="s">
        <v>1018</v>
      </c>
      <c r="D457" s="15" t="s">
        <v>1019</v>
      </c>
      <c r="E457" s="13">
        <v>250</v>
      </c>
      <c r="F457" s="13" t="s">
        <v>71</v>
      </c>
      <c r="G457" s="40"/>
      <c r="H457" s="14" t="str">
        <f>IF(AND(ISNUMBER(E457),ISNUMBER(G457)),ROUND(PRODUCT(PRODUCT(E457, G457), 1 - J457), 2),"")</f>
        <v/>
      </c>
      <c r="I457" s="13" t="s">
        <v>30</v>
      </c>
      <c r="J457" s="13">
        <v>0</v>
      </c>
    </row>
    <row r="458" spans="1:10" s="11" customFormat="1" hidden="1" x14ac:dyDescent="0.3">
      <c r="A458" s="20" t="s">
        <v>1020</v>
      </c>
      <c r="B458" s="20"/>
      <c r="C458" s="20" t="s">
        <v>1021</v>
      </c>
      <c r="D458" s="20"/>
      <c r="G458" s="38"/>
      <c r="H458" s="12">
        <f>SUM(H459,H460)</f>
        <v>0</v>
      </c>
    </row>
    <row r="459" spans="1:10" s="13" customFormat="1" ht="302.39999999999998" hidden="1" x14ac:dyDescent="0.3">
      <c r="A459" s="15" t="s">
        <v>1022</v>
      </c>
      <c r="B459" s="15" t="s">
        <v>30</v>
      </c>
      <c r="C459" s="15" t="s">
        <v>1023</v>
      </c>
      <c r="D459" s="15" t="s">
        <v>1024</v>
      </c>
      <c r="E459" s="13">
        <v>20.5</v>
      </c>
      <c r="F459" s="13" t="s">
        <v>100</v>
      </c>
      <c r="G459" s="40"/>
      <c r="H459" s="14" t="str">
        <f>IF(AND(ISNUMBER(E459),ISNUMBER(G459)),ROUND(PRODUCT(PRODUCT(E459, G459), 1 - J459), 2),"")</f>
        <v/>
      </c>
      <c r="I459" s="13" t="s">
        <v>30</v>
      </c>
      <c r="J459" s="13">
        <v>0</v>
      </c>
    </row>
    <row r="460" spans="1:10" s="13" customFormat="1" ht="86.4" hidden="1" x14ac:dyDescent="0.3">
      <c r="A460" s="15" t="s">
        <v>1025</v>
      </c>
      <c r="B460" s="15" t="s">
        <v>30</v>
      </c>
      <c r="C460" s="15" t="s">
        <v>1026</v>
      </c>
      <c r="D460" s="15" t="s">
        <v>1027</v>
      </c>
      <c r="E460" s="13">
        <v>16</v>
      </c>
      <c r="F460" s="13" t="s">
        <v>100</v>
      </c>
      <c r="G460" s="40"/>
      <c r="H460" s="14" t="str">
        <f>IF(AND(ISNUMBER(E460),ISNUMBER(G460)),ROUND(PRODUCT(PRODUCT(E460, G460), 1 - J460), 2),"")</f>
        <v/>
      </c>
      <c r="I460" s="13" t="s">
        <v>30</v>
      </c>
      <c r="J460" s="13">
        <v>0</v>
      </c>
    </row>
    <row r="461" spans="1:10" s="11" customFormat="1" hidden="1" x14ac:dyDescent="0.3">
      <c r="A461" s="20" t="s">
        <v>1028</v>
      </c>
      <c r="B461" s="20"/>
      <c r="C461" s="20" t="s">
        <v>1029</v>
      </c>
      <c r="D461" s="20"/>
      <c r="G461" s="38"/>
      <c r="H461" s="12">
        <v>0</v>
      </c>
    </row>
    <row r="462" spans="1:10" s="11" customFormat="1" ht="28.8" hidden="1" x14ac:dyDescent="0.3">
      <c r="A462" s="20" t="s">
        <v>1030</v>
      </c>
      <c r="B462" s="20"/>
      <c r="C462" s="20" t="s">
        <v>1031</v>
      </c>
      <c r="D462" s="20"/>
      <c r="G462" s="38"/>
      <c r="H462" s="12">
        <v>0</v>
      </c>
    </row>
    <row r="463" spans="1:10" s="11" customFormat="1" hidden="1" x14ac:dyDescent="0.3">
      <c r="A463" s="20" t="s">
        <v>1032</v>
      </c>
      <c r="B463" s="20"/>
      <c r="C463" s="20" t="s">
        <v>79</v>
      </c>
      <c r="D463" s="20"/>
      <c r="G463" s="38"/>
      <c r="H463" s="12">
        <v>0</v>
      </c>
    </row>
    <row r="464" spans="1:10" s="11" customFormat="1" hidden="1" x14ac:dyDescent="0.3">
      <c r="A464" s="20" t="s">
        <v>1033</v>
      </c>
      <c r="B464" s="20"/>
      <c r="C464" s="20" t="s">
        <v>1034</v>
      </c>
      <c r="D464" s="20"/>
      <c r="G464" s="38"/>
      <c r="H464" s="12">
        <f>SUM(H465,H468,H469,H470,H473)</f>
        <v>0</v>
      </c>
    </row>
    <row r="465" spans="1:10" s="11" customFormat="1" hidden="1" x14ac:dyDescent="0.3">
      <c r="A465" s="20" t="s">
        <v>1035</v>
      </c>
      <c r="B465" s="20"/>
      <c r="C465" s="20" t="s">
        <v>83</v>
      </c>
      <c r="D465" s="20"/>
      <c r="G465" s="38"/>
      <c r="H465" s="12">
        <v>0</v>
      </c>
    </row>
    <row r="466" spans="1:10" s="13" customFormat="1" ht="409.6" hidden="1" x14ac:dyDescent="0.3">
      <c r="A466" s="15"/>
      <c r="B466" s="15"/>
      <c r="C466" s="15" t="s">
        <v>28</v>
      </c>
      <c r="D466" s="15" t="s">
        <v>84</v>
      </c>
      <c r="G466" s="39"/>
      <c r="I466" s="13" t="s">
        <v>30</v>
      </c>
    </row>
    <row r="467" spans="1:10" s="13" customFormat="1" ht="43.2" hidden="1" x14ac:dyDescent="0.3">
      <c r="A467" s="15"/>
      <c r="B467" s="15"/>
      <c r="C467" s="15" t="s">
        <v>1036</v>
      </c>
      <c r="D467" s="15" t="s">
        <v>1037</v>
      </c>
      <c r="G467" s="39"/>
      <c r="I467" s="13" t="s">
        <v>30</v>
      </c>
    </row>
    <row r="468" spans="1:10" s="11" customFormat="1" hidden="1" x14ac:dyDescent="0.3">
      <c r="A468" s="20" t="s">
        <v>1038</v>
      </c>
      <c r="B468" s="20"/>
      <c r="C468" s="20" t="s">
        <v>1039</v>
      </c>
      <c r="D468" s="20"/>
      <c r="G468" s="38"/>
      <c r="H468" s="12">
        <v>0</v>
      </c>
    </row>
    <row r="469" spans="1:10" s="11" customFormat="1" hidden="1" x14ac:dyDescent="0.3">
      <c r="A469" s="20" t="s">
        <v>1040</v>
      </c>
      <c r="B469" s="20"/>
      <c r="C469" s="20" t="s">
        <v>1041</v>
      </c>
      <c r="D469" s="20"/>
      <c r="G469" s="38"/>
      <c r="H469" s="12">
        <v>0</v>
      </c>
    </row>
    <row r="470" spans="1:10" s="11" customFormat="1" hidden="1" x14ac:dyDescent="0.3">
      <c r="A470" s="20" t="s">
        <v>1042</v>
      </c>
      <c r="B470" s="20"/>
      <c r="C470" s="20" t="s">
        <v>1043</v>
      </c>
      <c r="D470" s="20"/>
      <c r="G470" s="38"/>
      <c r="H470" s="12">
        <f>SUM(H471,H472)</f>
        <v>0</v>
      </c>
    </row>
    <row r="471" spans="1:10" s="13" customFormat="1" ht="100.8" hidden="1" x14ac:dyDescent="0.3">
      <c r="A471" s="15" t="s">
        <v>1044</v>
      </c>
      <c r="B471" s="15" t="s">
        <v>30</v>
      </c>
      <c r="C471" s="15" t="s">
        <v>1045</v>
      </c>
      <c r="D471" s="15" t="s">
        <v>1046</v>
      </c>
      <c r="E471" s="13">
        <v>310</v>
      </c>
      <c r="F471" s="13" t="s">
        <v>71</v>
      </c>
      <c r="G471" s="40"/>
      <c r="H471" s="14" t="str">
        <f>IF(AND(ISNUMBER(E471),ISNUMBER(G471)),ROUND(PRODUCT(PRODUCT(E471, G471), 1 - J471), 2),"")</f>
        <v/>
      </c>
      <c r="I471" s="13" t="s">
        <v>30</v>
      </c>
      <c r="J471" s="13">
        <v>0</v>
      </c>
    </row>
    <row r="472" spans="1:10" s="13" customFormat="1" ht="100.8" hidden="1" x14ac:dyDescent="0.3">
      <c r="A472" s="15" t="s">
        <v>1047</v>
      </c>
      <c r="B472" s="15" t="s">
        <v>30</v>
      </c>
      <c r="C472" s="15" t="s">
        <v>1048</v>
      </c>
      <c r="D472" s="15" t="s">
        <v>1049</v>
      </c>
      <c r="E472" s="13">
        <v>12</v>
      </c>
      <c r="F472" s="13" t="s">
        <v>60</v>
      </c>
      <c r="G472" s="40"/>
      <c r="H472" s="14" t="str">
        <f>IF(AND(ISNUMBER(E472),ISNUMBER(G472)),ROUND(PRODUCT(PRODUCT(E472, G472), 1 - J472), 2),"")</f>
        <v/>
      </c>
      <c r="I472" s="13" t="s">
        <v>30</v>
      </c>
      <c r="J472" s="13">
        <v>0</v>
      </c>
    </row>
    <row r="473" spans="1:10" s="11" customFormat="1" hidden="1" x14ac:dyDescent="0.3">
      <c r="A473" s="20" t="s">
        <v>1050</v>
      </c>
      <c r="B473" s="20"/>
      <c r="C473" s="20" t="s">
        <v>79</v>
      </c>
      <c r="D473" s="20"/>
      <c r="G473" s="38"/>
      <c r="H473" s="12">
        <v>0</v>
      </c>
    </row>
    <row r="474" spans="1:10" s="11" customFormat="1" ht="28.8" hidden="1" x14ac:dyDescent="0.3">
      <c r="A474" s="20" t="s">
        <v>1051</v>
      </c>
      <c r="B474" s="20"/>
      <c r="C474" s="20" t="s">
        <v>1052</v>
      </c>
      <c r="D474" s="20"/>
      <c r="G474" s="38"/>
      <c r="H474" s="12">
        <f>SUM(H475,H478,H480,H486,H488,H495,H496,H497)</f>
        <v>0</v>
      </c>
    </row>
    <row r="475" spans="1:10" s="11" customFormat="1" hidden="1" x14ac:dyDescent="0.3">
      <c r="A475" s="20" t="s">
        <v>1053</v>
      </c>
      <c r="B475" s="20"/>
      <c r="C475" s="20" t="s">
        <v>83</v>
      </c>
      <c r="D475" s="20"/>
      <c r="G475" s="38"/>
      <c r="H475" s="12">
        <v>0</v>
      </c>
    </row>
    <row r="476" spans="1:10" s="13" customFormat="1" ht="409.6" hidden="1" x14ac:dyDescent="0.3">
      <c r="A476" s="15"/>
      <c r="B476" s="15"/>
      <c r="C476" s="15" t="s">
        <v>28</v>
      </c>
      <c r="D476" s="15" t="s">
        <v>29</v>
      </c>
      <c r="G476" s="39"/>
      <c r="I476" s="13" t="s">
        <v>30</v>
      </c>
    </row>
    <row r="477" spans="1:10" s="13" customFormat="1" ht="201.6" hidden="1" x14ac:dyDescent="0.3">
      <c r="A477" s="15"/>
      <c r="B477" s="15"/>
      <c r="C477" s="15" t="s">
        <v>1054</v>
      </c>
      <c r="D477" s="15" t="s">
        <v>1055</v>
      </c>
      <c r="G477" s="39"/>
      <c r="I477" s="13" t="s">
        <v>30</v>
      </c>
    </row>
    <row r="478" spans="1:10" s="11" customFormat="1" hidden="1" x14ac:dyDescent="0.3">
      <c r="A478" s="20" t="s">
        <v>1056</v>
      </c>
      <c r="B478" s="20"/>
      <c r="C478" s="20" t="s">
        <v>1057</v>
      </c>
      <c r="D478" s="20"/>
      <c r="G478" s="38"/>
      <c r="H478" s="12">
        <f>SUM(H479)</f>
        <v>0</v>
      </c>
    </row>
    <row r="479" spans="1:10" s="13" customFormat="1" ht="409.6" hidden="1" x14ac:dyDescent="0.3">
      <c r="A479" s="15" t="s">
        <v>1058</v>
      </c>
      <c r="B479" s="15" t="s">
        <v>30</v>
      </c>
      <c r="C479" s="15" t="s">
        <v>1059</v>
      </c>
      <c r="D479" s="15" t="s">
        <v>1060</v>
      </c>
      <c r="E479" s="13">
        <v>1</v>
      </c>
      <c r="F479" s="13" t="s">
        <v>60</v>
      </c>
      <c r="G479" s="40"/>
      <c r="H479" s="14" t="str">
        <f>IF(AND(ISNUMBER(E479),ISNUMBER(G479)),ROUND(PRODUCT(PRODUCT(E479, G479), 1 - J479), 2),"")</f>
        <v/>
      </c>
      <c r="I479" s="13" t="s">
        <v>30</v>
      </c>
      <c r="J479" s="13">
        <v>0</v>
      </c>
    </row>
    <row r="480" spans="1:10" s="11" customFormat="1" ht="28.8" hidden="1" x14ac:dyDescent="0.3">
      <c r="A480" s="20" t="s">
        <v>1061</v>
      </c>
      <c r="B480" s="20"/>
      <c r="C480" s="20" t="s">
        <v>1062</v>
      </c>
      <c r="D480" s="20"/>
      <c r="G480" s="38"/>
      <c r="H480" s="12">
        <f>SUM(H481,H482,H483,H484,H485)</f>
        <v>0</v>
      </c>
    </row>
    <row r="481" spans="1:10" s="13" customFormat="1" ht="360" hidden="1" x14ac:dyDescent="0.3">
      <c r="A481" s="15" t="s">
        <v>1063</v>
      </c>
      <c r="B481" s="15" t="s">
        <v>30</v>
      </c>
      <c r="C481" s="15" t="s">
        <v>1064</v>
      </c>
      <c r="D481" s="15" t="s">
        <v>1065</v>
      </c>
      <c r="E481" s="13">
        <v>1</v>
      </c>
      <c r="F481" s="13" t="s">
        <v>60</v>
      </c>
      <c r="G481" s="40"/>
      <c r="H481" s="14" t="str">
        <f>IF(AND(ISNUMBER(E481),ISNUMBER(G481)),ROUND(PRODUCT(PRODUCT(E481, G481), 1 - J481), 2),"")</f>
        <v/>
      </c>
      <c r="I481" s="13" t="s">
        <v>30</v>
      </c>
      <c r="J481" s="13">
        <v>0</v>
      </c>
    </row>
    <row r="482" spans="1:10" s="13" customFormat="1" ht="360" hidden="1" x14ac:dyDescent="0.3">
      <c r="A482" s="15" t="s">
        <v>1066</v>
      </c>
      <c r="B482" s="15" t="s">
        <v>30</v>
      </c>
      <c r="C482" s="15" t="s">
        <v>1067</v>
      </c>
      <c r="D482" s="15" t="s">
        <v>1068</v>
      </c>
      <c r="E482" s="13">
        <v>1</v>
      </c>
      <c r="F482" s="13" t="s">
        <v>60</v>
      </c>
      <c r="G482" s="40"/>
      <c r="H482" s="14" t="str">
        <f>IF(AND(ISNUMBER(E482),ISNUMBER(G482)),ROUND(PRODUCT(PRODUCT(E482, G482), 1 - J482), 2),"")</f>
        <v/>
      </c>
      <c r="I482" s="13" t="s">
        <v>30</v>
      </c>
      <c r="J482" s="13">
        <v>0</v>
      </c>
    </row>
    <row r="483" spans="1:10" s="13" customFormat="1" ht="360" hidden="1" x14ac:dyDescent="0.3">
      <c r="A483" s="15" t="s">
        <v>1069</v>
      </c>
      <c r="B483" s="15" t="s">
        <v>30</v>
      </c>
      <c r="C483" s="15" t="s">
        <v>1070</v>
      </c>
      <c r="D483" s="15" t="s">
        <v>1071</v>
      </c>
      <c r="E483" s="13">
        <v>1</v>
      </c>
      <c r="F483" s="13" t="s">
        <v>60</v>
      </c>
      <c r="G483" s="40"/>
      <c r="H483" s="14" t="str">
        <f>IF(AND(ISNUMBER(E483),ISNUMBER(G483)),ROUND(PRODUCT(PRODUCT(E483, G483), 1 - J483), 2),"")</f>
        <v/>
      </c>
      <c r="I483" s="13" t="s">
        <v>30</v>
      </c>
      <c r="J483" s="13">
        <v>0</v>
      </c>
    </row>
    <row r="484" spans="1:10" s="13" customFormat="1" ht="288" hidden="1" x14ac:dyDescent="0.3">
      <c r="A484" s="15" t="s">
        <v>1072</v>
      </c>
      <c r="B484" s="15" t="s">
        <v>30</v>
      </c>
      <c r="C484" s="15" t="s">
        <v>1073</v>
      </c>
      <c r="D484" s="15" t="s">
        <v>1074</v>
      </c>
      <c r="E484" s="13">
        <v>1</v>
      </c>
      <c r="F484" s="13" t="s">
        <v>60</v>
      </c>
      <c r="G484" s="40"/>
      <c r="H484" s="14" t="str">
        <f>IF(AND(ISNUMBER(E484),ISNUMBER(G484)),ROUND(PRODUCT(PRODUCT(E484, G484), 1 - J484), 2),"")</f>
        <v/>
      </c>
      <c r="I484" s="13" t="s">
        <v>30</v>
      </c>
      <c r="J484" s="13">
        <v>0</v>
      </c>
    </row>
    <row r="485" spans="1:10" s="13" customFormat="1" ht="288" hidden="1" x14ac:dyDescent="0.3">
      <c r="A485" s="15" t="s">
        <v>1075</v>
      </c>
      <c r="B485" s="15" t="s">
        <v>30</v>
      </c>
      <c r="C485" s="15" t="s">
        <v>1076</v>
      </c>
      <c r="D485" s="15" t="s">
        <v>1077</v>
      </c>
      <c r="E485" s="13">
        <v>1</v>
      </c>
      <c r="F485" s="13" t="s">
        <v>60</v>
      </c>
      <c r="G485" s="40"/>
      <c r="H485" s="14" t="str">
        <f>IF(AND(ISNUMBER(E485),ISNUMBER(G485)),ROUND(PRODUCT(PRODUCT(E485, G485), 1 - J485), 2),"")</f>
        <v/>
      </c>
      <c r="I485" s="13" t="s">
        <v>30</v>
      </c>
      <c r="J485" s="13">
        <v>0</v>
      </c>
    </row>
    <row r="486" spans="1:10" s="11" customFormat="1" hidden="1" x14ac:dyDescent="0.3">
      <c r="A486" s="20" t="s">
        <v>1078</v>
      </c>
      <c r="B486" s="20"/>
      <c r="C486" s="20" t="s">
        <v>1079</v>
      </c>
      <c r="D486" s="20"/>
      <c r="G486" s="38"/>
      <c r="H486" s="12">
        <f>SUM(H487)</f>
        <v>0</v>
      </c>
    </row>
    <row r="487" spans="1:10" s="13" customFormat="1" ht="409.6" hidden="1" x14ac:dyDescent="0.3">
      <c r="A487" s="15" t="s">
        <v>1080</v>
      </c>
      <c r="B487" s="15" t="s">
        <v>30</v>
      </c>
      <c r="C487" s="15" t="s">
        <v>1081</v>
      </c>
      <c r="D487" s="15" t="s">
        <v>1082</v>
      </c>
      <c r="E487" s="13">
        <v>52</v>
      </c>
      <c r="F487" s="13" t="s">
        <v>100</v>
      </c>
      <c r="G487" s="40"/>
      <c r="H487" s="14" t="str">
        <f>IF(AND(ISNUMBER(E487),ISNUMBER(G487)),ROUND(PRODUCT(PRODUCT(E487, G487), 1 - J487), 2),"")</f>
        <v/>
      </c>
      <c r="I487" s="13" t="s">
        <v>30</v>
      </c>
      <c r="J487" s="13">
        <v>0</v>
      </c>
    </row>
    <row r="488" spans="1:10" s="11" customFormat="1" hidden="1" x14ac:dyDescent="0.3">
      <c r="A488" s="20" t="s">
        <v>1083</v>
      </c>
      <c r="B488" s="20"/>
      <c r="C488" s="20" t="s">
        <v>1084</v>
      </c>
      <c r="D488" s="20"/>
      <c r="G488" s="38"/>
      <c r="H488" s="12">
        <f>SUM(H489,H490,H491,H492,H493,H494)</f>
        <v>0</v>
      </c>
    </row>
    <row r="489" spans="1:10" s="13" customFormat="1" ht="403.2" hidden="1" x14ac:dyDescent="0.3">
      <c r="A489" s="15" t="s">
        <v>1085</v>
      </c>
      <c r="B489" s="15" t="s">
        <v>30</v>
      </c>
      <c r="C489" s="15" t="s">
        <v>1086</v>
      </c>
      <c r="D489" s="15" t="s">
        <v>1087</v>
      </c>
      <c r="E489" s="13">
        <v>1</v>
      </c>
      <c r="F489" s="13" t="s">
        <v>60</v>
      </c>
      <c r="G489" s="40"/>
      <c r="H489" s="14" t="str">
        <f t="shared" ref="H489:H494" si="16">IF(AND(ISNUMBER(E489),ISNUMBER(G489)),ROUND(PRODUCT(PRODUCT(E489, G489), 1 - J489), 2),"")</f>
        <v/>
      </c>
      <c r="I489" s="13" t="s">
        <v>30</v>
      </c>
      <c r="J489" s="13">
        <v>0</v>
      </c>
    </row>
    <row r="490" spans="1:10" s="13" customFormat="1" ht="345.6" hidden="1" x14ac:dyDescent="0.3">
      <c r="A490" s="15" t="s">
        <v>1088</v>
      </c>
      <c r="B490" s="15" t="s">
        <v>30</v>
      </c>
      <c r="C490" s="15" t="s">
        <v>1089</v>
      </c>
      <c r="D490" s="15" t="s">
        <v>1090</v>
      </c>
      <c r="E490" s="13">
        <v>25</v>
      </c>
      <c r="F490" s="13" t="s">
        <v>100</v>
      </c>
      <c r="G490" s="40"/>
      <c r="H490" s="14" t="str">
        <f t="shared" si="16"/>
        <v/>
      </c>
      <c r="I490" s="13" t="s">
        <v>30</v>
      </c>
      <c r="J490" s="13">
        <v>0</v>
      </c>
    </row>
    <row r="491" spans="1:10" s="13" customFormat="1" ht="331.2" hidden="1" x14ac:dyDescent="0.3">
      <c r="A491" s="15" t="s">
        <v>1091</v>
      </c>
      <c r="B491" s="15" t="s">
        <v>30</v>
      </c>
      <c r="C491" s="15" t="s">
        <v>1092</v>
      </c>
      <c r="D491" s="15" t="s">
        <v>1093</v>
      </c>
      <c r="E491" s="13">
        <v>1</v>
      </c>
      <c r="F491" s="13" t="s">
        <v>60</v>
      </c>
      <c r="G491" s="40"/>
      <c r="H491" s="14" t="str">
        <f t="shared" si="16"/>
        <v/>
      </c>
      <c r="I491" s="13" t="s">
        <v>30</v>
      </c>
      <c r="J491" s="13">
        <v>0</v>
      </c>
    </row>
    <row r="492" spans="1:10" s="13" customFormat="1" ht="57.6" hidden="1" x14ac:dyDescent="0.3">
      <c r="A492" s="15" t="s">
        <v>1094</v>
      </c>
      <c r="B492" s="15" t="s">
        <v>30</v>
      </c>
      <c r="C492" s="15" t="s">
        <v>1095</v>
      </c>
      <c r="D492" s="15" t="s">
        <v>1096</v>
      </c>
      <c r="E492" s="13">
        <v>5</v>
      </c>
      <c r="F492" s="13" t="s">
        <v>71</v>
      </c>
      <c r="G492" s="40"/>
      <c r="H492" s="14" t="str">
        <f t="shared" si="16"/>
        <v/>
      </c>
      <c r="I492" s="13" t="s">
        <v>30</v>
      </c>
      <c r="J492" s="13">
        <v>0</v>
      </c>
    </row>
    <row r="493" spans="1:10" s="13" customFormat="1" ht="86.4" hidden="1" x14ac:dyDescent="0.3">
      <c r="A493" s="15" t="s">
        <v>1097</v>
      </c>
      <c r="B493" s="15" t="s">
        <v>30</v>
      </c>
      <c r="C493" s="15" t="s">
        <v>1098</v>
      </c>
      <c r="D493" s="15" t="s">
        <v>1099</v>
      </c>
      <c r="E493" s="13">
        <v>2</v>
      </c>
      <c r="F493" s="13" t="s">
        <v>60</v>
      </c>
      <c r="G493" s="40"/>
      <c r="H493" s="14" t="str">
        <f t="shared" si="16"/>
        <v/>
      </c>
      <c r="I493" s="13" t="s">
        <v>30</v>
      </c>
      <c r="J493" s="13">
        <v>0</v>
      </c>
    </row>
    <row r="494" spans="1:10" s="13" customFormat="1" ht="57.6" hidden="1" x14ac:dyDescent="0.3">
      <c r="A494" s="15" t="s">
        <v>1100</v>
      </c>
      <c r="B494" s="15" t="s">
        <v>30</v>
      </c>
      <c r="C494" s="15" t="s">
        <v>1101</v>
      </c>
      <c r="D494" s="15" t="s">
        <v>1102</v>
      </c>
      <c r="E494" s="13">
        <v>2.5</v>
      </c>
      <c r="F494" s="13" t="s">
        <v>71</v>
      </c>
      <c r="G494" s="40"/>
      <c r="H494" s="14" t="str">
        <f t="shared" si="16"/>
        <v/>
      </c>
      <c r="I494" s="13" t="s">
        <v>30</v>
      </c>
      <c r="J494" s="13">
        <v>0</v>
      </c>
    </row>
    <row r="495" spans="1:10" s="11" customFormat="1" hidden="1" x14ac:dyDescent="0.3">
      <c r="A495" s="20" t="s">
        <v>1103</v>
      </c>
      <c r="B495" s="20"/>
      <c r="C495" s="20" t="s">
        <v>1104</v>
      </c>
      <c r="D495" s="20"/>
      <c r="G495" s="38"/>
      <c r="H495" s="12">
        <v>0</v>
      </c>
    </row>
    <row r="496" spans="1:10" s="11" customFormat="1" hidden="1" x14ac:dyDescent="0.3">
      <c r="A496" s="20" t="s">
        <v>1105</v>
      </c>
      <c r="B496" s="20"/>
      <c r="C496" s="20" t="s">
        <v>1106</v>
      </c>
      <c r="D496" s="20"/>
      <c r="G496" s="38"/>
      <c r="H496" s="12">
        <v>0</v>
      </c>
    </row>
    <row r="497" spans="1:10" s="11" customFormat="1" hidden="1" x14ac:dyDescent="0.3">
      <c r="A497" s="20" t="s">
        <v>1107</v>
      </c>
      <c r="B497" s="20"/>
      <c r="C497" s="20" t="s">
        <v>79</v>
      </c>
      <c r="D497" s="20"/>
      <c r="G497" s="38"/>
      <c r="H497" s="12">
        <f>SUM(H498)</f>
        <v>0</v>
      </c>
    </row>
    <row r="498" spans="1:10" s="13" customFormat="1" ht="115.2" hidden="1" x14ac:dyDescent="0.3">
      <c r="A498" s="15" t="s">
        <v>1108</v>
      </c>
      <c r="B498" s="15" t="s">
        <v>30</v>
      </c>
      <c r="C498" s="15" t="s">
        <v>1109</v>
      </c>
      <c r="D498" s="15" t="s">
        <v>1110</v>
      </c>
      <c r="E498" s="13">
        <v>1</v>
      </c>
      <c r="F498" s="13" t="s">
        <v>60</v>
      </c>
      <c r="G498" s="40"/>
      <c r="H498" s="14" t="str">
        <f>IF(AND(ISNUMBER(E498),ISNUMBER(G498)),ROUND(PRODUCT(PRODUCT(E498, G498), 1 - J498), 2),"")</f>
        <v/>
      </c>
      <c r="I498" s="13" t="s">
        <v>30</v>
      </c>
      <c r="J498" s="13">
        <v>0</v>
      </c>
    </row>
    <row r="499" spans="1:10" s="11" customFormat="1" hidden="1" x14ac:dyDescent="0.3">
      <c r="A499" s="20" t="s">
        <v>1111</v>
      </c>
      <c r="B499" s="20"/>
      <c r="C499" s="20" t="s">
        <v>1112</v>
      </c>
      <c r="D499" s="20"/>
      <c r="G499" s="38"/>
      <c r="H499" s="12">
        <f>SUM(H500,H503,H516,H517)</f>
        <v>0</v>
      </c>
    </row>
    <row r="500" spans="1:10" s="11" customFormat="1" hidden="1" x14ac:dyDescent="0.3">
      <c r="A500" s="20" t="s">
        <v>1113</v>
      </c>
      <c r="B500" s="20"/>
      <c r="C500" s="20" t="s">
        <v>83</v>
      </c>
      <c r="D500" s="20"/>
      <c r="G500" s="38"/>
      <c r="H500" s="12">
        <v>0</v>
      </c>
    </row>
    <row r="501" spans="1:10" s="13" customFormat="1" ht="409.6" hidden="1" x14ac:dyDescent="0.3">
      <c r="A501" s="15"/>
      <c r="B501" s="15"/>
      <c r="C501" s="15" t="s">
        <v>28</v>
      </c>
      <c r="D501" s="15" t="s">
        <v>29</v>
      </c>
      <c r="G501" s="39"/>
      <c r="I501" s="13" t="s">
        <v>30</v>
      </c>
    </row>
    <row r="502" spans="1:10" s="13" customFormat="1" ht="158.4" hidden="1" x14ac:dyDescent="0.3">
      <c r="A502" s="15"/>
      <c r="B502" s="15"/>
      <c r="C502" s="15" t="s">
        <v>1114</v>
      </c>
      <c r="D502" s="15" t="s">
        <v>1115</v>
      </c>
      <c r="G502" s="39"/>
      <c r="I502" s="13" t="s">
        <v>30</v>
      </c>
    </row>
    <row r="503" spans="1:10" s="11" customFormat="1" hidden="1" x14ac:dyDescent="0.3">
      <c r="A503" s="20" t="s">
        <v>1116</v>
      </c>
      <c r="B503" s="20"/>
      <c r="C503" s="20" t="s">
        <v>1117</v>
      </c>
      <c r="D503" s="20"/>
      <c r="G503" s="38"/>
      <c r="H503" s="12">
        <f>SUM(H504,H505,H506,H507,H508,H509,H510,H511,H512,H513,H514,H515)</f>
        <v>0</v>
      </c>
    </row>
    <row r="504" spans="1:10" s="13" customFormat="1" ht="302.39999999999998" hidden="1" x14ac:dyDescent="0.3">
      <c r="A504" s="15" t="s">
        <v>1118</v>
      </c>
      <c r="B504" s="15" t="s">
        <v>30</v>
      </c>
      <c r="C504" s="15" t="s">
        <v>1119</v>
      </c>
      <c r="D504" s="15" t="s">
        <v>1120</v>
      </c>
      <c r="E504" s="13">
        <v>1</v>
      </c>
      <c r="F504" s="13" t="s">
        <v>60</v>
      </c>
      <c r="G504" s="40"/>
      <c r="H504" s="14" t="str">
        <f t="shared" ref="H504:H515" si="17">IF(AND(ISNUMBER(E504),ISNUMBER(G504)),ROUND(PRODUCT(PRODUCT(E504, G504), 1 - J504), 2),"")</f>
        <v/>
      </c>
      <c r="I504" s="13" t="s">
        <v>30</v>
      </c>
      <c r="J504" s="13">
        <v>0</v>
      </c>
    </row>
    <row r="505" spans="1:10" s="13" customFormat="1" ht="302.39999999999998" hidden="1" x14ac:dyDescent="0.3">
      <c r="A505" s="15" t="s">
        <v>1121</v>
      </c>
      <c r="B505" s="15" t="s">
        <v>30</v>
      </c>
      <c r="C505" s="15" t="s">
        <v>1122</v>
      </c>
      <c r="D505" s="15" t="s">
        <v>1123</v>
      </c>
      <c r="E505" s="13">
        <v>1</v>
      </c>
      <c r="F505" s="13" t="s">
        <v>60</v>
      </c>
      <c r="G505" s="40"/>
      <c r="H505" s="14" t="str">
        <f t="shared" si="17"/>
        <v/>
      </c>
      <c r="I505" s="13" t="s">
        <v>30</v>
      </c>
      <c r="J505" s="13">
        <v>0</v>
      </c>
    </row>
    <row r="506" spans="1:10" s="13" customFormat="1" ht="302.39999999999998" hidden="1" x14ac:dyDescent="0.3">
      <c r="A506" s="15" t="s">
        <v>1124</v>
      </c>
      <c r="B506" s="15" t="s">
        <v>30</v>
      </c>
      <c r="C506" s="15" t="s">
        <v>1125</v>
      </c>
      <c r="D506" s="15" t="s">
        <v>1126</v>
      </c>
      <c r="E506" s="13">
        <v>2.5099999999999998</v>
      </c>
      <c r="F506" s="13" t="s">
        <v>71</v>
      </c>
      <c r="G506" s="40"/>
      <c r="H506" s="14" t="str">
        <f t="shared" si="17"/>
        <v/>
      </c>
      <c r="I506" s="13" t="s">
        <v>30</v>
      </c>
      <c r="J506" s="13">
        <v>0</v>
      </c>
    </row>
    <row r="507" spans="1:10" s="13" customFormat="1" ht="302.39999999999998" hidden="1" x14ac:dyDescent="0.3">
      <c r="A507" s="15" t="s">
        <v>1127</v>
      </c>
      <c r="B507" s="15" t="s">
        <v>30</v>
      </c>
      <c r="C507" s="15" t="s">
        <v>1125</v>
      </c>
      <c r="D507" s="15" t="s">
        <v>1128</v>
      </c>
      <c r="E507" s="13">
        <v>2.5099999999999998</v>
      </c>
      <c r="F507" s="13" t="s">
        <v>71</v>
      </c>
      <c r="G507" s="40"/>
      <c r="H507" s="14" t="str">
        <f t="shared" si="17"/>
        <v/>
      </c>
      <c r="I507" s="13" t="s">
        <v>30</v>
      </c>
      <c r="J507" s="13">
        <v>0</v>
      </c>
    </row>
    <row r="508" spans="1:10" s="13" customFormat="1" ht="302.39999999999998" hidden="1" x14ac:dyDescent="0.3">
      <c r="A508" s="15" t="s">
        <v>1129</v>
      </c>
      <c r="B508" s="15" t="s">
        <v>30</v>
      </c>
      <c r="C508" s="15" t="s">
        <v>1125</v>
      </c>
      <c r="D508" s="15" t="s">
        <v>1130</v>
      </c>
      <c r="E508" s="13">
        <v>2.5099999999999998</v>
      </c>
      <c r="F508" s="13" t="s">
        <v>71</v>
      </c>
      <c r="G508" s="40"/>
      <c r="H508" s="14" t="str">
        <f t="shared" si="17"/>
        <v/>
      </c>
      <c r="I508" s="13" t="s">
        <v>30</v>
      </c>
      <c r="J508" s="13">
        <v>0</v>
      </c>
    </row>
    <row r="509" spans="1:10" s="13" customFormat="1" ht="302.39999999999998" hidden="1" x14ac:dyDescent="0.3">
      <c r="A509" s="15" t="s">
        <v>1131</v>
      </c>
      <c r="B509" s="15" t="s">
        <v>30</v>
      </c>
      <c r="C509" s="15" t="s">
        <v>1132</v>
      </c>
      <c r="D509" s="15" t="s">
        <v>1133</v>
      </c>
      <c r="E509" s="13">
        <v>6.26</v>
      </c>
      <c r="F509" s="13" t="s">
        <v>71</v>
      </c>
      <c r="G509" s="40"/>
      <c r="H509" s="14" t="str">
        <f t="shared" si="17"/>
        <v/>
      </c>
      <c r="I509" s="13" t="s">
        <v>30</v>
      </c>
      <c r="J509" s="13">
        <v>0</v>
      </c>
    </row>
    <row r="510" spans="1:10" s="13" customFormat="1" ht="316.8" hidden="1" x14ac:dyDescent="0.3">
      <c r="A510" s="15" t="s">
        <v>1134</v>
      </c>
      <c r="B510" s="15" t="s">
        <v>30</v>
      </c>
      <c r="C510" s="15" t="s">
        <v>1135</v>
      </c>
      <c r="D510" s="15" t="s">
        <v>1136</v>
      </c>
      <c r="E510" s="13">
        <v>5</v>
      </c>
      <c r="F510" s="13" t="s">
        <v>60</v>
      </c>
      <c r="G510" s="40"/>
      <c r="H510" s="14" t="str">
        <f t="shared" si="17"/>
        <v/>
      </c>
      <c r="I510" s="13" t="s">
        <v>30</v>
      </c>
      <c r="J510" s="13">
        <v>0</v>
      </c>
    </row>
    <row r="511" spans="1:10" s="13" customFormat="1" ht="302.39999999999998" hidden="1" x14ac:dyDescent="0.3">
      <c r="A511" s="15" t="s">
        <v>1137</v>
      </c>
      <c r="B511" s="15" t="s">
        <v>30</v>
      </c>
      <c r="C511" s="15" t="s">
        <v>1138</v>
      </c>
      <c r="D511" s="15" t="s">
        <v>1139</v>
      </c>
      <c r="E511" s="13">
        <v>2.0099999999999998</v>
      </c>
      <c r="F511" s="13" t="s">
        <v>71</v>
      </c>
      <c r="G511" s="40"/>
      <c r="H511" s="14" t="str">
        <f t="shared" si="17"/>
        <v/>
      </c>
      <c r="I511" s="13" t="s">
        <v>30</v>
      </c>
      <c r="J511" s="13">
        <v>0</v>
      </c>
    </row>
    <row r="512" spans="1:10" s="13" customFormat="1" ht="302.39999999999998" hidden="1" x14ac:dyDescent="0.3">
      <c r="A512" s="15" t="s">
        <v>1140</v>
      </c>
      <c r="B512" s="15" t="s">
        <v>30</v>
      </c>
      <c r="C512" s="15" t="s">
        <v>1138</v>
      </c>
      <c r="D512" s="15" t="s">
        <v>1141</v>
      </c>
      <c r="E512" s="13">
        <v>2.0099999999999998</v>
      </c>
      <c r="F512" s="13" t="s">
        <v>71</v>
      </c>
      <c r="G512" s="40"/>
      <c r="H512" s="14" t="str">
        <f t="shared" si="17"/>
        <v/>
      </c>
      <c r="I512" s="13" t="s">
        <v>30</v>
      </c>
      <c r="J512" s="13">
        <v>0</v>
      </c>
    </row>
    <row r="513" spans="1:10" s="13" customFormat="1" ht="302.39999999999998" hidden="1" x14ac:dyDescent="0.3">
      <c r="A513" s="15" t="s">
        <v>1142</v>
      </c>
      <c r="B513" s="15" t="s">
        <v>30</v>
      </c>
      <c r="C513" s="15" t="s">
        <v>1143</v>
      </c>
      <c r="D513" s="15" t="s">
        <v>1144</v>
      </c>
      <c r="E513" s="13">
        <v>5.01</v>
      </c>
      <c r="F513" s="13" t="s">
        <v>71</v>
      </c>
      <c r="G513" s="40"/>
      <c r="H513" s="14" t="str">
        <f t="shared" si="17"/>
        <v/>
      </c>
      <c r="I513" s="13" t="s">
        <v>30</v>
      </c>
      <c r="J513" s="13">
        <v>0</v>
      </c>
    </row>
    <row r="514" spans="1:10" s="13" customFormat="1" ht="360" hidden="1" x14ac:dyDescent="0.3">
      <c r="A514" s="15" t="s">
        <v>1145</v>
      </c>
      <c r="B514" s="15" t="s">
        <v>30</v>
      </c>
      <c r="C514" s="15" t="s">
        <v>1143</v>
      </c>
      <c r="D514" s="15" t="s">
        <v>1146</v>
      </c>
      <c r="E514" s="13">
        <v>3.01</v>
      </c>
      <c r="F514" s="13" t="s">
        <v>71</v>
      </c>
      <c r="G514" s="40"/>
      <c r="H514" s="14" t="str">
        <f t="shared" si="17"/>
        <v/>
      </c>
      <c r="I514" s="13" t="s">
        <v>30</v>
      </c>
      <c r="J514" s="13">
        <v>0</v>
      </c>
    </row>
    <row r="515" spans="1:10" s="13" customFormat="1" ht="302.39999999999998" hidden="1" x14ac:dyDescent="0.3">
      <c r="A515" s="15" t="s">
        <v>1147</v>
      </c>
      <c r="B515" s="15" t="s">
        <v>30</v>
      </c>
      <c r="C515" s="15" t="s">
        <v>1148</v>
      </c>
      <c r="D515" s="15" t="s">
        <v>1149</v>
      </c>
      <c r="E515" s="13">
        <v>1</v>
      </c>
      <c r="F515" s="13" t="s">
        <v>60</v>
      </c>
      <c r="G515" s="40"/>
      <c r="H515" s="14" t="str">
        <f t="shared" si="17"/>
        <v/>
      </c>
      <c r="I515" s="13" t="s">
        <v>30</v>
      </c>
      <c r="J515" s="13">
        <v>0</v>
      </c>
    </row>
    <row r="516" spans="1:10" s="11" customFormat="1" hidden="1" x14ac:dyDescent="0.3">
      <c r="A516" s="20" t="s">
        <v>1150</v>
      </c>
      <c r="B516" s="20"/>
      <c r="C516" s="20" t="s">
        <v>1151</v>
      </c>
      <c r="D516" s="20"/>
      <c r="G516" s="38"/>
      <c r="H516" s="12">
        <v>0</v>
      </c>
    </row>
    <row r="517" spans="1:10" s="11" customFormat="1" hidden="1" x14ac:dyDescent="0.3">
      <c r="A517" s="20" t="s">
        <v>1152</v>
      </c>
      <c r="B517" s="20"/>
      <c r="C517" s="20" t="s">
        <v>79</v>
      </c>
      <c r="D517" s="20"/>
      <c r="G517" s="38"/>
      <c r="H517" s="12">
        <v>0</v>
      </c>
    </row>
    <row r="518" spans="1:10" s="11" customFormat="1" hidden="1" x14ac:dyDescent="0.3">
      <c r="A518" s="20" t="s">
        <v>1153</v>
      </c>
      <c r="B518" s="20"/>
      <c r="C518" s="20" t="s">
        <v>1154</v>
      </c>
      <c r="D518" s="20"/>
      <c r="G518" s="38"/>
      <c r="H518" s="12">
        <f>SUM(H519,H522,H528,H529)</f>
        <v>0</v>
      </c>
    </row>
    <row r="519" spans="1:10" s="11" customFormat="1" hidden="1" x14ac:dyDescent="0.3">
      <c r="A519" s="20" t="s">
        <v>1155</v>
      </c>
      <c r="B519" s="20"/>
      <c r="C519" s="20" t="s">
        <v>83</v>
      </c>
      <c r="D519" s="20"/>
      <c r="G519" s="38"/>
      <c r="H519" s="12">
        <v>0</v>
      </c>
    </row>
    <row r="520" spans="1:10" s="13" customFormat="1" ht="409.6" hidden="1" x14ac:dyDescent="0.3">
      <c r="A520" s="15"/>
      <c r="B520" s="15"/>
      <c r="C520" s="15" t="s">
        <v>28</v>
      </c>
      <c r="D520" s="15" t="s">
        <v>29</v>
      </c>
      <c r="G520" s="39"/>
      <c r="I520" s="13" t="s">
        <v>30</v>
      </c>
    </row>
    <row r="521" spans="1:10" s="13" customFormat="1" ht="100.8" hidden="1" x14ac:dyDescent="0.3">
      <c r="A521" s="15"/>
      <c r="B521" s="15"/>
      <c r="C521" s="15" t="s">
        <v>1156</v>
      </c>
      <c r="D521" s="15" t="s">
        <v>1157</v>
      </c>
      <c r="G521" s="39"/>
      <c r="I521" s="13" t="s">
        <v>30</v>
      </c>
    </row>
    <row r="522" spans="1:10" s="11" customFormat="1" hidden="1" x14ac:dyDescent="0.3">
      <c r="A522" s="20" t="s">
        <v>1158</v>
      </c>
      <c r="B522" s="20"/>
      <c r="C522" s="20" t="s">
        <v>1159</v>
      </c>
      <c r="D522" s="20"/>
      <c r="G522" s="38"/>
      <c r="H522" s="12">
        <f>SUM(H523,H524,H525,H526,H527)</f>
        <v>0</v>
      </c>
    </row>
    <row r="523" spans="1:10" s="13" customFormat="1" ht="187.2" hidden="1" x14ac:dyDescent="0.3">
      <c r="A523" s="15" t="s">
        <v>1160</v>
      </c>
      <c r="B523" s="15" t="s">
        <v>30</v>
      </c>
      <c r="C523" s="15" t="s">
        <v>1161</v>
      </c>
      <c r="D523" s="15" t="s">
        <v>1162</v>
      </c>
      <c r="E523" s="13">
        <v>1</v>
      </c>
      <c r="F523" s="13" t="s">
        <v>60</v>
      </c>
      <c r="G523" s="40"/>
      <c r="H523" s="14" t="str">
        <f>IF(AND(ISNUMBER(E523),ISNUMBER(G523)),ROUND(PRODUCT(PRODUCT(E523, G523), 1 - J523), 2),"")</f>
        <v/>
      </c>
      <c r="I523" s="13" t="s">
        <v>30</v>
      </c>
      <c r="J523" s="13">
        <v>0</v>
      </c>
    </row>
    <row r="524" spans="1:10" s="13" customFormat="1" ht="187.2" hidden="1" x14ac:dyDescent="0.3">
      <c r="A524" s="15" t="s">
        <v>1163</v>
      </c>
      <c r="B524" s="15" t="s">
        <v>30</v>
      </c>
      <c r="C524" s="15" t="s">
        <v>1164</v>
      </c>
      <c r="D524" s="15" t="s">
        <v>1165</v>
      </c>
      <c r="E524" s="13">
        <v>1</v>
      </c>
      <c r="F524" s="13" t="s">
        <v>60</v>
      </c>
      <c r="G524" s="40"/>
      <c r="H524" s="14" t="str">
        <f>IF(AND(ISNUMBER(E524),ISNUMBER(G524)),ROUND(PRODUCT(PRODUCT(E524, G524), 1 - J524), 2),"")</f>
        <v/>
      </c>
      <c r="I524" s="13" t="s">
        <v>30</v>
      </c>
      <c r="J524" s="13">
        <v>0</v>
      </c>
    </row>
    <row r="525" spans="1:10" s="13" customFormat="1" ht="129.6" hidden="1" x14ac:dyDescent="0.3">
      <c r="A525" s="15" t="s">
        <v>1166</v>
      </c>
      <c r="B525" s="15" t="s">
        <v>30</v>
      </c>
      <c r="C525" s="15" t="s">
        <v>1167</v>
      </c>
      <c r="D525" s="15" t="s">
        <v>1168</v>
      </c>
      <c r="E525" s="13">
        <v>2.5</v>
      </c>
      <c r="F525" s="13" t="s">
        <v>71</v>
      </c>
      <c r="G525" s="40"/>
      <c r="H525" s="14" t="str">
        <f>IF(AND(ISNUMBER(E525),ISNUMBER(G525)),ROUND(PRODUCT(PRODUCT(E525, G525), 1 - J525), 2),"")</f>
        <v/>
      </c>
      <c r="I525" s="13" t="s">
        <v>30</v>
      </c>
      <c r="J525" s="13">
        <v>0</v>
      </c>
    </row>
    <row r="526" spans="1:10" s="13" customFormat="1" ht="201.6" hidden="1" x14ac:dyDescent="0.3">
      <c r="A526" s="15" t="s">
        <v>1169</v>
      </c>
      <c r="B526" s="15" t="s">
        <v>30</v>
      </c>
      <c r="C526" s="15" t="s">
        <v>1170</v>
      </c>
      <c r="D526" s="15" t="s">
        <v>1171</v>
      </c>
      <c r="E526" s="13">
        <v>11.25</v>
      </c>
      <c r="F526" s="13" t="s">
        <v>71</v>
      </c>
      <c r="G526" s="40"/>
      <c r="H526" s="14" t="str">
        <f>IF(AND(ISNUMBER(E526),ISNUMBER(G526)),ROUND(PRODUCT(PRODUCT(E526, G526), 1 - J526), 2),"")</f>
        <v/>
      </c>
      <c r="I526" s="13" t="s">
        <v>30</v>
      </c>
      <c r="J526" s="13">
        <v>0</v>
      </c>
    </row>
    <row r="527" spans="1:10" s="13" customFormat="1" ht="43.2" hidden="1" x14ac:dyDescent="0.3">
      <c r="A527" s="15" t="s">
        <v>1172</v>
      </c>
      <c r="B527" s="15" t="s">
        <v>30</v>
      </c>
      <c r="C527" s="15" t="s">
        <v>1173</v>
      </c>
      <c r="D527" s="15" t="s">
        <v>1174</v>
      </c>
      <c r="E527" s="13">
        <v>16.5</v>
      </c>
      <c r="F527" s="13" t="s">
        <v>71</v>
      </c>
      <c r="G527" s="40"/>
      <c r="H527" s="14" t="str">
        <f>IF(AND(ISNUMBER(E527),ISNUMBER(G527)),ROUND(PRODUCT(PRODUCT(E527, G527), 1 - J527), 2),"")</f>
        <v/>
      </c>
      <c r="I527" s="13" t="s">
        <v>30</v>
      </c>
      <c r="J527" s="13">
        <v>0</v>
      </c>
    </row>
    <row r="528" spans="1:10" s="11" customFormat="1" ht="28.8" hidden="1" x14ac:dyDescent="0.3">
      <c r="A528" s="20" t="s">
        <v>1175</v>
      </c>
      <c r="B528" s="20"/>
      <c r="C528" s="20" t="s">
        <v>1176</v>
      </c>
      <c r="D528" s="20"/>
      <c r="G528" s="38"/>
      <c r="H528" s="12">
        <v>0</v>
      </c>
    </row>
    <row r="529" spans="1:10" s="11" customFormat="1" hidden="1" x14ac:dyDescent="0.3">
      <c r="A529" s="20" t="s">
        <v>1177</v>
      </c>
      <c r="B529" s="20"/>
      <c r="C529" s="20" t="s">
        <v>79</v>
      </c>
      <c r="D529" s="20"/>
      <c r="G529" s="38"/>
      <c r="H529" s="12">
        <v>0</v>
      </c>
    </row>
    <row r="530" spans="1:10" s="11" customFormat="1" hidden="1" x14ac:dyDescent="0.3">
      <c r="A530" s="20" t="s">
        <v>1178</v>
      </c>
      <c r="B530" s="20"/>
      <c r="C530" s="20" t="s">
        <v>1179</v>
      </c>
      <c r="D530" s="20"/>
      <c r="G530" s="38"/>
      <c r="H530" s="12">
        <f>SUM(H531,H534,H550,H558,H560,H562,H564)</f>
        <v>0</v>
      </c>
    </row>
    <row r="531" spans="1:10" s="11" customFormat="1" hidden="1" x14ac:dyDescent="0.3">
      <c r="A531" s="20" t="s">
        <v>1180</v>
      </c>
      <c r="B531" s="20"/>
      <c r="C531" s="20" t="s">
        <v>83</v>
      </c>
      <c r="D531" s="20"/>
      <c r="G531" s="38"/>
      <c r="H531" s="12">
        <v>0</v>
      </c>
    </row>
    <row r="532" spans="1:10" s="13" customFormat="1" ht="409.6" hidden="1" x14ac:dyDescent="0.3">
      <c r="A532" s="15"/>
      <c r="B532" s="15"/>
      <c r="C532" s="15" t="s">
        <v>28</v>
      </c>
      <c r="D532" s="15" t="s">
        <v>29</v>
      </c>
      <c r="G532" s="39"/>
      <c r="I532" s="13" t="s">
        <v>30</v>
      </c>
    </row>
    <row r="533" spans="1:10" s="13" customFormat="1" ht="230.4" hidden="1" x14ac:dyDescent="0.3">
      <c r="A533" s="15"/>
      <c r="B533" s="15"/>
      <c r="C533" s="15" t="s">
        <v>1181</v>
      </c>
      <c r="D533" s="15" t="s">
        <v>1182</v>
      </c>
      <c r="G533" s="39"/>
      <c r="I533" s="13" t="s">
        <v>30</v>
      </c>
    </row>
    <row r="534" spans="1:10" s="11" customFormat="1" hidden="1" x14ac:dyDescent="0.3">
      <c r="A534" s="20" t="s">
        <v>1183</v>
      </c>
      <c r="B534" s="20"/>
      <c r="C534" s="20" t="s">
        <v>1184</v>
      </c>
      <c r="D534" s="20"/>
      <c r="G534" s="38"/>
      <c r="H534" s="12">
        <f>SUM(H535,H536,H537,H538,H539,H540,H541,H542,H543,H544,H545,H546,H547,H548,H549)</f>
        <v>0</v>
      </c>
    </row>
    <row r="535" spans="1:10" s="13" customFormat="1" ht="288" hidden="1" x14ac:dyDescent="0.3">
      <c r="A535" s="15" t="s">
        <v>1185</v>
      </c>
      <c r="B535" s="15" t="s">
        <v>30</v>
      </c>
      <c r="C535" s="15" t="s">
        <v>1186</v>
      </c>
      <c r="D535" s="15" t="s">
        <v>1187</v>
      </c>
      <c r="E535" s="13">
        <v>1</v>
      </c>
      <c r="F535" s="13" t="s">
        <v>60</v>
      </c>
      <c r="G535" s="40"/>
      <c r="H535" s="14" t="str">
        <f t="shared" ref="H535:H549" si="18">IF(AND(ISNUMBER(E535),ISNUMBER(G535)),ROUND(PRODUCT(PRODUCT(E535, G535), 1 - J535), 2),"")</f>
        <v/>
      </c>
      <c r="I535" s="13" t="s">
        <v>30</v>
      </c>
      <c r="J535" s="13">
        <v>0</v>
      </c>
    </row>
    <row r="536" spans="1:10" s="13" customFormat="1" ht="216" hidden="1" x14ac:dyDescent="0.3">
      <c r="A536" s="15" t="s">
        <v>1188</v>
      </c>
      <c r="B536" s="15" t="s">
        <v>30</v>
      </c>
      <c r="C536" s="15" t="s">
        <v>1189</v>
      </c>
      <c r="D536" s="15" t="s">
        <v>1190</v>
      </c>
      <c r="E536" s="13">
        <v>1</v>
      </c>
      <c r="F536" s="13" t="s">
        <v>60</v>
      </c>
      <c r="G536" s="40"/>
      <c r="H536" s="14" t="str">
        <f t="shared" si="18"/>
        <v/>
      </c>
      <c r="I536" s="13" t="s">
        <v>30</v>
      </c>
      <c r="J536" s="13">
        <v>0</v>
      </c>
    </row>
    <row r="537" spans="1:10" s="13" customFormat="1" ht="388.8" hidden="1" x14ac:dyDescent="0.3">
      <c r="A537" s="15" t="s">
        <v>1191</v>
      </c>
      <c r="B537" s="15" t="s">
        <v>30</v>
      </c>
      <c r="C537" s="15" t="s">
        <v>1192</v>
      </c>
      <c r="D537" s="15" t="s">
        <v>1193</v>
      </c>
      <c r="E537" s="13">
        <v>1</v>
      </c>
      <c r="F537" s="13" t="s">
        <v>60</v>
      </c>
      <c r="G537" s="40"/>
      <c r="H537" s="14" t="str">
        <f t="shared" si="18"/>
        <v/>
      </c>
      <c r="I537" s="13" t="s">
        <v>30</v>
      </c>
      <c r="J537" s="13">
        <v>0</v>
      </c>
    </row>
    <row r="538" spans="1:10" s="13" customFormat="1" ht="230.4" hidden="1" x14ac:dyDescent="0.3">
      <c r="A538" s="15" t="s">
        <v>1194</v>
      </c>
      <c r="B538" s="15" t="s">
        <v>30</v>
      </c>
      <c r="C538" s="15" t="s">
        <v>1195</v>
      </c>
      <c r="D538" s="15" t="s">
        <v>1196</v>
      </c>
      <c r="E538" s="13">
        <v>1</v>
      </c>
      <c r="F538" s="13" t="s">
        <v>60</v>
      </c>
      <c r="G538" s="40"/>
      <c r="H538" s="14" t="str">
        <f t="shared" si="18"/>
        <v/>
      </c>
      <c r="I538" s="13" t="s">
        <v>30</v>
      </c>
      <c r="J538" s="13">
        <v>0</v>
      </c>
    </row>
    <row r="539" spans="1:10" s="13" customFormat="1" ht="230.4" hidden="1" x14ac:dyDescent="0.3">
      <c r="A539" s="15" t="s">
        <v>1197</v>
      </c>
      <c r="B539" s="15" t="s">
        <v>30</v>
      </c>
      <c r="C539" s="15" t="s">
        <v>1198</v>
      </c>
      <c r="D539" s="15" t="s">
        <v>1199</v>
      </c>
      <c r="E539" s="13">
        <v>1</v>
      </c>
      <c r="F539" s="13" t="s">
        <v>60</v>
      </c>
      <c r="G539" s="40"/>
      <c r="H539" s="14" t="str">
        <f t="shared" si="18"/>
        <v/>
      </c>
      <c r="I539" s="13" t="s">
        <v>30</v>
      </c>
      <c r="J539" s="13">
        <v>0</v>
      </c>
    </row>
    <row r="540" spans="1:10" s="13" customFormat="1" ht="288" hidden="1" x14ac:dyDescent="0.3">
      <c r="A540" s="15" t="s">
        <v>1200</v>
      </c>
      <c r="B540" s="15" t="s">
        <v>30</v>
      </c>
      <c r="C540" s="15" t="s">
        <v>1201</v>
      </c>
      <c r="D540" s="15" t="s">
        <v>1202</v>
      </c>
      <c r="E540" s="13">
        <v>1</v>
      </c>
      <c r="F540" s="13" t="s">
        <v>60</v>
      </c>
      <c r="G540" s="40"/>
      <c r="H540" s="14" t="str">
        <f t="shared" si="18"/>
        <v/>
      </c>
      <c r="I540" s="13" t="s">
        <v>30</v>
      </c>
      <c r="J540" s="13">
        <v>0</v>
      </c>
    </row>
    <row r="541" spans="1:10" s="13" customFormat="1" ht="216" hidden="1" x14ac:dyDescent="0.3">
      <c r="A541" s="15" t="s">
        <v>1203</v>
      </c>
      <c r="B541" s="15" t="s">
        <v>30</v>
      </c>
      <c r="C541" s="15" t="s">
        <v>1204</v>
      </c>
      <c r="D541" s="15" t="s">
        <v>1205</v>
      </c>
      <c r="E541" s="13">
        <v>1</v>
      </c>
      <c r="F541" s="13" t="s">
        <v>60</v>
      </c>
      <c r="G541" s="40"/>
      <c r="H541" s="14" t="str">
        <f t="shared" si="18"/>
        <v/>
      </c>
      <c r="I541" s="13" t="s">
        <v>30</v>
      </c>
      <c r="J541" s="13">
        <v>0</v>
      </c>
    </row>
    <row r="542" spans="1:10" s="13" customFormat="1" ht="360" hidden="1" x14ac:dyDescent="0.3">
      <c r="A542" s="15" t="s">
        <v>1206</v>
      </c>
      <c r="B542" s="15" t="s">
        <v>30</v>
      </c>
      <c r="C542" s="15" t="s">
        <v>1207</v>
      </c>
      <c r="D542" s="15" t="s">
        <v>1208</v>
      </c>
      <c r="E542" s="13">
        <v>1</v>
      </c>
      <c r="F542" s="13" t="s">
        <v>60</v>
      </c>
      <c r="G542" s="40"/>
      <c r="H542" s="14" t="str">
        <f t="shared" si="18"/>
        <v/>
      </c>
      <c r="I542" s="13" t="s">
        <v>30</v>
      </c>
      <c r="J542" s="13">
        <v>0</v>
      </c>
    </row>
    <row r="543" spans="1:10" s="13" customFormat="1" ht="230.4" hidden="1" x14ac:dyDescent="0.3">
      <c r="A543" s="15" t="s">
        <v>1209</v>
      </c>
      <c r="B543" s="15" t="s">
        <v>30</v>
      </c>
      <c r="C543" s="15" t="s">
        <v>1210</v>
      </c>
      <c r="D543" s="15" t="s">
        <v>1211</v>
      </c>
      <c r="E543" s="13">
        <v>1</v>
      </c>
      <c r="F543" s="13" t="s">
        <v>60</v>
      </c>
      <c r="G543" s="40"/>
      <c r="H543" s="14" t="str">
        <f t="shared" si="18"/>
        <v/>
      </c>
      <c r="I543" s="13" t="s">
        <v>30</v>
      </c>
      <c r="J543" s="13">
        <v>0</v>
      </c>
    </row>
    <row r="544" spans="1:10" s="13" customFormat="1" ht="273.60000000000002" hidden="1" x14ac:dyDescent="0.3">
      <c r="A544" s="15" t="s">
        <v>1212</v>
      </c>
      <c r="B544" s="15" t="s">
        <v>30</v>
      </c>
      <c r="C544" s="15" t="s">
        <v>1213</v>
      </c>
      <c r="D544" s="15" t="s">
        <v>1214</v>
      </c>
      <c r="E544" s="13">
        <v>1</v>
      </c>
      <c r="F544" s="13" t="s">
        <v>60</v>
      </c>
      <c r="G544" s="40"/>
      <c r="H544" s="14" t="str">
        <f t="shared" si="18"/>
        <v/>
      </c>
      <c r="I544" s="13" t="s">
        <v>30</v>
      </c>
      <c r="J544" s="13">
        <v>0</v>
      </c>
    </row>
    <row r="545" spans="1:10" s="13" customFormat="1" ht="273.60000000000002" hidden="1" x14ac:dyDescent="0.3">
      <c r="A545" s="15" t="s">
        <v>1215</v>
      </c>
      <c r="B545" s="15" t="s">
        <v>30</v>
      </c>
      <c r="C545" s="15" t="s">
        <v>1213</v>
      </c>
      <c r="D545" s="15" t="s">
        <v>1216</v>
      </c>
      <c r="E545" s="13">
        <v>1</v>
      </c>
      <c r="F545" s="13" t="s">
        <v>60</v>
      </c>
      <c r="G545" s="40"/>
      <c r="H545" s="14" t="str">
        <f t="shared" si="18"/>
        <v/>
      </c>
      <c r="I545" s="13" t="s">
        <v>30</v>
      </c>
      <c r="J545" s="13">
        <v>0</v>
      </c>
    </row>
    <row r="546" spans="1:10" s="13" customFormat="1" ht="273.60000000000002" hidden="1" x14ac:dyDescent="0.3">
      <c r="A546" s="15" t="s">
        <v>1217</v>
      </c>
      <c r="B546" s="15" t="s">
        <v>30</v>
      </c>
      <c r="C546" s="15" t="s">
        <v>1213</v>
      </c>
      <c r="D546" s="15" t="s">
        <v>1218</v>
      </c>
      <c r="E546" s="13">
        <v>1</v>
      </c>
      <c r="F546" s="13" t="s">
        <v>60</v>
      </c>
      <c r="G546" s="40"/>
      <c r="H546" s="14" t="str">
        <f t="shared" si="18"/>
        <v/>
      </c>
      <c r="I546" s="13" t="s">
        <v>30</v>
      </c>
      <c r="J546" s="13">
        <v>0</v>
      </c>
    </row>
    <row r="547" spans="1:10" s="13" customFormat="1" ht="273.60000000000002" hidden="1" x14ac:dyDescent="0.3">
      <c r="A547" s="15" t="s">
        <v>1219</v>
      </c>
      <c r="B547" s="15" t="s">
        <v>30</v>
      </c>
      <c r="C547" s="15" t="s">
        <v>1220</v>
      </c>
      <c r="D547" s="15" t="s">
        <v>1221</v>
      </c>
      <c r="E547" s="13">
        <v>1</v>
      </c>
      <c r="F547" s="13" t="s">
        <v>60</v>
      </c>
      <c r="G547" s="40"/>
      <c r="H547" s="14" t="str">
        <f t="shared" si="18"/>
        <v/>
      </c>
      <c r="I547" s="13" t="s">
        <v>30</v>
      </c>
      <c r="J547" s="13">
        <v>0</v>
      </c>
    </row>
    <row r="548" spans="1:10" s="13" customFormat="1" ht="345.6" hidden="1" x14ac:dyDescent="0.3">
      <c r="A548" s="15" t="s">
        <v>1222</v>
      </c>
      <c r="B548" s="15" t="s">
        <v>30</v>
      </c>
      <c r="C548" s="15" t="s">
        <v>1223</v>
      </c>
      <c r="D548" s="15" t="s">
        <v>1224</v>
      </c>
      <c r="E548" s="13">
        <v>1</v>
      </c>
      <c r="F548" s="13" t="s">
        <v>60</v>
      </c>
      <c r="G548" s="40"/>
      <c r="H548" s="14" t="str">
        <f t="shared" si="18"/>
        <v/>
      </c>
      <c r="I548" s="13" t="s">
        <v>30</v>
      </c>
      <c r="J548" s="13">
        <v>0</v>
      </c>
    </row>
    <row r="549" spans="1:10" s="13" customFormat="1" ht="345.6" hidden="1" x14ac:dyDescent="0.3">
      <c r="A549" s="15" t="s">
        <v>1225</v>
      </c>
      <c r="B549" s="15" t="s">
        <v>30</v>
      </c>
      <c r="C549" s="15" t="s">
        <v>1226</v>
      </c>
      <c r="D549" s="15" t="s">
        <v>1227</v>
      </c>
      <c r="E549" s="13">
        <v>3</v>
      </c>
      <c r="F549" s="13" t="s">
        <v>60</v>
      </c>
      <c r="G549" s="40"/>
      <c r="H549" s="14" t="str">
        <f t="shared" si="18"/>
        <v/>
      </c>
      <c r="I549" s="13" t="s">
        <v>30</v>
      </c>
      <c r="J549" s="13">
        <v>0</v>
      </c>
    </row>
    <row r="550" spans="1:10" s="11" customFormat="1" hidden="1" x14ac:dyDescent="0.3">
      <c r="A550" s="20" t="s">
        <v>1228</v>
      </c>
      <c r="B550" s="20"/>
      <c r="C550" s="20" t="s">
        <v>1229</v>
      </c>
      <c r="D550" s="20"/>
      <c r="G550" s="38"/>
      <c r="H550" s="12">
        <f>SUM(H551,H552,H553,H554,H555,H556,H557)</f>
        <v>0</v>
      </c>
    </row>
    <row r="551" spans="1:10" s="13" customFormat="1" ht="316.8" hidden="1" x14ac:dyDescent="0.3">
      <c r="A551" s="15" t="s">
        <v>1230</v>
      </c>
      <c r="B551" s="15" t="s">
        <v>30</v>
      </c>
      <c r="C551" s="15" t="s">
        <v>1231</v>
      </c>
      <c r="D551" s="15" t="s">
        <v>1232</v>
      </c>
      <c r="E551" s="13">
        <v>2</v>
      </c>
      <c r="F551" s="13" t="s">
        <v>60</v>
      </c>
      <c r="G551" s="40"/>
      <c r="H551" s="14" t="str">
        <f t="shared" ref="H551:H557" si="19">IF(AND(ISNUMBER(E551),ISNUMBER(G551)),ROUND(PRODUCT(PRODUCT(E551, G551), 1 - J551), 2),"")</f>
        <v/>
      </c>
      <c r="I551" s="13" t="s">
        <v>30</v>
      </c>
      <c r="J551" s="13">
        <v>0</v>
      </c>
    </row>
    <row r="552" spans="1:10" s="13" customFormat="1" ht="316.8" hidden="1" x14ac:dyDescent="0.3">
      <c r="A552" s="15" t="s">
        <v>1233</v>
      </c>
      <c r="B552" s="15" t="s">
        <v>30</v>
      </c>
      <c r="C552" s="15" t="s">
        <v>1234</v>
      </c>
      <c r="D552" s="15" t="s">
        <v>1235</v>
      </c>
      <c r="E552" s="13">
        <v>1</v>
      </c>
      <c r="F552" s="13" t="s">
        <v>60</v>
      </c>
      <c r="G552" s="40"/>
      <c r="H552" s="14" t="str">
        <f t="shared" si="19"/>
        <v/>
      </c>
      <c r="I552" s="13" t="s">
        <v>30</v>
      </c>
      <c r="J552" s="13">
        <v>0</v>
      </c>
    </row>
    <row r="553" spans="1:10" s="13" customFormat="1" ht="374.4" hidden="1" x14ac:dyDescent="0.3">
      <c r="A553" s="15" t="s">
        <v>1236</v>
      </c>
      <c r="B553" s="15" t="s">
        <v>30</v>
      </c>
      <c r="C553" s="15" t="s">
        <v>1237</v>
      </c>
      <c r="D553" s="15" t="s">
        <v>1238</v>
      </c>
      <c r="E553" s="13">
        <v>1</v>
      </c>
      <c r="F553" s="13" t="s">
        <v>60</v>
      </c>
      <c r="G553" s="40"/>
      <c r="H553" s="14" t="str">
        <f t="shared" si="19"/>
        <v/>
      </c>
      <c r="I553" s="13" t="s">
        <v>30</v>
      </c>
      <c r="J553" s="13">
        <v>0</v>
      </c>
    </row>
    <row r="554" spans="1:10" s="13" customFormat="1" ht="273.60000000000002" hidden="1" x14ac:dyDescent="0.3">
      <c r="A554" s="15" t="s">
        <v>1239</v>
      </c>
      <c r="B554" s="15" t="s">
        <v>30</v>
      </c>
      <c r="C554" s="15" t="s">
        <v>1240</v>
      </c>
      <c r="D554" s="15" t="s">
        <v>1241</v>
      </c>
      <c r="E554" s="13">
        <v>1</v>
      </c>
      <c r="F554" s="13" t="s">
        <v>60</v>
      </c>
      <c r="G554" s="40"/>
      <c r="H554" s="14" t="str">
        <f t="shared" si="19"/>
        <v/>
      </c>
      <c r="I554" s="13" t="s">
        <v>30</v>
      </c>
      <c r="J554" s="13">
        <v>0</v>
      </c>
    </row>
    <row r="555" spans="1:10" s="13" customFormat="1" ht="302.39999999999998" hidden="1" x14ac:dyDescent="0.3">
      <c r="A555" s="15" t="s">
        <v>1242</v>
      </c>
      <c r="B555" s="15" t="s">
        <v>30</v>
      </c>
      <c r="C555" s="15" t="s">
        <v>1243</v>
      </c>
      <c r="D555" s="15" t="s">
        <v>1244</v>
      </c>
      <c r="E555" s="13">
        <v>2</v>
      </c>
      <c r="F555" s="13" t="s">
        <v>60</v>
      </c>
      <c r="G555" s="40"/>
      <c r="H555" s="14" t="str">
        <f t="shared" si="19"/>
        <v/>
      </c>
      <c r="I555" s="13" t="s">
        <v>30</v>
      </c>
      <c r="J555" s="13">
        <v>0</v>
      </c>
    </row>
    <row r="556" spans="1:10" s="13" customFormat="1" ht="288" hidden="1" x14ac:dyDescent="0.3">
      <c r="A556" s="15" t="s">
        <v>1245</v>
      </c>
      <c r="B556" s="15" t="s">
        <v>30</v>
      </c>
      <c r="C556" s="15" t="s">
        <v>1246</v>
      </c>
      <c r="D556" s="15" t="s">
        <v>1247</v>
      </c>
      <c r="E556" s="13">
        <v>1</v>
      </c>
      <c r="F556" s="13" t="s">
        <v>60</v>
      </c>
      <c r="G556" s="40"/>
      <c r="H556" s="14" t="str">
        <f t="shared" si="19"/>
        <v/>
      </c>
      <c r="I556" s="13" t="s">
        <v>30</v>
      </c>
      <c r="J556" s="13">
        <v>0</v>
      </c>
    </row>
    <row r="557" spans="1:10" s="13" customFormat="1" ht="302.39999999999998" hidden="1" x14ac:dyDescent="0.3">
      <c r="A557" s="15" t="s">
        <v>1248</v>
      </c>
      <c r="B557" s="15" t="s">
        <v>30</v>
      </c>
      <c r="C557" s="15" t="s">
        <v>1249</v>
      </c>
      <c r="D557" s="15" t="s">
        <v>1250</v>
      </c>
      <c r="E557" s="13">
        <v>1</v>
      </c>
      <c r="F557" s="13" t="s">
        <v>60</v>
      </c>
      <c r="G557" s="40"/>
      <c r="H557" s="14" t="str">
        <f t="shared" si="19"/>
        <v/>
      </c>
      <c r="I557" s="13" t="s">
        <v>30</v>
      </c>
      <c r="J557" s="13">
        <v>0</v>
      </c>
    </row>
    <row r="558" spans="1:10" s="11" customFormat="1" hidden="1" x14ac:dyDescent="0.3">
      <c r="A558" s="20" t="s">
        <v>1251</v>
      </c>
      <c r="B558" s="20"/>
      <c r="C558" s="20" t="s">
        <v>1252</v>
      </c>
      <c r="D558" s="20"/>
      <c r="G558" s="38"/>
      <c r="H558" s="12">
        <f>SUM(H559)</f>
        <v>0</v>
      </c>
    </row>
    <row r="559" spans="1:10" s="13" customFormat="1" ht="86.4" hidden="1" x14ac:dyDescent="0.3">
      <c r="A559" s="15" t="s">
        <v>1253</v>
      </c>
      <c r="B559" s="15" t="s">
        <v>30</v>
      </c>
      <c r="C559" s="15" t="s">
        <v>1254</v>
      </c>
      <c r="D559" s="15" t="s">
        <v>1255</v>
      </c>
      <c r="E559" s="13">
        <v>2</v>
      </c>
      <c r="F559" s="13" t="s">
        <v>60</v>
      </c>
      <c r="G559" s="40"/>
      <c r="H559" s="14" t="str">
        <f>IF(AND(ISNUMBER(E559),ISNUMBER(G559)),ROUND(PRODUCT(PRODUCT(E559, G559), 1 - J559), 2),"")</f>
        <v/>
      </c>
      <c r="I559" s="13" t="s">
        <v>30</v>
      </c>
      <c r="J559" s="13">
        <v>0</v>
      </c>
    </row>
    <row r="560" spans="1:10" s="11" customFormat="1" hidden="1" x14ac:dyDescent="0.3">
      <c r="A560" s="20" t="s">
        <v>1256</v>
      </c>
      <c r="B560" s="20"/>
      <c r="C560" s="20" t="s">
        <v>651</v>
      </c>
      <c r="D560" s="20"/>
      <c r="G560" s="38"/>
      <c r="H560" s="12">
        <f>SUM(H561)</f>
        <v>0</v>
      </c>
    </row>
    <row r="561" spans="1:10" s="13" customFormat="1" ht="28.8" hidden="1" x14ac:dyDescent="0.3">
      <c r="A561" s="15" t="s">
        <v>1257</v>
      </c>
      <c r="B561" s="15" t="s">
        <v>30</v>
      </c>
      <c r="C561" s="15" t="s">
        <v>1258</v>
      </c>
      <c r="D561" s="15" t="s">
        <v>1259</v>
      </c>
      <c r="E561" s="13">
        <v>7</v>
      </c>
      <c r="F561" s="13" t="s">
        <v>60</v>
      </c>
      <c r="G561" s="40"/>
      <c r="H561" s="14" t="str">
        <f>IF(AND(ISNUMBER(E561),ISNUMBER(G561)),ROUND(PRODUCT(PRODUCT(E561, G561), 1 - J561), 2),"")</f>
        <v/>
      </c>
      <c r="I561" s="13" t="s">
        <v>30</v>
      </c>
      <c r="J561" s="13">
        <v>0</v>
      </c>
    </row>
    <row r="562" spans="1:10" s="11" customFormat="1" hidden="1" x14ac:dyDescent="0.3">
      <c r="A562" s="20" t="s">
        <v>1260</v>
      </c>
      <c r="B562" s="20"/>
      <c r="C562" s="20" t="s">
        <v>810</v>
      </c>
      <c r="D562" s="20"/>
      <c r="G562" s="38"/>
      <c r="H562" s="12">
        <f>SUM(H563)</f>
        <v>0</v>
      </c>
    </row>
    <row r="563" spans="1:10" s="13" customFormat="1" ht="100.8" hidden="1" x14ac:dyDescent="0.3">
      <c r="A563" s="15" t="s">
        <v>1261</v>
      </c>
      <c r="B563" s="15" t="s">
        <v>30</v>
      </c>
      <c r="C563" s="15" t="s">
        <v>1262</v>
      </c>
      <c r="D563" s="15" t="s">
        <v>1263</v>
      </c>
      <c r="E563" s="13">
        <v>1</v>
      </c>
      <c r="F563" s="13" t="s">
        <v>38</v>
      </c>
      <c r="G563" s="40"/>
      <c r="H563" s="14" t="str">
        <f>IF(AND(ISNUMBER(E563),ISNUMBER(G563)),ROUND(PRODUCT(PRODUCT(E563, G563), 1 - J563), 2),"")</f>
        <v/>
      </c>
      <c r="I563" s="13" t="s">
        <v>30</v>
      </c>
      <c r="J563" s="13">
        <v>0</v>
      </c>
    </row>
    <row r="564" spans="1:10" s="11" customFormat="1" hidden="1" x14ac:dyDescent="0.3">
      <c r="A564" s="20" t="s">
        <v>1264</v>
      </c>
      <c r="B564" s="20"/>
      <c r="C564" s="20" t="s">
        <v>812</v>
      </c>
      <c r="D564" s="20"/>
      <c r="G564" s="38"/>
      <c r="H564" s="12">
        <v>0</v>
      </c>
    </row>
    <row r="565" spans="1:10" s="11" customFormat="1" hidden="1" x14ac:dyDescent="0.3">
      <c r="A565" s="20" t="s">
        <v>1265</v>
      </c>
      <c r="B565" s="20"/>
      <c r="C565" s="20" t="s">
        <v>1266</v>
      </c>
      <c r="D565" s="20"/>
      <c r="G565" s="38"/>
      <c r="H565" s="12">
        <f>SUM(H566,H569,H577)</f>
        <v>0</v>
      </c>
    </row>
    <row r="566" spans="1:10" s="11" customFormat="1" hidden="1" x14ac:dyDescent="0.3">
      <c r="A566" s="20" t="s">
        <v>1267</v>
      </c>
      <c r="B566" s="20"/>
      <c r="C566" s="20" t="s">
        <v>83</v>
      </c>
      <c r="D566" s="20"/>
      <c r="G566" s="38"/>
      <c r="H566" s="12">
        <v>0</v>
      </c>
    </row>
    <row r="567" spans="1:10" s="13" customFormat="1" ht="409.6" hidden="1" x14ac:dyDescent="0.3">
      <c r="A567" s="15"/>
      <c r="B567" s="15"/>
      <c r="C567" s="15" t="s">
        <v>28</v>
      </c>
      <c r="D567" s="15" t="s">
        <v>29</v>
      </c>
      <c r="G567" s="39"/>
      <c r="I567" s="13" t="s">
        <v>30</v>
      </c>
    </row>
    <row r="568" spans="1:10" s="13" customFormat="1" ht="86.4" hidden="1" x14ac:dyDescent="0.3">
      <c r="A568" s="15"/>
      <c r="B568" s="15"/>
      <c r="C568" s="15" t="s">
        <v>1268</v>
      </c>
      <c r="D568" s="15" t="s">
        <v>1269</v>
      </c>
      <c r="G568" s="39"/>
      <c r="I568" s="13" t="s">
        <v>30</v>
      </c>
    </row>
    <row r="569" spans="1:10" s="11" customFormat="1" hidden="1" x14ac:dyDescent="0.3">
      <c r="A569" s="20" t="s">
        <v>1270</v>
      </c>
      <c r="B569" s="20"/>
      <c r="C569" s="20" t="s">
        <v>1184</v>
      </c>
      <c r="D569" s="20"/>
      <c r="G569" s="38"/>
      <c r="H569" s="12">
        <f>SUM(H570,H571,H572,H573,H574,H575,H576)</f>
        <v>0</v>
      </c>
    </row>
    <row r="570" spans="1:10" s="13" customFormat="1" ht="216" hidden="1" x14ac:dyDescent="0.3">
      <c r="A570" s="15" t="s">
        <v>1271</v>
      </c>
      <c r="B570" s="15" t="s">
        <v>30</v>
      </c>
      <c r="C570" s="15" t="s">
        <v>1272</v>
      </c>
      <c r="D570" s="15" t="s">
        <v>1273</v>
      </c>
      <c r="E570" s="13">
        <v>2</v>
      </c>
      <c r="F570" s="13" t="s">
        <v>60</v>
      </c>
      <c r="G570" s="40"/>
      <c r="H570" s="14" t="str">
        <f t="shared" ref="H570:H576" si="20">IF(AND(ISNUMBER(E570),ISNUMBER(G570)),ROUND(PRODUCT(PRODUCT(E570, G570), 1 - J570), 2),"")</f>
        <v/>
      </c>
      <c r="I570" s="13" t="s">
        <v>30</v>
      </c>
      <c r="J570" s="13">
        <v>0</v>
      </c>
    </row>
    <row r="571" spans="1:10" s="13" customFormat="1" ht="216" hidden="1" x14ac:dyDescent="0.3">
      <c r="A571" s="15" t="s">
        <v>1274</v>
      </c>
      <c r="B571" s="15" t="s">
        <v>30</v>
      </c>
      <c r="C571" s="15" t="s">
        <v>1275</v>
      </c>
      <c r="D571" s="15" t="s">
        <v>1276</v>
      </c>
      <c r="E571" s="13">
        <v>4</v>
      </c>
      <c r="F571" s="13" t="s">
        <v>60</v>
      </c>
      <c r="G571" s="40"/>
      <c r="H571" s="14" t="str">
        <f t="shared" si="20"/>
        <v/>
      </c>
      <c r="I571" s="13" t="s">
        <v>30</v>
      </c>
      <c r="J571" s="13">
        <v>0</v>
      </c>
    </row>
    <row r="572" spans="1:10" s="13" customFormat="1" ht="216" hidden="1" x14ac:dyDescent="0.3">
      <c r="A572" s="15" t="s">
        <v>1277</v>
      </c>
      <c r="B572" s="15" t="s">
        <v>30</v>
      </c>
      <c r="C572" s="15" t="s">
        <v>1278</v>
      </c>
      <c r="D572" s="15" t="s">
        <v>1279</v>
      </c>
      <c r="E572" s="13">
        <v>1</v>
      </c>
      <c r="F572" s="13" t="s">
        <v>60</v>
      </c>
      <c r="G572" s="40"/>
      <c r="H572" s="14" t="str">
        <f t="shared" si="20"/>
        <v/>
      </c>
      <c r="I572" s="13" t="s">
        <v>30</v>
      </c>
      <c r="J572" s="13">
        <v>0</v>
      </c>
    </row>
    <row r="573" spans="1:10" s="13" customFormat="1" ht="273.60000000000002" hidden="1" x14ac:dyDescent="0.3">
      <c r="A573" s="15" t="s">
        <v>1280</v>
      </c>
      <c r="B573" s="15" t="s">
        <v>30</v>
      </c>
      <c r="C573" s="15" t="s">
        <v>1281</v>
      </c>
      <c r="D573" s="15" t="s">
        <v>1282</v>
      </c>
      <c r="E573" s="13">
        <v>1</v>
      </c>
      <c r="F573" s="13" t="s">
        <v>60</v>
      </c>
      <c r="G573" s="40"/>
      <c r="H573" s="14" t="str">
        <f t="shared" si="20"/>
        <v/>
      </c>
      <c r="I573" s="13" t="s">
        <v>30</v>
      </c>
      <c r="J573" s="13">
        <v>0</v>
      </c>
    </row>
    <row r="574" spans="1:10" s="13" customFormat="1" ht="259.2" hidden="1" x14ac:dyDescent="0.3">
      <c r="A574" s="15" t="s">
        <v>1283</v>
      </c>
      <c r="B574" s="15" t="s">
        <v>30</v>
      </c>
      <c r="C574" s="15" t="s">
        <v>1284</v>
      </c>
      <c r="D574" s="15" t="s">
        <v>1285</v>
      </c>
      <c r="E574" s="13">
        <v>2</v>
      </c>
      <c r="F574" s="13" t="s">
        <v>60</v>
      </c>
      <c r="G574" s="40"/>
      <c r="H574" s="14" t="str">
        <f t="shared" si="20"/>
        <v/>
      </c>
      <c r="I574" s="13" t="s">
        <v>30</v>
      </c>
      <c r="J574" s="13">
        <v>0</v>
      </c>
    </row>
    <row r="575" spans="1:10" s="13" customFormat="1" ht="331.2" hidden="1" x14ac:dyDescent="0.3">
      <c r="A575" s="15" t="s">
        <v>1286</v>
      </c>
      <c r="B575" s="15" t="s">
        <v>30</v>
      </c>
      <c r="C575" s="15" t="s">
        <v>1287</v>
      </c>
      <c r="D575" s="15" t="s">
        <v>1288</v>
      </c>
      <c r="E575" s="13">
        <v>2</v>
      </c>
      <c r="F575" s="13" t="s">
        <v>60</v>
      </c>
      <c r="G575" s="40"/>
      <c r="H575" s="14" t="str">
        <f t="shared" si="20"/>
        <v/>
      </c>
      <c r="I575" s="13" t="s">
        <v>30</v>
      </c>
      <c r="J575" s="13">
        <v>0</v>
      </c>
    </row>
    <row r="576" spans="1:10" s="13" customFormat="1" ht="316.8" hidden="1" x14ac:dyDescent="0.3">
      <c r="A576" s="15" t="s">
        <v>1289</v>
      </c>
      <c r="B576" s="15" t="s">
        <v>30</v>
      </c>
      <c r="C576" s="15" t="s">
        <v>1290</v>
      </c>
      <c r="D576" s="15" t="s">
        <v>1291</v>
      </c>
      <c r="E576" s="13">
        <v>3</v>
      </c>
      <c r="F576" s="13" t="s">
        <v>60</v>
      </c>
      <c r="G576" s="40"/>
      <c r="H576" s="14" t="str">
        <f t="shared" si="20"/>
        <v/>
      </c>
      <c r="I576" s="13" t="s">
        <v>30</v>
      </c>
      <c r="J576" s="13">
        <v>0</v>
      </c>
    </row>
    <row r="577" spans="1:10" s="11" customFormat="1" hidden="1" x14ac:dyDescent="0.3">
      <c r="A577" s="20" t="s">
        <v>1292</v>
      </c>
      <c r="B577" s="20"/>
      <c r="C577" s="20" t="s">
        <v>79</v>
      </c>
      <c r="D577" s="20"/>
      <c r="G577" s="38"/>
      <c r="H577" s="12">
        <f>SUM(H578)</f>
        <v>0</v>
      </c>
    </row>
    <row r="578" spans="1:10" s="13" customFormat="1" ht="28.8" hidden="1" x14ac:dyDescent="0.3">
      <c r="A578" s="15" t="s">
        <v>1293</v>
      </c>
      <c r="B578" s="15" t="s">
        <v>30</v>
      </c>
      <c r="C578" s="15" t="s">
        <v>1294</v>
      </c>
      <c r="D578" s="15" t="s">
        <v>1259</v>
      </c>
      <c r="E578" s="13">
        <v>5</v>
      </c>
      <c r="F578" s="13" t="s">
        <v>60</v>
      </c>
      <c r="G578" s="40"/>
      <c r="H578" s="14" t="str">
        <f>IF(AND(ISNUMBER(E578),ISNUMBER(G578)),ROUND(PRODUCT(PRODUCT(E578, G578), 1 - J578), 2),"")</f>
        <v/>
      </c>
      <c r="I578" s="13" t="s">
        <v>30</v>
      </c>
      <c r="J578" s="13">
        <v>0</v>
      </c>
    </row>
    <row r="579" spans="1:10" s="11" customFormat="1" hidden="1" x14ac:dyDescent="0.3">
      <c r="A579" s="20" t="s">
        <v>1295</v>
      </c>
      <c r="B579" s="20"/>
      <c r="C579" s="20" t="s">
        <v>1151</v>
      </c>
      <c r="D579" s="20"/>
      <c r="G579" s="38"/>
      <c r="H579" s="12">
        <f>SUM(H580,H583,H590,H594,H595,H598,H600)</f>
        <v>0</v>
      </c>
    </row>
    <row r="580" spans="1:10" s="11" customFormat="1" hidden="1" x14ac:dyDescent="0.3">
      <c r="A580" s="20" t="s">
        <v>1296</v>
      </c>
      <c r="B580" s="20"/>
      <c r="C580" s="20" t="s">
        <v>83</v>
      </c>
      <c r="D580" s="20"/>
      <c r="G580" s="38"/>
      <c r="H580" s="12">
        <v>0</v>
      </c>
    </row>
    <row r="581" spans="1:10" s="13" customFormat="1" ht="409.6" hidden="1" x14ac:dyDescent="0.3">
      <c r="A581" s="15"/>
      <c r="B581" s="15"/>
      <c r="C581" s="15" t="s">
        <v>28</v>
      </c>
      <c r="D581" s="15" t="s">
        <v>29</v>
      </c>
      <c r="G581" s="39"/>
      <c r="I581" s="13" t="s">
        <v>30</v>
      </c>
    </row>
    <row r="582" spans="1:10" s="13" customFormat="1" ht="43.2" hidden="1" x14ac:dyDescent="0.3">
      <c r="A582" s="15"/>
      <c r="B582" s="15"/>
      <c r="C582" s="15" t="s">
        <v>1297</v>
      </c>
      <c r="D582" s="15" t="s">
        <v>1298</v>
      </c>
      <c r="G582" s="39"/>
      <c r="I582" s="13" t="s">
        <v>30</v>
      </c>
    </row>
    <row r="583" spans="1:10" s="11" customFormat="1" hidden="1" x14ac:dyDescent="0.3">
      <c r="A583" s="20" t="s">
        <v>1299</v>
      </c>
      <c r="B583" s="20"/>
      <c r="C583" s="20" t="s">
        <v>1300</v>
      </c>
      <c r="D583" s="20"/>
      <c r="G583" s="38"/>
      <c r="H583" s="12">
        <f>SUM(H584,H585,H586,H587,H588,H589)</f>
        <v>0</v>
      </c>
    </row>
    <row r="584" spans="1:10" s="13" customFormat="1" ht="316.8" hidden="1" x14ac:dyDescent="0.3">
      <c r="A584" s="15" t="s">
        <v>1301</v>
      </c>
      <c r="B584" s="15" t="s">
        <v>30</v>
      </c>
      <c r="C584" s="15" t="s">
        <v>1302</v>
      </c>
      <c r="D584" s="15" t="s">
        <v>1303</v>
      </c>
      <c r="E584" s="13">
        <v>1</v>
      </c>
      <c r="F584" s="13" t="s">
        <v>60</v>
      </c>
      <c r="G584" s="40"/>
      <c r="H584" s="14" t="str">
        <f t="shared" ref="H584:H589" si="21">IF(AND(ISNUMBER(E584),ISNUMBER(G584)),ROUND(PRODUCT(PRODUCT(E584, G584), 1 - J584), 2),"")</f>
        <v/>
      </c>
      <c r="I584" s="13" t="s">
        <v>30</v>
      </c>
      <c r="J584" s="13">
        <v>0</v>
      </c>
    </row>
    <row r="585" spans="1:10" s="13" customFormat="1" ht="316.8" hidden="1" x14ac:dyDescent="0.3">
      <c r="A585" s="15" t="s">
        <v>1304</v>
      </c>
      <c r="B585" s="15" t="s">
        <v>30</v>
      </c>
      <c r="C585" s="15" t="s">
        <v>1305</v>
      </c>
      <c r="D585" s="15" t="s">
        <v>1306</v>
      </c>
      <c r="E585" s="13">
        <v>2</v>
      </c>
      <c r="F585" s="13" t="s">
        <v>60</v>
      </c>
      <c r="G585" s="40"/>
      <c r="H585" s="14" t="str">
        <f t="shared" si="21"/>
        <v/>
      </c>
      <c r="I585" s="13" t="s">
        <v>30</v>
      </c>
      <c r="J585" s="13">
        <v>0</v>
      </c>
    </row>
    <row r="586" spans="1:10" s="13" customFormat="1" ht="316.8" hidden="1" x14ac:dyDescent="0.3">
      <c r="A586" s="15" t="s">
        <v>1307</v>
      </c>
      <c r="B586" s="15" t="s">
        <v>30</v>
      </c>
      <c r="C586" s="15" t="s">
        <v>1308</v>
      </c>
      <c r="D586" s="15" t="s">
        <v>1309</v>
      </c>
      <c r="E586" s="13">
        <v>1</v>
      </c>
      <c r="F586" s="13" t="s">
        <v>60</v>
      </c>
      <c r="G586" s="40"/>
      <c r="H586" s="14" t="str">
        <f t="shared" si="21"/>
        <v/>
      </c>
      <c r="I586" s="13" t="s">
        <v>30</v>
      </c>
      <c r="J586" s="13">
        <v>0</v>
      </c>
    </row>
    <row r="587" spans="1:10" s="13" customFormat="1" ht="43.2" hidden="1" x14ac:dyDescent="0.3">
      <c r="A587" s="15" t="s">
        <v>1310</v>
      </c>
      <c r="B587" s="15" t="s">
        <v>30</v>
      </c>
      <c r="C587" s="15" t="s">
        <v>1311</v>
      </c>
      <c r="D587" s="15" t="s">
        <v>1312</v>
      </c>
      <c r="E587" s="13">
        <v>4</v>
      </c>
      <c r="F587" s="13" t="s">
        <v>60</v>
      </c>
      <c r="G587" s="40"/>
      <c r="H587" s="14" t="str">
        <f t="shared" si="21"/>
        <v/>
      </c>
      <c r="I587" s="13" t="s">
        <v>30</v>
      </c>
      <c r="J587" s="13">
        <v>0</v>
      </c>
    </row>
    <row r="588" spans="1:10" s="13" customFormat="1" ht="57.6" hidden="1" x14ac:dyDescent="0.3">
      <c r="A588" s="15" t="s">
        <v>1313</v>
      </c>
      <c r="B588" s="15" t="s">
        <v>30</v>
      </c>
      <c r="C588" s="15" t="s">
        <v>1314</v>
      </c>
      <c r="D588" s="15" t="s">
        <v>1315</v>
      </c>
      <c r="E588" s="13">
        <v>4</v>
      </c>
      <c r="F588" s="13" t="s">
        <v>60</v>
      </c>
      <c r="G588" s="40"/>
      <c r="H588" s="14" t="str">
        <f t="shared" si="21"/>
        <v/>
      </c>
      <c r="I588" s="13" t="s">
        <v>30</v>
      </c>
      <c r="J588" s="13">
        <v>0</v>
      </c>
    </row>
    <row r="589" spans="1:10" s="13" customFormat="1" ht="28.8" hidden="1" x14ac:dyDescent="0.3">
      <c r="A589" s="15" t="s">
        <v>1316</v>
      </c>
      <c r="B589" s="15" t="s">
        <v>30</v>
      </c>
      <c r="C589" s="15" t="s">
        <v>1317</v>
      </c>
      <c r="D589" s="15" t="s">
        <v>1318</v>
      </c>
      <c r="E589" s="13">
        <v>4</v>
      </c>
      <c r="F589" s="13" t="s">
        <v>60</v>
      </c>
      <c r="G589" s="40"/>
      <c r="H589" s="14" t="str">
        <f t="shared" si="21"/>
        <v/>
      </c>
      <c r="I589" s="13" t="s">
        <v>30</v>
      </c>
      <c r="J589" s="13">
        <v>0</v>
      </c>
    </row>
    <row r="590" spans="1:10" s="11" customFormat="1" hidden="1" x14ac:dyDescent="0.3">
      <c r="A590" s="20" t="s">
        <v>1319</v>
      </c>
      <c r="B590" s="20"/>
      <c r="C590" s="20" t="s">
        <v>1320</v>
      </c>
      <c r="D590" s="20"/>
      <c r="G590" s="38"/>
      <c r="H590" s="12">
        <f>SUM(H591)</f>
        <v>0</v>
      </c>
    </row>
    <row r="591" spans="1:10" s="13" customFormat="1" ht="230.4" hidden="1" x14ac:dyDescent="0.3">
      <c r="A591" s="15" t="s">
        <v>1321</v>
      </c>
      <c r="B591" s="15" t="s">
        <v>30</v>
      </c>
      <c r="C591" s="15" t="s">
        <v>1322</v>
      </c>
      <c r="D591" s="15" t="s">
        <v>1323</v>
      </c>
      <c r="E591" s="13">
        <v>1</v>
      </c>
      <c r="F591" s="13" t="s">
        <v>60</v>
      </c>
      <c r="G591" s="40"/>
      <c r="H591" s="14" t="str">
        <f>IF(AND(ISNUMBER(E591),ISNUMBER(G591)),ROUND(PRODUCT(PRODUCT(E591, G591), 1 - J591), 2),"")</f>
        <v/>
      </c>
      <c r="I591" s="13" t="s">
        <v>30</v>
      </c>
      <c r="J591" s="13">
        <v>0</v>
      </c>
    </row>
    <row r="592" spans="1:10" s="13" customFormat="1" ht="302.39999999999998" hidden="1" x14ac:dyDescent="0.3">
      <c r="A592" s="15" t="s">
        <v>1324</v>
      </c>
      <c r="B592" s="15" t="s">
        <v>1325</v>
      </c>
      <c r="C592" s="15" t="s">
        <v>1326</v>
      </c>
      <c r="D592" s="15" t="s">
        <v>1327</v>
      </c>
      <c r="E592" s="13">
        <v>1</v>
      </c>
      <c r="F592" s="13" t="s">
        <v>60</v>
      </c>
      <c r="G592" s="40"/>
      <c r="I592" s="13" t="s">
        <v>30</v>
      </c>
    </row>
    <row r="593" spans="1:10" s="13" customFormat="1" ht="57.6" hidden="1" x14ac:dyDescent="0.3">
      <c r="A593" s="15" t="s">
        <v>1328</v>
      </c>
      <c r="B593" s="15" t="s">
        <v>1325</v>
      </c>
      <c r="C593" s="15" t="s">
        <v>1329</v>
      </c>
      <c r="D593" s="15" t="s">
        <v>1330</v>
      </c>
      <c r="E593" s="13">
        <v>1</v>
      </c>
      <c r="F593" s="13" t="s">
        <v>60</v>
      </c>
      <c r="G593" s="40"/>
      <c r="I593" s="13" t="s">
        <v>30</v>
      </c>
    </row>
    <row r="594" spans="1:10" s="11" customFormat="1" hidden="1" x14ac:dyDescent="0.3">
      <c r="A594" s="20" t="s">
        <v>1331</v>
      </c>
      <c r="B594" s="20"/>
      <c r="C594" s="20" t="s">
        <v>1332</v>
      </c>
      <c r="D594" s="20"/>
      <c r="G594" s="38"/>
      <c r="H594" s="12">
        <v>0</v>
      </c>
    </row>
    <row r="595" spans="1:10" s="11" customFormat="1" hidden="1" x14ac:dyDescent="0.3">
      <c r="A595" s="20" t="s">
        <v>1333</v>
      </c>
      <c r="B595" s="20"/>
      <c r="C595" s="20" t="s">
        <v>79</v>
      </c>
      <c r="D595" s="20"/>
      <c r="G595" s="38"/>
      <c r="H595" s="12">
        <f>SUM(H596,H597)</f>
        <v>0</v>
      </c>
    </row>
    <row r="596" spans="1:10" s="13" customFormat="1" ht="388.8" hidden="1" x14ac:dyDescent="0.3">
      <c r="A596" s="15" t="s">
        <v>1334</v>
      </c>
      <c r="B596" s="15" t="s">
        <v>30</v>
      </c>
      <c r="C596" s="15" t="s">
        <v>1335</v>
      </c>
      <c r="D596" s="15" t="s">
        <v>1336</v>
      </c>
      <c r="E596" s="13">
        <v>1</v>
      </c>
      <c r="F596" s="13" t="s">
        <v>60</v>
      </c>
      <c r="G596" s="40"/>
      <c r="H596" s="14" t="str">
        <f>IF(AND(ISNUMBER(E596),ISNUMBER(G596)),ROUND(PRODUCT(PRODUCT(E596, G596), 1 - J596), 2),"")</f>
        <v/>
      </c>
      <c r="I596" s="13" t="s">
        <v>30</v>
      </c>
      <c r="J596" s="13">
        <v>0</v>
      </c>
    </row>
    <row r="597" spans="1:10" s="13" customFormat="1" ht="316.8" hidden="1" x14ac:dyDescent="0.3">
      <c r="A597" s="15" t="s">
        <v>1337</v>
      </c>
      <c r="B597" s="15" t="s">
        <v>30</v>
      </c>
      <c r="C597" s="15" t="s">
        <v>1338</v>
      </c>
      <c r="D597" s="15" t="s">
        <v>1339</v>
      </c>
      <c r="E597" s="13">
        <v>1</v>
      </c>
      <c r="F597" s="13" t="s">
        <v>60</v>
      </c>
      <c r="G597" s="40"/>
      <c r="H597" s="14" t="str">
        <f>IF(AND(ISNUMBER(E597),ISNUMBER(G597)),ROUND(PRODUCT(PRODUCT(E597, G597), 1 - J597), 2),"")</f>
        <v/>
      </c>
      <c r="I597" s="13" t="s">
        <v>30</v>
      </c>
      <c r="J597" s="13">
        <v>0</v>
      </c>
    </row>
    <row r="598" spans="1:10" s="11" customFormat="1" hidden="1" x14ac:dyDescent="0.3">
      <c r="A598" s="20" t="s">
        <v>1340</v>
      </c>
      <c r="B598" s="20"/>
      <c r="C598" s="20" t="s">
        <v>810</v>
      </c>
      <c r="D598" s="20"/>
      <c r="G598" s="38"/>
      <c r="H598" s="12">
        <f>SUM(H599)</f>
        <v>0</v>
      </c>
    </row>
    <row r="599" spans="1:10" s="13" customFormat="1" ht="72" hidden="1" x14ac:dyDescent="0.3">
      <c r="A599" s="15" t="s">
        <v>1341</v>
      </c>
      <c r="B599" s="15" t="s">
        <v>30</v>
      </c>
      <c r="C599" s="15" t="s">
        <v>1342</v>
      </c>
      <c r="D599" s="15" t="s">
        <v>1343</v>
      </c>
      <c r="E599" s="13">
        <v>1</v>
      </c>
      <c r="F599" s="13" t="s">
        <v>38</v>
      </c>
      <c r="G599" s="40"/>
      <c r="H599" s="14" t="str">
        <f>IF(AND(ISNUMBER(E599),ISNUMBER(G599)),ROUND(PRODUCT(PRODUCT(E599, G599), 1 - J599), 2),"")</f>
        <v/>
      </c>
      <c r="I599" s="13" t="s">
        <v>30</v>
      </c>
      <c r="J599" s="13">
        <v>0</v>
      </c>
    </row>
    <row r="600" spans="1:10" s="11" customFormat="1" hidden="1" x14ac:dyDescent="0.3">
      <c r="A600" s="20" t="s">
        <v>1344</v>
      </c>
      <c r="B600" s="20"/>
      <c r="C600" s="20" t="s">
        <v>812</v>
      </c>
      <c r="D600" s="20"/>
      <c r="G600" s="38"/>
      <c r="H600" s="12">
        <v>0</v>
      </c>
    </row>
    <row r="601" spans="1:10" s="11" customFormat="1" hidden="1" x14ac:dyDescent="0.3">
      <c r="A601" s="20" t="s">
        <v>1345</v>
      </c>
      <c r="B601" s="20"/>
      <c r="C601" s="20" t="s">
        <v>1346</v>
      </c>
      <c r="D601" s="20"/>
      <c r="G601" s="38"/>
      <c r="H601" s="12">
        <v>0</v>
      </c>
    </row>
    <row r="602" spans="1:10" s="11" customFormat="1" hidden="1" x14ac:dyDescent="0.3">
      <c r="A602" s="20" t="s">
        <v>1347</v>
      </c>
      <c r="B602" s="20"/>
      <c r="C602" s="20" t="s">
        <v>1348</v>
      </c>
      <c r="D602" s="20"/>
      <c r="G602" s="38"/>
      <c r="H602" s="12">
        <f>SUM(H603,H606,H609,H611,H614)</f>
        <v>0</v>
      </c>
    </row>
    <row r="603" spans="1:10" s="11" customFormat="1" hidden="1" x14ac:dyDescent="0.3">
      <c r="A603" s="20" t="s">
        <v>1349</v>
      </c>
      <c r="B603" s="20"/>
      <c r="C603" s="20" t="s">
        <v>83</v>
      </c>
      <c r="D603" s="20"/>
      <c r="G603" s="38"/>
      <c r="H603" s="12">
        <v>0</v>
      </c>
    </row>
    <row r="604" spans="1:10" s="13" customFormat="1" ht="409.6" hidden="1" x14ac:dyDescent="0.3">
      <c r="A604" s="15"/>
      <c r="B604" s="15"/>
      <c r="C604" s="15" t="s">
        <v>28</v>
      </c>
      <c r="D604" s="15" t="s">
        <v>84</v>
      </c>
      <c r="G604" s="39"/>
      <c r="I604" s="13" t="s">
        <v>30</v>
      </c>
    </row>
    <row r="605" spans="1:10" s="13" customFormat="1" ht="115.2" hidden="1" x14ac:dyDescent="0.3">
      <c r="A605" s="15"/>
      <c r="B605" s="15"/>
      <c r="C605" s="15" t="s">
        <v>253</v>
      </c>
      <c r="D605" s="15" t="s">
        <v>1350</v>
      </c>
      <c r="G605" s="39"/>
      <c r="I605" s="13" t="s">
        <v>30</v>
      </c>
    </row>
    <row r="606" spans="1:10" s="11" customFormat="1" hidden="1" x14ac:dyDescent="0.3">
      <c r="A606" s="20" t="s">
        <v>1351</v>
      </c>
      <c r="B606" s="20"/>
      <c r="C606" s="20" t="s">
        <v>1352</v>
      </c>
      <c r="D606" s="20"/>
      <c r="G606" s="38"/>
      <c r="H606" s="12">
        <f>SUM(H607,H608)</f>
        <v>0</v>
      </c>
    </row>
    <row r="607" spans="1:10" s="13" customFormat="1" ht="187.2" hidden="1" x14ac:dyDescent="0.3">
      <c r="A607" s="15" t="s">
        <v>1353</v>
      </c>
      <c r="B607" s="15" t="s">
        <v>30</v>
      </c>
      <c r="C607" s="15" t="s">
        <v>1354</v>
      </c>
      <c r="D607" s="15" t="s">
        <v>1355</v>
      </c>
      <c r="E607" s="13">
        <v>410</v>
      </c>
      <c r="F607" s="13" t="s">
        <v>100</v>
      </c>
      <c r="G607" s="40"/>
      <c r="H607" s="14" t="str">
        <f>IF(AND(ISNUMBER(E607),ISNUMBER(G607)),ROUND(PRODUCT(PRODUCT(E607, G607), 1 - J607), 2),"")</f>
        <v/>
      </c>
      <c r="I607" s="13" t="s">
        <v>30</v>
      </c>
      <c r="J607" s="13">
        <v>0</v>
      </c>
    </row>
    <row r="608" spans="1:10" s="13" customFormat="1" ht="57.6" hidden="1" x14ac:dyDescent="0.3">
      <c r="A608" s="15" t="s">
        <v>1356</v>
      </c>
      <c r="B608" s="15" t="s">
        <v>30</v>
      </c>
      <c r="C608" s="15" t="s">
        <v>1357</v>
      </c>
      <c r="D608" s="15" t="s">
        <v>1358</v>
      </c>
      <c r="E608" s="13">
        <v>42</v>
      </c>
      <c r="F608" s="13" t="s">
        <v>100</v>
      </c>
      <c r="G608" s="40"/>
      <c r="H608" s="14" t="str">
        <f>IF(AND(ISNUMBER(E608),ISNUMBER(G608)),ROUND(PRODUCT(PRODUCT(E608, G608), 1 - J608), 2),"")</f>
        <v/>
      </c>
      <c r="I608" s="13" t="s">
        <v>30</v>
      </c>
      <c r="J608" s="13">
        <v>0</v>
      </c>
    </row>
    <row r="609" spans="1:10" s="11" customFormat="1" hidden="1" x14ac:dyDescent="0.3">
      <c r="A609" s="20" t="s">
        <v>1359</v>
      </c>
      <c r="B609" s="20"/>
      <c r="C609" s="20" t="s">
        <v>1360</v>
      </c>
      <c r="D609" s="20"/>
      <c r="G609" s="38"/>
      <c r="H609" s="12">
        <v>0</v>
      </c>
    </row>
    <row r="610" spans="1:10" s="13" customFormat="1" ht="72" hidden="1" x14ac:dyDescent="0.3">
      <c r="A610" s="15" t="s">
        <v>1361</v>
      </c>
      <c r="B610" s="15" t="s">
        <v>1325</v>
      </c>
      <c r="C610" s="15" t="s">
        <v>1362</v>
      </c>
      <c r="D610" s="15" t="s">
        <v>1363</v>
      </c>
      <c r="E610" s="13">
        <v>150</v>
      </c>
      <c r="F610" s="13" t="s">
        <v>100</v>
      </c>
      <c r="G610" s="40"/>
      <c r="I610" s="13" t="s">
        <v>30</v>
      </c>
    </row>
    <row r="611" spans="1:10" s="11" customFormat="1" hidden="1" x14ac:dyDescent="0.3">
      <c r="A611" s="20" t="s">
        <v>1364</v>
      </c>
      <c r="B611" s="20"/>
      <c r="C611" s="20" t="s">
        <v>1365</v>
      </c>
      <c r="D611" s="20"/>
      <c r="G611" s="38"/>
      <c r="H611" s="12">
        <f>SUM(H612,H613)</f>
        <v>0</v>
      </c>
    </row>
    <row r="612" spans="1:10" s="13" customFormat="1" ht="230.4" hidden="1" x14ac:dyDescent="0.3">
      <c r="A612" s="15" t="s">
        <v>1366</v>
      </c>
      <c r="B612" s="15" t="s">
        <v>30</v>
      </c>
      <c r="C612" s="15" t="s">
        <v>1367</v>
      </c>
      <c r="D612" s="15" t="s">
        <v>1368</v>
      </c>
      <c r="E612" s="13">
        <v>48</v>
      </c>
      <c r="F612" s="13" t="s">
        <v>100</v>
      </c>
      <c r="G612" s="40"/>
      <c r="H612" s="14" t="str">
        <f>IF(AND(ISNUMBER(E612),ISNUMBER(G612)),ROUND(PRODUCT(PRODUCT(E612, G612), 1 - J612), 2),"")</f>
        <v/>
      </c>
      <c r="I612" s="13" t="s">
        <v>30</v>
      </c>
      <c r="J612" s="13">
        <v>0</v>
      </c>
    </row>
    <row r="613" spans="1:10" s="13" customFormat="1" hidden="1" x14ac:dyDescent="0.3">
      <c r="A613" s="15" t="s">
        <v>1369</v>
      </c>
      <c r="B613" s="15" t="s">
        <v>30</v>
      </c>
      <c r="C613" s="15" t="s">
        <v>1370</v>
      </c>
      <c r="D613" s="15" t="s">
        <v>1371</v>
      </c>
      <c r="E613" s="13">
        <v>7.6</v>
      </c>
      <c r="F613" s="13" t="s">
        <v>71</v>
      </c>
      <c r="G613" s="40"/>
      <c r="H613" s="14" t="str">
        <f>IF(AND(ISNUMBER(E613),ISNUMBER(G613)),ROUND(PRODUCT(PRODUCT(E613, G613), 1 - J613), 2),"")</f>
        <v/>
      </c>
      <c r="I613" s="13" t="s">
        <v>30</v>
      </c>
      <c r="J613" s="13">
        <v>0</v>
      </c>
    </row>
    <row r="614" spans="1:10" s="11" customFormat="1" hidden="1" x14ac:dyDescent="0.3">
      <c r="A614" s="20" t="s">
        <v>1372</v>
      </c>
      <c r="B614" s="20"/>
      <c r="C614" s="20" t="s">
        <v>79</v>
      </c>
      <c r="D614" s="20"/>
      <c r="G614" s="38"/>
      <c r="H614" s="12">
        <v>0</v>
      </c>
    </row>
    <row r="615" spans="1:10" s="11" customFormat="1" hidden="1" x14ac:dyDescent="0.3">
      <c r="A615" s="20" t="s">
        <v>1373</v>
      </c>
      <c r="B615" s="20"/>
      <c r="C615" s="20" t="s">
        <v>1374</v>
      </c>
      <c r="D615" s="20"/>
      <c r="G615" s="38"/>
      <c r="H615" s="12">
        <f>SUM(H616,H620,H643,H644,H648,H650,H656,H661,H668,H669)</f>
        <v>0</v>
      </c>
    </row>
    <row r="616" spans="1:10" s="11" customFormat="1" hidden="1" x14ac:dyDescent="0.3">
      <c r="A616" s="20" t="s">
        <v>1375</v>
      </c>
      <c r="B616" s="20"/>
      <c r="C616" s="20" t="s">
        <v>83</v>
      </c>
      <c r="D616" s="20"/>
      <c r="G616" s="38"/>
      <c r="H616" s="12">
        <v>0</v>
      </c>
    </row>
    <row r="617" spans="1:10" s="13" customFormat="1" ht="409.6" hidden="1" x14ac:dyDescent="0.3">
      <c r="A617" s="15"/>
      <c r="B617" s="15"/>
      <c r="C617" s="15" t="s">
        <v>28</v>
      </c>
      <c r="D617" s="15" t="s">
        <v>29</v>
      </c>
      <c r="G617" s="39"/>
      <c r="I617" s="13" t="s">
        <v>30</v>
      </c>
    </row>
    <row r="618" spans="1:10" s="13" customFormat="1" ht="172.8" hidden="1" x14ac:dyDescent="0.3">
      <c r="A618" s="15"/>
      <c r="B618" s="15"/>
      <c r="C618" s="15" t="s">
        <v>1376</v>
      </c>
      <c r="D618" s="15" t="s">
        <v>1377</v>
      </c>
      <c r="G618" s="39"/>
      <c r="I618" s="13" t="s">
        <v>30</v>
      </c>
    </row>
    <row r="619" spans="1:10" s="13" customFormat="1" ht="244.8" hidden="1" x14ac:dyDescent="0.3">
      <c r="A619" s="15"/>
      <c r="B619" s="15"/>
      <c r="C619" s="15" t="s">
        <v>1378</v>
      </c>
      <c r="D619" s="15" t="s">
        <v>1379</v>
      </c>
      <c r="G619" s="39"/>
      <c r="I619" s="13" t="s">
        <v>30</v>
      </c>
    </row>
    <row r="620" spans="1:10" s="11" customFormat="1" hidden="1" x14ac:dyDescent="0.3">
      <c r="A620" s="20" t="s">
        <v>1380</v>
      </c>
      <c r="B620" s="20"/>
      <c r="C620" s="20" t="s">
        <v>749</v>
      </c>
      <c r="D620" s="20"/>
      <c r="G620" s="38"/>
      <c r="H620" s="12">
        <f>SUM(H621,H622,H623,H624,H625,H626,H627,H628,H629,H630,H631,H632,H633,H634,H635,H636,H637,H638,H639,H640,H641,H642)</f>
        <v>0</v>
      </c>
    </row>
    <row r="621" spans="1:10" s="13" customFormat="1" ht="172.8" hidden="1" x14ac:dyDescent="0.3">
      <c r="A621" s="15" t="s">
        <v>1381</v>
      </c>
      <c r="B621" s="15" t="s">
        <v>30</v>
      </c>
      <c r="C621" s="15" t="s">
        <v>1382</v>
      </c>
      <c r="D621" s="15" t="s">
        <v>1383</v>
      </c>
      <c r="E621" s="13">
        <v>910</v>
      </c>
      <c r="F621" s="13" t="s">
        <v>100</v>
      </c>
      <c r="G621" s="40"/>
      <c r="H621" s="14" t="str">
        <f t="shared" ref="H621:H643" si="22">IF(AND(ISNUMBER(E621),ISNUMBER(G621)),ROUND(PRODUCT(PRODUCT(E621, G621), 1 - J621), 2),"")</f>
        <v/>
      </c>
      <c r="I621" s="13" t="s">
        <v>30</v>
      </c>
      <c r="J621" s="13">
        <v>0</v>
      </c>
    </row>
    <row r="622" spans="1:10" s="13" customFormat="1" ht="172.8" hidden="1" x14ac:dyDescent="0.3">
      <c r="A622" s="15" t="s">
        <v>1384</v>
      </c>
      <c r="B622" s="15" t="s">
        <v>30</v>
      </c>
      <c r="C622" s="15" t="s">
        <v>1385</v>
      </c>
      <c r="D622" s="15" t="s">
        <v>1386</v>
      </c>
      <c r="E622" s="13">
        <v>210</v>
      </c>
      <c r="F622" s="13" t="s">
        <v>100</v>
      </c>
      <c r="G622" s="40"/>
      <c r="H622" s="14" t="str">
        <f t="shared" si="22"/>
        <v/>
      </c>
      <c r="I622" s="13" t="s">
        <v>30</v>
      </c>
      <c r="J622" s="13">
        <v>0</v>
      </c>
    </row>
    <row r="623" spans="1:10" s="13" customFormat="1" ht="201.6" hidden="1" x14ac:dyDescent="0.3">
      <c r="A623" s="15" t="s">
        <v>1387</v>
      </c>
      <c r="B623" s="15" t="s">
        <v>30</v>
      </c>
      <c r="C623" s="15" t="s">
        <v>1385</v>
      </c>
      <c r="D623" s="15" t="s">
        <v>1388</v>
      </c>
      <c r="E623" s="13">
        <v>172</v>
      </c>
      <c r="F623" s="13" t="s">
        <v>100</v>
      </c>
      <c r="G623" s="40"/>
      <c r="H623" s="14" t="str">
        <f t="shared" si="22"/>
        <v/>
      </c>
      <c r="I623" s="13" t="s">
        <v>30</v>
      </c>
      <c r="J623" s="13">
        <v>0</v>
      </c>
    </row>
    <row r="624" spans="1:10" s="13" customFormat="1" ht="187.2" hidden="1" x14ac:dyDescent="0.3">
      <c r="A624" s="15" t="s">
        <v>1389</v>
      </c>
      <c r="B624" s="15" t="s">
        <v>30</v>
      </c>
      <c r="C624" s="15" t="s">
        <v>1390</v>
      </c>
      <c r="D624" s="15" t="s">
        <v>1391</v>
      </c>
      <c r="E624" s="13">
        <v>1045</v>
      </c>
      <c r="F624" s="13" t="s">
        <v>100</v>
      </c>
      <c r="G624" s="40"/>
      <c r="H624" s="14" t="str">
        <f t="shared" si="22"/>
        <v/>
      </c>
      <c r="I624" s="13" t="s">
        <v>30</v>
      </c>
      <c r="J624" s="13">
        <v>0</v>
      </c>
    </row>
    <row r="625" spans="1:10" s="13" customFormat="1" ht="187.2" hidden="1" x14ac:dyDescent="0.3">
      <c r="A625" s="15" t="s">
        <v>1392</v>
      </c>
      <c r="B625" s="15" t="s">
        <v>30</v>
      </c>
      <c r="C625" s="15" t="s">
        <v>1390</v>
      </c>
      <c r="D625" s="15" t="s">
        <v>1393</v>
      </c>
      <c r="E625" s="13">
        <v>56</v>
      </c>
      <c r="F625" s="13" t="s">
        <v>100</v>
      </c>
      <c r="G625" s="40"/>
      <c r="H625" s="14" t="str">
        <f t="shared" si="22"/>
        <v/>
      </c>
      <c r="I625" s="13" t="s">
        <v>30</v>
      </c>
      <c r="J625" s="13">
        <v>0</v>
      </c>
    </row>
    <row r="626" spans="1:10" s="13" customFormat="1" ht="172.8" hidden="1" x14ac:dyDescent="0.3">
      <c r="A626" s="15" t="s">
        <v>1394</v>
      </c>
      <c r="B626" s="15" t="s">
        <v>30</v>
      </c>
      <c r="C626" s="15" t="s">
        <v>1395</v>
      </c>
      <c r="D626" s="15" t="s">
        <v>1396</v>
      </c>
      <c r="E626" s="13">
        <v>25</v>
      </c>
      <c r="F626" s="13" t="s">
        <v>100</v>
      </c>
      <c r="G626" s="40"/>
      <c r="H626" s="14" t="str">
        <f t="shared" si="22"/>
        <v/>
      </c>
      <c r="I626" s="13" t="s">
        <v>30</v>
      </c>
      <c r="J626" s="13">
        <v>0</v>
      </c>
    </row>
    <row r="627" spans="1:10" s="13" customFormat="1" ht="172.8" hidden="1" x14ac:dyDescent="0.3">
      <c r="A627" s="15" t="s">
        <v>1397</v>
      </c>
      <c r="B627" s="15" t="s">
        <v>30</v>
      </c>
      <c r="C627" s="15" t="s">
        <v>1398</v>
      </c>
      <c r="D627" s="15" t="s">
        <v>1399</v>
      </c>
      <c r="E627" s="13">
        <v>28</v>
      </c>
      <c r="F627" s="13" t="s">
        <v>100</v>
      </c>
      <c r="G627" s="40"/>
      <c r="H627" s="14" t="str">
        <f t="shared" si="22"/>
        <v/>
      </c>
      <c r="I627" s="13" t="s">
        <v>30</v>
      </c>
      <c r="J627" s="13">
        <v>0</v>
      </c>
    </row>
    <row r="628" spans="1:10" s="13" customFormat="1" ht="187.2" hidden="1" x14ac:dyDescent="0.3">
      <c r="A628" s="15" t="s">
        <v>1400</v>
      </c>
      <c r="B628" s="15" t="s">
        <v>30</v>
      </c>
      <c r="C628" s="15" t="s">
        <v>1401</v>
      </c>
      <c r="D628" s="15" t="s">
        <v>1402</v>
      </c>
      <c r="E628" s="13">
        <v>390</v>
      </c>
      <c r="F628" s="13" t="s">
        <v>100</v>
      </c>
      <c r="G628" s="40"/>
      <c r="H628" s="14" t="str">
        <f t="shared" si="22"/>
        <v/>
      </c>
      <c r="I628" s="13" t="s">
        <v>30</v>
      </c>
      <c r="J628" s="13">
        <v>0</v>
      </c>
    </row>
    <row r="629" spans="1:10" s="13" customFormat="1" ht="187.2" hidden="1" x14ac:dyDescent="0.3">
      <c r="A629" s="15" t="s">
        <v>1403</v>
      </c>
      <c r="B629" s="15" t="s">
        <v>30</v>
      </c>
      <c r="C629" s="15" t="s">
        <v>1404</v>
      </c>
      <c r="D629" s="15" t="s">
        <v>1405</v>
      </c>
      <c r="E629" s="13">
        <v>65</v>
      </c>
      <c r="F629" s="13" t="s">
        <v>100</v>
      </c>
      <c r="G629" s="40"/>
      <c r="H629" s="14" t="str">
        <f t="shared" si="22"/>
        <v/>
      </c>
      <c r="I629" s="13" t="s">
        <v>30</v>
      </c>
      <c r="J629" s="13">
        <v>0</v>
      </c>
    </row>
    <row r="630" spans="1:10" s="13" customFormat="1" ht="28.8" hidden="1" x14ac:dyDescent="0.3">
      <c r="A630" s="15" t="s">
        <v>1406</v>
      </c>
      <c r="B630" s="15" t="s">
        <v>30</v>
      </c>
      <c r="C630" s="15" t="s">
        <v>1407</v>
      </c>
      <c r="D630" s="15" t="s">
        <v>1408</v>
      </c>
      <c r="E630" s="13">
        <v>300</v>
      </c>
      <c r="F630" s="13" t="s">
        <v>71</v>
      </c>
      <c r="G630" s="40"/>
      <c r="H630" s="14" t="str">
        <f t="shared" si="22"/>
        <v/>
      </c>
      <c r="I630" s="13" t="s">
        <v>30</v>
      </c>
      <c r="J630" s="13">
        <v>0</v>
      </c>
    </row>
    <row r="631" spans="1:10" s="13" customFormat="1" ht="43.2" hidden="1" x14ac:dyDescent="0.3">
      <c r="A631" s="15" t="s">
        <v>1409</v>
      </c>
      <c r="B631" s="15" t="s">
        <v>30</v>
      </c>
      <c r="C631" s="15" t="s">
        <v>1410</v>
      </c>
      <c r="D631" s="15" t="s">
        <v>1411</v>
      </c>
      <c r="E631" s="13">
        <v>8</v>
      </c>
      <c r="F631" s="13" t="s">
        <v>60</v>
      </c>
      <c r="G631" s="40"/>
      <c r="H631" s="14" t="str">
        <f t="shared" si="22"/>
        <v/>
      </c>
      <c r="I631" s="13" t="s">
        <v>30</v>
      </c>
      <c r="J631" s="13">
        <v>0</v>
      </c>
    </row>
    <row r="632" spans="1:10" s="13" customFormat="1" ht="28.8" hidden="1" x14ac:dyDescent="0.3">
      <c r="A632" s="15" t="s">
        <v>1412</v>
      </c>
      <c r="B632" s="15" t="s">
        <v>30</v>
      </c>
      <c r="C632" s="15" t="s">
        <v>1413</v>
      </c>
      <c r="D632" s="15" t="s">
        <v>1414</v>
      </c>
      <c r="E632" s="13">
        <v>60</v>
      </c>
      <c r="F632" s="13" t="s">
        <v>71</v>
      </c>
      <c r="G632" s="40"/>
      <c r="H632" s="14" t="str">
        <f t="shared" si="22"/>
        <v/>
      </c>
      <c r="I632" s="13" t="s">
        <v>30</v>
      </c>
      <c r="J632" s="13">
        <v>0</v>
      </c>
    </row>
    <row r="633" spans="1:10" s="13" customFormat="1" ht="28.8" hidden="1" x14ac:dyDescent="0.3">
      <c r="A633" s="15" t="s">
        <v>1415</v>
      </c>
      <c r="B633" s="15" t="s">
        <v>30</v>
      </c>
      <c r="C633" s="15" t="s">
        <v>1416</v>
      </c>
      <c r="D633" s="15" t="s">
        <v>1417</v>
      </c>
      <c r="E633" s="13">
        <v>150</v>
      </c>
      <c r="F633" s="13" t="s">
        <v>71</v>
      </c>
      <c r="G633" s="40"/>
      <c r="H633" s="14" t="str">
        <f t="shared" si="22"/>
        <v/>
      </c>
      <c r="I633" s="13" t="s">
        <v>30</v>
      </c>
      <c r="J633" s="13">
        <v>0</v>
      </c>
    </row>
    <row r="634" spans="1:10" s="13" customFormat="1" ht="115.2" hidden="1" x14ac:dyDescent="0.3">
      <c r="A634" s="15" t="s">
        <v>1418</v>
      </c>
      <c r="B634" s="15" t="s">
        <v>30</v>
      </c>
      <c r="C634" s="15" t="s">
        <v>1419</v>
      </c>
      <c r="D634" s="15" t="s">
        <v>1420</v>
      </c>
      <c r="E634" s="13">
        <v>310</v>
      </c>
      <c r="F634" s="13" t="s">
        <v>100</v>
      </c>
      <c r="G634" s="40"/>
      <c r="H634" s="14" t="str">
        <f t="shared" si="22"/>
        <v/>
      </c>
      <c r="I634" s="13" t="s">
        <v>30</v>
      </c>
      <c r="J634" s="13">
        <v>0</v>
      </c>
    </row>
    <row r="635" spans="1:10" s="13" customFormat="1" ht="43.2" hidden="1" x14ac:dyDescent="0.3">
      <c r="A635" s="15" t="s">
        <v>1421</v>
      </c>
      <c r="B635" s="15" t="s">
        <v>30</v>
      </c>
      <c r="C635" s="15" t="s">
        <v>1422</v>
      </c>
      <c r="D635" s="15" t="s">
        <v>1423</v>
      </c>
      <c r="E635" s="13">
        <v>17</v>
      </c>
      <c r="F635" s="13" t="s">
        <v>100</v>
      </c>
      <c r="G635" s="40"/>
      <c r="H635" s="14" t="str">
        <f t="shared" si="22"/>
        <v/>
      </c>
      <c r="I635" s="13" t="s">
        <v>30</v>
      </c>
      <c r="J635" s="13">
        <v>0</v>
      </c>
    </row>
    <row r="636" spans="1:10" s="13" customFormat="1" ht="172.8" hidden="1" x14ac:dyDescent="0.3">
      <c r="A636" s="15" t="s">
        <v>1424</v>
      </c>
      <c r="B636" s="15" t="s">
        <v>30</v>
      </c>
      <c r="C636" s="15" t="s">
        <v>1425</v>
      </c>
      <c r="D636" s="15" t="s">
        <v>1426</v>
      </c>
      <c r="E636" s="13">
        <v>225</v>
      </c>
      <c r="F636" s="13" t="s">
        <v>71</v>
      </c>
      <c r="G636" s="40"/>
      <c r="H636" s="14" t="str">
        <f t="shared" si="22"/>
        <v/>
      </c>
      <c r="I636" s="13" t="s">
        <v>30</v>
      </c>
      <c r="J636" s="13">
        <v>0</v>
      </c>
    </row>
    <row r="637" spans="1:10" s="13" customFormat="1" ht="172.8" hidden="1" x14ac:dyDescent="0.3">
      <c r="A637" s="15" t="s">
        <v>1427</v>
      </c>
      <c r="B637" s="15" t="s">
        <v>30</v>
      </c>
      <c r="C637" s="15" t="s">
        <v>1425</v>
      </c>
      <c r="D637" s="15" t="s">
        <v>1428</v>
      </c>
      <c r="E637" s="13">
        <v>13</v>
      </c>
      <c r="F637" s="13" t="s">
        <v>71</v>
      </c>
      <c r="G637" s="40"/>
      <c r="H637" s="14" t="str">
        <f t="shared" si="22"/>
        <v/>
      </c>
      <c r="I637" s="13" t="s">
        <v>30</v>
      </c>
      <c r="J637" s="13">
        <v>0</v>
      </c>
    </row>
    <row r="638" spans="1:10" s="13" customFormat="1" ht="57.6" hidden="1" x14ac:dyDescent="0.3">
      <c r="A638" s="15" t="s">
        <v>1429</v>
      </c>
      <c r="B638" s="15" t="s">
        <v>30</v>
      </c>
      <c r="C638" s="15" t="s">
        <v>1430</v>
      </c>
      <c r="D638" s="15" t="s">
        <v>1431</v>
      </c>
      <c r="E638" s="13">
        <v>120</v>
      </c>
      <c r="F638" s="13" t="s">
        <v>100</v>
      </c>
      <c r="G638" s="40"/>
      <c r="H638" s="14" t="str">
        <f t="shared" si="22"/>
        <v/>
      </c>
      <c r="I638" s="13" t="s">
        <v>30</v>
      </c>
      <c r="J638" s="13">
        <v>0</v>
      </c>
    </row>
    <row r="639" spans="1:10" s="13" customFormat="1" ht="86.4" hidden="1" x14ac:dyDescent="0.3">
      <c r="A639" s="15" t="s">
        <v>1432</v>
      </c>
      <c r="B639" s="15" t="s">
        <v>30</v>
      </c>
      <c r="C639" s="15" t="s">
        <v>1433</v>
      </c>
      <c r="D639" s="15" t="s">
        <v>1434</v>
      </c>
      <c r="E639" s="13">
        <v>2</v>
      </c>
      <c r="F639" s="13" t="s">
        <v>60</v>
      </c>
      <c r="G639" s="40"/>
      <c r="H639" s="14" t="str">
        <f t="shared" si="22"/>
        <v/>
      </c>
      <c r="I639" s="13" t="s">
        <v>30</v>
      </c>
      <c r="J639" s="13">
        <v>0</v>
      </c>
    </row>
    <row r="640" spans="1:10" s="13" customFormat="1" ht="172.8" hidden="1" x14ac:dyDescent="0.3">
      <c r="A640" s="15" t="s">
        <v>1435</v>
      </c>
      <c r="B640" s="15" t="s">
        <v>30</v>
      </c>
      <c r="C640" s="15" t="s">
        <v>1436</v>
      </c>
      <c r="D640" s="15" t="s">
        <v>1437</v>
      </c>
      <c r="E640" s="13">
        <v>25</v>
      </c>
      <c r="F640" s="13" t="s">
        <v>100</v>
      </c>
      <c r="G640" s="40"/>
      <c r="H640" s="14" t="str">
        <f t="shared" si="22"/>
        <v/>
      </c>
      <c r="I640" s="13" t="s">
        <v>30</v>
      </c>
      <c r="J640" s="13">
        <v>0</v>
      </c>
    </row>
    <row r="641" spans="1:10" s="13" customFormat="1" ht="158.4" hidden="1" x14ac:dyDescent="0.3">
      <c r="A641" s="15" t="s">
        <v>1438</v>
      </c>
      <c r="B641" s="15" t="s">
        <v>30</v>
      </c>
      <c r="C641" s="15" t="s">
        <v>1439</v>
      </c>
      <c r="D641" s="15" t="s">
        <v>1440</v>
      </c>
      <c r="E641" s="13">
        <v>15</v>
      </c>
      <c r="F641" s="13" t="s">
        <v>100</v>
      </c>
      <c r="G641" s="40"/>
      <c r="H641" s="14" t="str">
        <f t="shared" si="22"/>
        <v/>
      </c>
      <c r="I641" s="13" t="s">
        <v>30</v>
      </c>
      <c r="J641" s="13">
        <v>0</v>
      </c>
    </row>
    <row r="642" spans="1:10" s="13" customFormat="1" ht="187.2" hidden="1" x14ac:dyDescent="0.3">
      <c r="A642" s="15" t="s">
        <v>1441</v>
      </c>
      <c r="B642" s="15" t="s">
        <v>30</v>
      </c>
      <c r="C642" s="15" t="s">
        <v>1442</v>
      </c>
      <c r="D642" s="15" t="s">
        <v>1443</v>
      </c>
      <c r="E642" s="13">
        <v>21</v>
      </c>
      <c r="F642" s="13" t="s">
        <v>60</v>
      </c>
      <c r="G642" s="40"/>
      <c r="H642" s="14" t="str">
        <f t="shared" si="22"/>
        <v/>
      </c>
      <c r="I642" s="13" t="s">
        <v>30</v>
      </c>
      <c r="J642" s="13">
        <v>0</v>
      </c>
    </row>
    <row r="643" spans="1:10" s="13" customFormat="1" ht="100.8" hidden="1" x14ac:dyDescent="0.3">
      <c r="A643" s="15" t="s">
        <v>1444</v>
      </c>
      <c r="B643" s="15" t="s">
        <v>30</v>
      </c>
      <c r="C643" s="15" t="s">
        <v>1445</v>
      </c>
      <c r="D643" s="15" t="s">
        <v>1446</v>
      </c>
      <c r="E643" s="13">
        <v>2150</v>
      </c>
      <c r="F643" s="13" t="s">
        <v>71</v>
      </c>
      <c r="G643" s="40"/>
      <c r="H643" s="14" t="str">
        <f t="shared" si="22"/>
        <v/>
      </c>
      <c r="I643" s="13" t="s">
        <v>30</v>
      </c>
      <c r="J643" s="13">
        <v>0</v>
      </c>
    </row>
    <row r="644" spans="1:10" s="11" customFormat="1" hidden="1" x14ac:dyDescent="0.3">
      <c r="A644" s="20" t="s">
        <v>1447</v>
      </c>
      <c r="B644" s="20"/>
      <c r="C644" s="20" t="s">
        <v>1448</v>
      </c>
      <c r="D644" s="20"/>
      <c r="G644" s="38"/>
      <c r="H644" s="12">
        <f>SUM(H645,H646,H647)</f>
        <v>0</v>
      </c>
    </row>
    <row r="645" spans="1:10" s="13" customFormat="1" ht="172.8" hidden="1" x14ac:dyDescent="0.3">
      <c r="A645" s="15" t="s">
        <v>1449</v>
      </c>
      <c r="B645" s="15" t="s">
        <v>30</v>
      </c>
      <c r="C645" s="15" t="s">
        <v>1450</v>
      </c>
      <c r="D645" s="15" t="s">
        <v>1451</v>
      </c>
      <c r="E645" s="13">
        <v>92</v>
      </c>
      <c r="F645" s="13" t="s">
        <v>100</v>
      </c>
      <c r="G645" s="40"/>
      <c r="H645" s="14" t="str">
        <f>IF(AND(ISNUMBER(E645),ISNUMBER(G645)),ROUND(PRODUCT(PRODUCT(E645, G645), 1 - J645), 2),"")</f>
        <v/>
      </c>
      <c r="I645" s="13" t="s">
        <v>30</v>
      </c>
      <c r="J645" s="13">
        <v>0</v>
      </c>
    </row>
    <row r="646" spans="1:10" s="13" customFormat="1" ht="172.8" hidden="1" x14ac:dyDescent="0.3">
      <c r="A646" s="15" t="s">
        <v>1452</v>
      </c>
      <c r="B646" s="15" t="s">
        <v>30</v>
      </c>
      <c r="C646" s="15" t="s">
        <v>1453</v>
      </c>
      <c r="D646" s="15" t="s">
        <v>1454</v>
      </c>
      <c r="E646" s="13">
        <v>27.5</v>
      </c>
      <c r="F646" s="13" t="s">
        <v>100</v>
      </c>
      <c r="G646" s="40"/>
      <c r="H646" s="14" t="str">
        <f>IF(AND(ISNUMBER(E646),ISNUMBER(G646)),ROUND(PRODUCT(PRODUCT(E646, G646), 1 - J646), 2),"")</f>
        <v/>
      </c>
      <c r="I646" s="13" t="s">
        <v>30</v>
      </c>
      <c r="J646" s="13">
        <v>0</v>
      </c>
    </row>
    <row r="647" spans="1:10" s="13" customFormat="1" ht="187.2" hidden="1" x14ac:dyDescent="0.3">
      <c r="A647" s="15" t="s">
        <v>1455</v>
      </c>
      <c r="B647" s="15" t="s">
        <v>30</v>
      </c>
      <c r="C647" s="15" t="s">
        <v>1456</v>
      </c>
      <c r="D647" s="15" t="s">
        <v>1457</v>
      </c>
      <c r="E647" s="13">
        <v>17.5</v>
      </c>
      <c r="F647" s="13" t="s">
        <v>100</v>
      </c>
      <c r="G647" s="40"/>
      <c r="H647" s="14" t="str">
        <f>IF(AND(ISNUMBER(E647),ISNUMBER(G647)),ROUND(PRODUCT(PRODUCT(E647, G647), 1 - J647), 2),"")</f>
        <v/>
      </c>
      <c r="I647" s="13" t="s">
        <v>30</v>
      </c>
      <c r="J647" s="13">
        <v>0</v>
      </c>
    </row>
    <row r="648" spans="1:10" s="11" customFormat="1" hidden="1" x14ac:dyDescent="0.3">
      <c r="A648" s="20" t="s">
        <v>1458</v>
      </c>
      <c r="B648" s="20"/>
      <c r="C648" s="20" t="s">
        <v>1459</v>
      </c>
      <c r="D648" s="20"/>
      <c r="G648" s="38"/>
      <c r="H648" s="12">
        <f>SUM(H649)</f>
        <v>0</v>
      </c>
    </row>
    <row r="649" spans="1:10" s="13" customFormat="1" ht="100.8" hidden="1" x14ac:dyDescent="0.3">
      <c r="A649" s="15" t="s">
        <v>1460</v>
      </c>
      <c r="B649" s="15" t="s">
        <v>30</v>
      </c>
      <c r="C649" s="15" t="s">
        <v>1461</v>
      </c>
      <c r="D649" s="15" t="s">
        <v>1462</v>
      </c>
      <c r="E649" s="13">
        <v>75</v>
      </c>
      <c r="F649" s="13" t="s">
        <v>100</v>
      </c>
      <c r="G649" s="40"/>
      <c r="H649" s="14" t="str">
        <f>IF(AND(ISNUMBER(E649),ISNUMBER(G649)),ROUND(PRODUCT(PRODUCT(E649, G649), 1 - J649), 2),"")</f>
        <v/>
      </c>
      <c r="I649" s="13" t="s">
        <v>30</v>
      </c>
      <c r="J649" s="13">
        <v>0</v>
      </c>
    </row>
    <row r="650" spans="1:10" s="11" customFormat="1" hidden="1" x14ac:dyDescent="0.3">
      <c r="A650" s="20" t="s">
        <v>1463</v>
      </c>
      <c r="B650" s="20"/>
      <c r="C650" s="20" t="s">
        <v>1464</v>
      </c>
      <c r="D650" s="20"/>
      <c r="G650" s="38"/>
      <c r="H650" s="12">
        <f>SUM(H651,H652,H653,H655)</f>
        <v>0</v>
      </c>
    </row>
    <row r="651" spans="1:10" s="13" customFormat="1" ht="172.8" hidden="1" x14ac:dyDescent="0.3">
      <c r="A651" s="15" t="s">
        <v>1465</v>
      </c>
      <c r="B651" s="15" t="s">
        <v>30</v>
      </c>
      <c r="C651" s="15" t="s">
        <v>1466</v>
      </c>
      <c r="D651" s="15" t="s">
        <v>1467</v>
      </c>
      <c r="E651" s="13">
        <v>120</v>
      </c>
      <c r="F651" s="13" t="s">
        <v>100</v>
      </c>
      <c r="G651" s="40"/>
      <c r="H651" s="14" t="str">
        <f>IF(AND(ISNUMBER(E651),ISNUMBER(G651)),ROUND(PRODUCT(PRODUCT(E651, G651), 1 - J651), 2),"")</f>
        <v/>
      </c>
      <c r="I651" s="13" t="s">
        <v>30</v>
      </c>
      <c r="J651" s="13">
        <v>0</v>
      </c>
    </row>
    <row r="652" spans="1:10" s="13" customFormat="1" ht="28.8" hidden="1" x14ac:dyDescent="0.3">
      <c r="A652" s="15" t="s">
        <v>1468</v>
      </c>
      <c r="B652" s="15" t="s">
        <v>30</v>
      </c>
      <c r="C652" s="15" t="s">
        <v>1469</v>
      </c>
      <c r="D652" s="15" t="s">
        <v>1470</v>
      </c>
      <c r="E652" s="13">
        <v>5</v>
      </c>
      <c r="F652" s="13" t="s">
        <v>60</v>
      </c>
      <c r="G652" s="40"/>
      <c r="H652" s="14" t="str">
        <f>IF(AND(ISNUMBER(E652),ISNUMBER(G652)),ROUND(PRODUCT(PRODUCT(E652, G652), 1 - J652), 2),"")</f>
        <v/>
      </c>
      <c r="I652" s="13" t="s">
        <v>30</v>
      </c>
      <c r="J652" s="13">
        <v>0</v>
      </c>
    </row>
    <row r="653" spans="1:10" s="13" customFormat="1" ht="216" hidden="1" x14ac:dyDescent="0.3">
      <c r="A653" s="15" t="s">
        <v>1471</v>
      </c>
      <c r="B653" s="15" t="s">
        <v>30</v>
      </c>
      <c r="C653" s="15" t="s">
        <v>1472</v>
      </c>
      <c r="D653" s="15" t="s">
        <v>1473</v>
      </c>
      <c r="E653" s="13">
        <v>37</v>
      </c>
      <c r="F653" s="13" t="s">
        <v>100</v>
      </c>
      <c r="G653" s="40"/>
      <c r="H653" s="14" t="str">
        <f>IF(AND(ISNUMBER(E653),ISNUMBER(G653)),ROUND(PRODUCT(PRODUCT(E653, G653), 1 - J653), 2),"")</f>
        <v/>
      </c>
      <c r="I653" s="13" t="s">
        <v>30</v>
      </c>
      <c r="J653" s="13">
        <v>0</v>
      </c>
    </row>
    <row r="654" spans="1:10" s="13" customFormat="1" ht="187.2" hidden="1" x14ac:dyDescent="0.3">
      <c r="A654" s="15" t="s">
        <v>1474</v>
      </c>
      <c r="B654" s="15" t="s">
        <v>1325</v>
      </c>
      <c r="C654" s="15" t="s">
        <v>1475</v>
      </c>
      <c r="D654" s="15" t="s">
        <v>1476</v>
      </c>
      <c r="E654" s="13">
        <v>13</v>
      </c>
      <c r="F654" s="13" t="s">
        <v>100</v>
      </c>
      <c r="G654" s="40"/>
      <c r="I654" s="13" t="s">
        <v>30</v>
      </c>
    </row>
    <row r="655" spans="1:10" s="13" customFormat="1" ht="28.8" hidden="1" x14ac:dyDescent="0.3">
      <c r="A655" s="15" t="s">
        <v>1477</v>
      </c>
      <c r="B655" s="15" t="s">
        <v>30</v>
      </c>
      <c r="C655" s="15" t="s">
        <v>1478</v>
      </c>
      <c r="D655" s="15" t="s">
        <v>1479</v>
      </c>
      <c r="E655" s="13">
        <v>3</v>
      </c>
      <c r="F655" s="13" t="s">
        <v>60</v>
      </c>
      <c r="G655" s="40"/>
      <c r="H655" s="14" t="str">
        <f>IF(AND(ISNUMBER(E655),ISNUMBER(G655)),ROUND(PRODUCT(PRODUCT(E655, G655), 1 - J655), 2),"")</f>
        <v/>
      </c>
      <c r="I655" s="13" t="s">
        <v>30</v>
      </c>
      <c r="J655" s="13">
        <v>0</v>
      </c>
    </row>
    <row r="656" spans="1:10" s="11" customFormat="1" ht="28.8" hidden="1" x14ac:dyDescent="0.3">
      <c r="A656" s="20" t="s">
        <v>1480</v>
      </c>
      <c r="B656" s="20"/>
      <c r="C656" s="20" t="s">
        <v>1481</v>
      </c>
      <c r="D656" s="20"/>
      <c r="G656" s="38"/>
      <c r="H656" s="12">
        <f>SUM(H657,H658,H659,H660)</f>
        <v>0</v>
      </c>
    </row>
    <row r="657" spans="1:10" s="13" customFormat="1" ht="158.4" hidden="1" x14ac:dyDescent="0.3">
      <c r="A657" s="15" t="s">
        <v>1482</v>
      </c>
      <c r="B657" s="15" t="s">
        <v>30</v>
      </c>
      <c r="C657" s="15" t="s">
        <v>1483</v>
      </c>
      <c r="D657" s="15" t="s">
        <v>1484</v>
      </c>
      <c r="E657" s="13">
        <v>355</v>
      </c>
      <c r="F657" s="13" t="s">
        <v>100</v>
      </c>
      <c r="G657" s="40"/>
      <c r="H657" s="14" t="str">
        <f>IF(AND(ISNUMBER(E657),ISNUMBER(G657)),ROUND(PRODUCT(PRODUCT(E657, G657), 1 - J657), 2),"")</f>
        <v/>
      </c>
      <c r="I657" s="13" t="s">
        <v>30</v>
      </c>
      <c r="J657" s="13">
        <v>0</v>
      </c>
    </row>
    <row r="658" spans="1:10" s="13" customFormat="1" ht="28.8" hidden="1" x14ac:dyDescent="0.3">
      <c r="A658" s="15" t="s">
        <v>1485</v>
      </c>
      <c r="B658" s="15" t="s">
        <v>30</v>
      </c>
      <c r="C658" s="15" t="s">
        <v>1486</v>
      </c>
      <c r="D658" s="15" t="s">
        <v>1487</v>
      </c>
      <c r="E658" s="13">
        <v>105</v>
      </c>
      <c r="F658" s="13" t="s">
        <v>100</v>
      </c>
      <c r="G658" s="40"/>
      <c r="H658" s="14" t="str">
        <f>IF(AND(ISNUMBER(E658),ISNUMBER(G658)),ROUND(PRODUCT(PRODUCT(E658, G658), 1 - J658), 2),"")</f>
        <v/>
      </c>
      <c r="I658" s="13" t="s">
        <v>30</v>
      </c>
      <c r="J658" s="13">
        <v>0</v>
      </c>
    </row>
    <row r="659" spans="1:10" s="13" customFormat="1" ht="172.8" hidden="1" x14ac:dyDescent="0.3">
      <c r="A659" s="15" t="s">
        <v>1488</v>
      </c>
      <c r="B659" s="15" t="s">
        <v>30</v>
      </c>
      <c r="C659" s="15" t="s">
        <v>1489</v>
      </c>
      <c r="D659" s="15" t="s">
        <v>1490</v>
      </c>
      <c r="E659" s="13">
        <v>76</v>
      </c>
      <c r="F659" s="13" t="s">
        <v>100</v>
      </c>
      <c r="G659" s="40"/>
      <c r="H659" s="14" t="str">
        <f>IF(AND(ISNUMBER(E659),ISNUMBER(G659)),ROUND(PRODUCT(PRODUCT(E659, G659), 1 - J659), 2),"")</f>
        <v/>
      </c>
      <c r="I659" s="13" t="s">
        <v>30</v>
      </c>
      <c r="J659" s="13">
        <v>0</v>
      </c>
    </row>
    <row r="660" spans="1:10" s="13" customFormat="1" ht="28.8" hidden="1" x14ac:dyDescent="0.3">
      <c r="A660" s="15" t="s">
        <v>1491</v>
      </c>
      <c r="B660" s="15" t="s">
        <v>30</v>
      </c>
      <c r="C660" s="15" t="s">
        <v>1486</v>
      </c>
      <c r="D660" s="15" t="s">
        <v>1492</v>
      </c>
      <c r="E660" s="13">
        <v>76</v>
      </c>
      <c r="F660" s="13" t="s">
        <v>100</v>
      </c>
      <c r="G660" s="40"/>
      <c r="H660" s="14" t="str">
        <f>IF(AND(ISNUMBER(E660),ISNUMBER(G660)),ROUND(PRODUCT(PRODUCT(E660, G660), 1 - J660), 2),"")</f>
        <v/>
      </c>
      <c r="I660" s="13" t="s">
        <v>30</v>
      </c>
      <c r="J660" s="13">
        <v>0</v>
      </c>
    </row>
    <row r="661" spans="1:10" s="11" customFormat="1" hidden="1" x14ac:dyDescent="0.3">
      <c r="A661" s="20" t="s">
        <v>1493</v>
      </c>
      <c r="B661" s="20"/>
      <c r="C661" s="20" t="s">
        <v>1494</v>
      </c>
      <c r="D661" s="20"/>
      <c r="G661" s="38"/>
      <c r="H661" s="12">
        <f>SUM(H662,H663,H664,H665,H666,H667)</f>
        <v>0</v>
      </c>
    </row>
    <row r="662" spans="1:10" s="13" customFormat="1" ht="129.6" hidden="1" x14ac:dyDescent="0.3">
      <c r="A662" s="15" t="s">
        <v>1495</v>
      </c>
      <c r="B662" s="15" t="s">
        <v>30</v>
      </c>
      <c r="C662" s="15" t="s">
        <v>1496</v>
      </c>
      <c r="D662" s="15" t="s">
        <v>1497</v>
      </c>
      <c r="E662" s="13">
        <v>40</v>
      </c>
      <c r="F662" s="13" t="s">
        <v>100</v>
      </c>
      <c r="G662" s="40"/>
      <c r="H662" s="14" t="str">
        <f t="shared" ref="H662:H667" si="23">IF(AND(ISNUMBER(E662),ISNUMBER(G662)),ROUND(PRODUCT(PRODUCT(E662, G662), 1 - J662), 2),"")</f>
        <v/>
      </c>
      <c r="I662" s="13" t="s">
        <v>30</v>
      </c>
      <c r="J662" s="13">
        <v>0</v>
      </c>
    </row>
    <row r="663" spans="1:10" s="13" customFormat="1" ht="144" hidden="1" x14ac:dyDescent="0.3">
      <c r="A663" s="15" t="s">
        <v>1498</v>
      </c>
      <c r="B663" s="15" t="s">
        <v>30</v>
      </c>
      <c r="C663" s="15" t="s">
        <v>1499</v>
      </c>
      <c r="D663" s="15" t="s">
        <v>1500</v>
      </c>
      <c r="E663" s="13">
        <v>31</v>
      </c>
      <c r="F663" s="13" t="s">
        <v>100</v>
      </c>
      <c r="G663" s="40"/>
      <c r="H663" s="14" t="str">
        <f t="shared" si="23"/>
        <v/>
      </c>
      <c r="I663" s="13" t="s">
        <v>30</v>
      </c>
      <c r="J663" s="13">
        <v>0</v>
      </c>
    </row>
    <row r="664" spans="1:10" s="13" customFormat="1" ht="144" hidden="1" x14ac:dyDescent="0.3">
      <c r="A664" s="15" t="s">
        <v>1501</v>
      </c>
      <c r="B664" s="15" t="s">
        <v>30</v>
      </c>
      <c r="C664" s="15" t="s">
        <v>1502</v>
      </c>
      <c r="D664" s="15" t="s">
        <v>1503</v>
      </c>
      <c r="E664" s="13">
        <v>69</v>
      </c>
      <c r="F664" s="13" t="s">
        <v>100</v>
      </c>
      <c r="G664" s="40"/>
      <c r="H664" s="14" t="str">
        <f t="shared" si="23"/>
        <v/>
      </c>
      <c r="I664" s="13" t="s">
        <v>30</v>
      </c>
      <c r="J664" s="13">
        <v>0</v>
      </c>
    </row>
    <row r="665" spans="1:10" s="13" customFormat="1" ht="273.60000000000002" hidden="1" x14ac:dyDescent="0.3">
      <c r="A665" s="15" t="s">
        <v>1504</v>
      </c>
      <c r="B665" s="15" t="s">
        <v>30</v>
      </c>
      <c r="C665" s="15" t="s">
        <v>1505</v>
      </c>
      <c r="D665" s="15" t="s">
        <v>1506</v>
      </c>
      <c r="E665" s="13">
        <v>31</v>
      </c>
      <c r="F665" s="13" t="s">
        <v>100</v>
      </c>
      <c r="G665" s="40"/>
      <c r="H665" s="14" t="str">
        <f t="shared" si="23"/>
        <v/>
      </c>
      <c r="I665" s="13" t="s">
        <v>30</v>
      </c>
      <c r="J665" s="13">
        <v>0</v>
      </c>
    </row>
    <row r="666" spans="1:10" s="13" customFormat="1" ht="57.6" hidden="1" x14ac:dyDescent="0.3">
      <c r="A666" s="15" t="s">
        <v>1507</v>
      </c>
      <c r="B666" s="15" t="s">
        <v>30</v>
      </c>
      <c r="C666" s="15" t="s">
        <v>1508</v>
      </c>
      <c r="D666" s="15" t="s">
        <v>1492</v>
      </c>
      <c r="E666" s="13">
        <v>69</v>
      </c>
      <c r="F666" s="13" t="s">
        <v>100</v>
      </c>
      <c r="G666" s="40"/>
      <c r="H666" s="14" t="str">
        <f t="shared" si="23"/>
        <v/>
      </c>
      <c r="I666" s="13" t="s">
        <v>30</v>
      </c>
      <c r="J666" s="13">
        <v>0</v>
      </c>
    </row>
    <row r="667" spans="1:10" s="13" customFormat="1" ht="57.6" hidden="1" x14ac:dyDescent="0.3">
      <c r="A667" s="15" t="s">
        <v>1509</v>
      </c>
      <c r="B667" s="15" t="s">
        <v>30</v>
      </c>
      <c r="C667" s="15" t="s">
        <v>1510</v>
      </c>
      <c r="D667" s="15" t="s">
        <v>1511</v>
      </c>
      <c r="E667" s="13">
        <v>31</v>
      </c>
      <c r="F667" s="13" t="s">
        <v>100</v>
      </c>
      <c r="G667" s="40"/>
      <c r="H667" s="14" t="str">
        <f t="shared" si="23"/>
        <v/>
      </c>
      <c r="I667" s="13" t="s">
        <v>30</v>
      </c>
      <c r="J667" s="13">
        <v>0</v>
      </c>
    </row>
    <row r="668" spans="1:10" s="11" customFormat="1" hidden="1" x14ac:dyDescent="0.3">
      <c r="A668" s="20" t="s">
        <v>1512</v>
      </c>
      <c r="B668" s="20"/>
      <c r="C668" s="20" t="s">
        <v>1513</v>
      </c>
      <c r="D668" s="20"/>
      <c r="G668" s="38"/>
      <c r="H668" s="12">
        <v>0</v>
      </c>
    </row>
    <row r="669" spans="1:10" s="11" customFormat="1" hidden="1" x14ac:dyDescent="0.3">
      <c r="A669" s="20" t="s">
        <v>1514</v>
      </c>
      <c r="B669" s="20"/>
      <c r="C669" s="20" t="s">
        <v>79</v>
      </c>
      <c r="D669" s="20"/>
      <c r="G669" s="38"/>
      <c r="H669" s="12">
        <v>0</v>
      </c>
    </row>
    <row r="670" spans="1:10" s="11" customFormat="1" hidden="1" x14ac:dyDescent="0.3">
      <c r="A670" s="20" t="s">
        <v>1515</v>
      </c>
      <c r="B670" s="20"/>
      <c r="C670" s="20" t="s">
        <v>1516</v>
      </c>
      <c r="D670" s="20"/>
      <c r="G670" s="38"/>
      <c r="H670" s="12">
        <f>SUM(H671,H674,H681,H682)</f>
        <v>0</v>
      </c>
    </row>
    <row r="671" spans="1:10" s="11" customFormat="1" hidden="1" x14ac:dyDescent="0.3">
      <c r="A671" s="20" t="s">
        <v>1517</v>
      </c>
      <c r="B671" s="20"/>
      <c r="C671" s="20" t="s">
        <v>83</v>
      </c>
      <c r="D671" s="20"/>
      <c r="G671" s="38"/>
      <c r="H671" s="12">
        <v>0</v>
      </c>
    </row>
    <row r="672" spans="1:10" s="13" customFormat="1" ht="409.6" hidden="1" x14ac:dyDescent="0.3">
      <c r="A672" s="15"/>
      <c r="B672" s="15"/>
      <c r="C672" s="15" t="s">
        <v>28</v>
      </c>
      <c r="D672" s="15" t="s">
        <v>29</v>
      </c>
      <c r="G672" s="39"/>
      <c r="I672" s="13" t="s">
        <v>30</v>
      </c>
    </row>
    <row r="673" spans="1:10" s="13" customFormat="1" ht="172.8" hidden="1" x14ac:dyDescent="0.3">
      <c r="A673" s="15"/>
      <c r="B673" s="15"/>
      <c r="C673" s="15" t="s">
        <v>1518</v>
      </c>
      <c r="D673" s="15" t="s">
        <v>1519</v>
      </c>
      <c r="G673" s="39"/>
      <c r="I673" s="13" t="s">
        <v>30</v>
      </c>
    </row>
    <row r="674" spans="1:10" s="11" customFormat="1" hidden="1" x14ac:dyDescent="0.3">
      <c r="A674" s="20" t="s">
        <v>1520</v>
      </c>
      <c r="B674" s="20"/>
      <c r="C674" s="20" t="s">
        <v>1521</v>
      </c>
      <c r="D674" s="20"/>
      <c r="G674" s="38"/>
      <c r="H674" s="12">
        <f>SUM(H675,H676,H677,H678,H679)</f>
        <v>0</v>
      </c>
    </row>
    <row r="675" spans="1:10" s="13" customFormat="1" ht="158.4" hidden="1" x14ac:dyDescent="0.3">
      <c r="A675" s="15" t="s">
        <v>1522</v>
      </c>
      <c r="B675" s="15" t="s">
        <v>30</v>
      </c>
      <c r="C675" s="15" t="s">
        <v>1523</v>
      </c>
      <c r="D675" s="15" t="s">
        <v>1524</v>
      </c>
      <c r="E675" s="13">
        <v>3400</v>
      </c>
      <c r="F675" s="13" t="s">
        <v>100</v>
      </c>
      <c r="G675" s="40"/>
      <c r="H675" s="14" t="str">
        <f>IF(AND(ISNUMBER(E675),ISNUMBER(G675)),ROUND(PRODUCT(PRODUCT(E675, G675), 1 - J675), 2),"")</f>
        <v/>
      </c>
      <c r="I675" s="13" t="s">
        <v>30</v>
      </c>
      <c r="J675" s="13">
        <v>0</v>
      </c>
    </row>
    <row r="676" spans="1:10" s="13" customFormat="1" ht="57.6" hidden="1" x14ac:dyDescent="0.3">
      <c r="A676" s="15" t="s">
        <v>1525</v>
      </c>
      <c r="B676" s="15" t="s">
        <v>30</v>
      </c>
      <c r="C676" s="15" t="s">
        <v>1526</v>
      </c>
      <c r="D676" s="15" t="s">
        <v>1527</v>
      </c>
      <c r="E676" s="13">
        <v>76</v>
      </c>
      <c r="F676" s="13" t="s">
        <v>100</v>
      </c>
      <c r="G676" s="40"/>
      <c r="H676" s="14" t="str">
        <f>IF(AND(ISNUMBER(E676),ISNUMBER(G676)),ROUND(PRODUCT(PRODUCT(E676, G676), 1 - J676), 2),"")</f>
        <v/>
      </c>
      <c r="I676" s="13" t="s">
        <v>30</v>
      </c>
      <c r="J676" s="13">
        <v>0</v>
      </c>
    </row>
    <row r="677" spans="1:10" s="13" customFormat="1" ht="57.6" hidden="1" x14ac:dyDescent="0.3">
      <c r="A677" s="15" t="s">
        <v>1528</v>
      </c>
      <c r="B677" s="15" t="s">
        <v>30</v>
      </c>
      <c r="C677" s="15" t="s">
        <v>1529</v>
      </c>
      <c r="D677" s="15" t="s">
        <v>1530</v>
      </c>
      <c r="E677" s="13">
        <v>122</v>
      </c>
      <c r="F677" s="13" t="s">
        <v>100</v>
      </c>
      <c r="G677" s="40"/>
      <c r="H677" s="14" t="str">
        <f>IF(AND(ISNUMBER(E677),ISNUMBER(G677)),ROUND(PRODUCT(PRODUCT(E677, G677), 1 - J677), 2),"")</f>
        <v/>
      </c>
      <c r="I677" s="13" t="s">
        <v>30</v>
      </c>
      <c r="J677" s="13">
        <v>0</v>
      </c>
    </row>
    <row r="678" spans="1:10" s="13" customFormat="1" ht="28.8" hidden="1" x14ac:dyDescent="0.3">
      <c r="A678" s="15" t="s">
        <v>1531</v>
      </c>
      <c r="B678" s="15" t="s">
        <v>30</v>
      </c>
      <c r="C678" s="15" t="s">
        <v>1532</v>
      </c>
      <c r="D678" s="15" t="s">
        <v>1533</v>
      </c>
      <c r="E678" s="13">
        <v>3598</v>
      </c>
      <c r="F678" s="13" t="s">
        <v>100</v>
      </c>
      <c r="G678" s="40"/>
      <c r="H678" s="14" t="str">
        <f>IF(AND(ISNUMBER(E678),ISNUMBER(G678)),ROUND(PRODUCT(PRODUCT(E678, G678), 1 - J678), 2),"")</f>
        <v/>
      </c>
      <c r="I678" s="13" t="s">
        <v>30</v>
      </c>
      <c r="J678" s="13">
        <v>0</v>
      </c>
    </row>
    <row r="679" spans="1:10" s="13" customFormat="1" ht="86.4" hidden="1" x14ac:dyDescent="0.3">
      <c r="A679" s="15" t="s">
        <v>1534</v>
      </c>
      <c r="B679" s="15" t="s">
        <v>30</v>
      </c>
      <c r="C679" s="15" t="s">
        <v>1535</v>
      </c>
      <c r="D679" s="15" t="s">
        <v>1536</v>
      </c>
      <c r="E679" s="13">
        <v>80</v>
      </c>
      <c r="F679" s="13" t="s">
        <v>100</v>
      </c>
      <c r="G679" s="40"/>
      <c r="H679" s="14" t="str">
        <f>IF(AND(ISNUMBER(E679),ISNUMBER(G679)),ROUND(PRODUCT(PRODUCT(E679, G679), 1 - J679), 2),"")</f>
        <v/>
      </c>
      <c r="I679" s="13" t="s">
        <v>30</v>
      </c>
      <c r="J679" s="13">
        <v>0</v>
      </c>
    </row>
    <row r="680" spans="1:10" s="13" customFormat="1" ht="72" hidden="1" x14ac:dyDescent="0.3">
      <c r="A680" s="15" t="s">
        <v>1537</v>
      </c>
      <c r="B680" s="15" t="s">
        <v>1325</v>
      </c>
      <c r="C680" s="15" t="s">
        <v>1538</v>
      </c>
      <c r="D680" s="15" t="s">
        <v>1539</v>
      </c>
      <c r="E680" s="13">
        <v>3598</v>
      </c>
      <c r="F680" s="13" t="s">
        <v>100</v>
      </c>
      <c r="G680" s="40"/>
      <c r="I680" s="13" t="s">
        <v>30</v>
      </c>
    </row>
    <row r="681" spans="1:10" s="11" customFormat="1" ht="28.8" hidden="1" x14ac:dyDescent="0.3">
      <c r="A681" s="20" t="s">
        <v>1540</v>
      </c>
      <c r="B681" s="20"/>
      <c r="C681" s="20" t="s">
        <v>1541</v>
      </c>
      <c r="D681" s="20"/>
      <c r="G681" s="38"/>
      <c r="H681" s="12">
        <v>0</v>
      </c>
    </row>
    <row r="682" spans="1:10" s="11" customFormat="1" hidden="1" x14ac:dyDescent="0.3">
      <c r="A682" s="20" t="s">
        <v>1542</v>
      </c>
      <c r="B682" s="20"/>
      <c r="C682" s="20" t="s">
        <v>79</v>
      </c>
      <c r="D682" s="20"/>
      <c r="G682" s="38"/>
      <c r="H682" s="12">
        <f>SUM(H683,H684,H685,H686,H687)</f>
        <v>0</v>
      </c>
    </row>
    <row r="683" spans="1:10" s="13" customFormat="1" ht="57.6" hidden="1" x14ac:dyDescent="0.3">
      <c r="A683" s="15" t="s">
        <v>1543</v>
      </c>
      <c r="B683" s="15" t="s">
        <v>30</v>
      </c>
      <c r="C683" s="15" t="s">
        <v>1544</v>
      </c>
      <c r="D683" s="15" t="s">
        <v>1545</v>
      </c>
      <c r="E683" s="13">
        <v>10</v>
      </c>
      <c r="F683" s="13" t="s">
        <v>71</v>
      </c>
      <c r="G683" s="40"/>
      <c r="H683" s="14" t="str">
        <f>IF(AND(ISNUMBER(E683),ISNUMBER(G683)),ROUND(PRODUCT(PRODUCT(E683, G683), 1 - J683), 2),"")</f>
        <v/>
      </c>
      <c r="I683" s="13" t="s">
        <v>30</v>
      </c>
      <c r="J683" s="13">
        <v>0</v>
      </c>
    </row>
    <row r="684" spans="1:10" s="13" customFormat="1" ht="57.6" hidden="1" x14ac:dyDescent="0.3">
      <c r="A684" s="15" t="s">
        <v>1546</v>
      </c>
      <c r="B684" s="15" t="s">
        <v>30</v>
      </c>
      <c r="C684" s="15" t="s">
        <v>1547</v>
      </c>
      <c r="D684" s="15" t="s">
        <v>1548</v>
      </c>
      <c r="E684" s="13">
        <v>10</v>
      </c>
      <c r="F684" s="13" t="s">
        <v>71</v>
      </c>
      <c r="G684" s="40"/>
      <c r="H684" s="14" t="str">
        <f>IF(AND(ISNUMBER(E684),ISNUMBER(G684)),ROUND(PRODUCT(PRODUCT(E684, G684), 1 - J684), 2),"")</f>
        <v/>
      </c>
      <c r="I684" s="13" t="s">
        <v>30</v>
      </c>
      <c r="J684" s="13">
        <v>0</v>
      </c>
    </row>
    <row r="685" spans="1:10" s="13" customFormat="1" ht="57.6" hidden="1" x14ac:dyDescent="0.3">
      <c r="A685" s="15" t="s">
        <v>1549</v>
      </c>
      <c r="B685" s="15" t="s">
        <v>30</v>
      </c>
      <c r="C685" s="15" t="s">
        <v>1550</v>
      </c>
      <c r="D685" s="15" t="s">
        <v>1551</v>
      </c>
      <c r="E685" s="13">
        <v>10</v>
      </c>
      <c r="F685" s="13" t="s">
        <v>71</v>
      </c>
      <c r="G685" s="40"/>
      <c r="H685" s="14" t="str">
        <f>IF(AND(ISNUMBER(E685),ISNUMBER(G685)),ROUND(PRODUCT(PRODUCT(E685, G685), 1 - J685), 2),"")</f>
        <v/>
      </c>
      <c r="I685" s="13" t="s">
        <v>30</v>
      </c>
      <c r="J685" s="13">
        <v>0</v>
      </c>
    </row>
    <row r="686" spans="1:10" s="13" customFormat="1" ht="57.6" hidden="1" x14ac:dyDescent="0.3">
      <c r="A686" s="15" t="s">
        <v>1552</v>
      </c>
      <c r="B686" s="15" t="s">
        <v>30</v>
      </c>
      <c r="C686" s="15" t="s">
        <v>1553</v>
      </c>
      <c r="D686" s="15" t="s">
        <v>1554</v>
      </c>
      <c r="E686" s="13">
        <v>20</v>
      </c>
      <c r="F686" s="13" t="s">
        <v>71</v>
      </c>
      <c r="G686" s="40"/>
      <c r="H686" s="14" t="str">
        <f>IF(AND(ISNUMBER(E686),ISNUMBER(G686)),ROUND(PRODUCT(PRODUCT(E686, G686), 1 - J686), 2),"")</f>
        <v/>
      </c>
      <c r="I686" s="13" t="s">
        <v>30</v>
      </c>
      <c r="J686" s="13">
        <v>0</v>
      </c>
    </row>
    <row r="687" spans="1:10" s="13" customFormat="1" ht="28.8" hidden="1" x14ac:dyDescent="0.3">
      <c r="A687" s="15" t="s">
        <v>1555</v>
      </c>
      <c r="B687" s="15" t="s">
        <v>30</v>
      </c>
      <c r="C687" s="15" t="s">
        <v>1556</v>
      </c>
      <c r="D687" s="15" t="s">
        <v>1557</v>
      </c>
      <c r="E687" s="13">
        <v>10</v>
      </c>
      <c r="F687" s="13" t="s">
        <v>60</v>
      </c>
      <c r="G687" s="40"/>
      <c r="H687" s="14" t="str">
        <f>IF(AND(ISNUMBER(E687),ISNUMBER(G687)),ROUND(PRODUCT(PRODUCT(E687, G687), 1 - J687), 2),"")</f>
        <v/>
      </c>
      <c r="I687" s="13" t="s">
        <v>30</v>
      </c>
      <c r="J687" s="13">
        <v>0</v>
      </c>
    </row>
    <row r="688" spans="1:10" s="11" customFormat="1" hidden="1" x14ac:dyDescent="0.3">
      <c r="A688" s="20" t="s">
        <v>1558</v>
      </c>
      <c r="B688" s="20"/>
      <c r="C688" s="20" t="s">
        <v>1559</v>
      </c>
      <c r="D688" s="20"/>
      <c r="G688" s="38"/>
      <c r="H688" s="12">
        <f>SUM(H689,H692,H694,H704,H713,H719,H723,H724,H725)</f>
        <v>0</v>
      </c>
    </row>
    <row r="689" spans="1:10" s="11" customFormat="1" hidden="1" x14ac:dyDescent="0.3">
      <c r="A689" s="20" t="s">
        <v>1560</v>
      </c>
      <c r="B689" s="20"/>
      <c r="C689" s="20" t="s">
        <v>83</v>
      </c>
      <c r="D689" s="20"/>
      <c r="G689" s="38"/>
      <c r="H689" s="12">
        <v>0</v>
      </c>
    </row>
    <row r="690" spans="1:10" s="13" customFormat="1" ht="409.6" hidden="1" x14ac:dyDescent="0.3">
      <c r="A690" s="15"/>
      <c r="B690" s="15"/>
      <c r="C690" s="15" t="s">
        <v>28</v>
      </c>
      <c r="D690" s="15" t="s">
        <v>29</v>
      </c>
      <c r="G690" s="39"/>
      <c r="I690" s="13" t="s">
        <v>30</v>
      </c>
    </row>
    <row r="691" spans="1:10" s="13" customFormat="1" ht="187.2" hidden="1" x14ac:dyDescent="0.3">
      <c r="A691" s="15"/>
      <c r="B691" s="15"/>
      <c r="C691" s="15" t="s">
        <v>1561</v>
      </c>
      <c r="D691" s="15" t="s">
        <v>1562</v>
      </c>
      <c r="G691" s="39"/>
      <c r="I691" s="13" t="s">
        <v>30</v>
      </c>
    </row>
    <row r="692" spans="1:10" s="11" customFormat="1" hidden="1" x14ac:dyDescent="0.3">
      <c r="A692" s="20" t="s">
        <v>1563</v>
      </c>
      <c r="B692" s="20"/>
      <c r="C692" s="20" t="s">
        <v>1564</v>
      </c>
      <c r="D692" s="20"/>
      <c r="G692" s="38"/>
      <c r="H692" s="12">
        <f>SUM(H693)</f>
        <v>0</v>
      </c>
    </row>
    <row r="693" spans="1:10" s="13" customFormat="1" ht="43.2" hidden="1" x14ac:dyDescent="0.3">
      <c r="A693" s="15" t="s">
        <v>1565</v>
      </c>
      <c r="B693" s="15" t="s">
        <v>30</v>
      </c>
      <c r="C693" s="15" t="s">
        <v>1566</v>
      </c>
      <c r="D693" s="15" t="s">
        <v>1567</v>
      </c>
      <c r="E693" s="13">
        <v>100</v>
      </c>
      <c r="F693" s="13" t="s">
        <v>100</v>
      </c>
      <c r="G693" s="40"/>
      <c r="H693" s="14" t="str">
        <f>IF(AND(ISNUMBER(E693),ISNUMBER(G693)),ROUND(PRODUCT(PRODUCT(E693, G693), 1 - J693), 2),"")</f>
        <v/>
      </c>
      <c r="I693" s="13" t="s">
        <v>30</v>
      </c>
      <c r="J693" s="13">
        <v>0</v>
      </c>
    </row>
    <row r="694" spans="1:10" s="11" customFormat="1" hidden="1" x14ac:dyDescent="0.3">
      <c r="A694" s="20" t="s">
        <v>1568</v>
      </c>
      <c r="B694" s="20"/>
      <c r="C694" s="20" t="s">
        <v>1569</v>
      </c>
      <c r="D694" s="20"/>
      <c r="G694" s="38"/>
      <c r="H694" s="12">
        <f>SUM(H695,H696,H697,H698,H699,H700,H701,H702,H703)</f>
        <v>0</v>
      </c>
    </row>
    <row r="695" spans="1:10" s="13" customFormat="1" ht="201.6" hidden="1" x14ac:dyDescent="0.3">
      <c r="A695" s="15" t="s">
        <v>1570</v>
      </c>
      <c r="B695" s="15" t="s">
        <v>30</v>
      </c>
      <c r="C695" s="15" t="s">
        <v>1571</v>
      </c>
      <c r="D695" s="15" t="s">
        <v>1572</v>
      </c>
      <c r="E695" s="13">
        <v>179</v>
      </c>
      <c r="F695" s="13" t="s">
        <v>100</v>
      </c>
      <c r="G695" s="40"/>
      <c r="H695" s="14" t="str">
        <f t="shared" ref="H695:H703" si="24">IF(AND(ISNUMBER(E695),ISNUMBER(G695)),ROUND(PRODUCT(PRODUCT(E695, G695), 1 - J695), 2),"")</f>
        <v/>
      </c>
      <c r="I695" s="13" t="s">
        <v>30</v>
      </c>
      <c r="J695" s="13">
        <v>0</v>
      </c>
    </row>
    <row r="696" spans="1:10" s="13" customFormat="1" ht="187.2" hidden="1" x14ac:dyDescent="0.3">
      <c r="A696" s="15" t="s">
        <v>1573</v>
      </c>
      <c r="B696" s="15" t="s">
        <v>30</v>
      </c>
      <c r="C696" s="15" t="s">
        <v>1574</v>
      </c>
      <c r="D696" s="15" t="s">
        <v>1575</v>
      </c>
      <c r="E696" s="13">
        <v>82</v>
      </c>
      <c r="F696" s="13" t="s">
        <v>100</v>
      </c>
      <c r="G696" s="40"/>
      <c r="H696" s="14" t="str">
        <f t="shared" si="24"/>
        <v/>
      </c>
      <c r="I696" s="13" t="s">
        <v>30</v>
      </c>
      <c r="J696" s="13">
        <v>0</v>
      </c>
    </row>
    <row r="697" spans="1:10" s="13" customFormat="1" ht="115.2" hidden="1" x14ac:dyDescent="0.3">
      <c r="A697" s="15" t="s">
        <v>1576</v>
      </c>
      <c r="B697" s="15" t="s">
        <v>30</v>
      </c>
      <c r="C697" s="15" t="s">
        <v>1577</v>
      </c>
      <c r="D697" s="15" t="s">
        <v>1578</v>
      </c>
      <c r="E697" s="13">
        <v>150</v>
      </c>
      <c r="F697" s="13" t="s">
        <v>60</v>
      </c>
      <c r="G697" s="40"/>
      <c r="H697" s="14" t="str">
        <f t="shared" si="24"/>
        <v/>
      </c>
      <c r="I697" s="13" t="s">
        <v>30</v>
      </c>
      <c r="J697" s="13">
        <v>0</v>
      </c>
    </row>
    <row r="698" spans="1:10" s="13" customFormat="1" ht="244.8" hidden="1" x14ac:dyDescent="0.3">
      <c r="A698" s="15" t="s">
        <v>1579</v>
      </c>
      <c r="B698" s="15" t="s">
        <v>30</v>
      </c>
      <c r="C698" s="15" t="s">
        <v>1580</v>
      </c>
      <c r="D698" s="15" t="s">
        <v>1581</v>
      </c>
      <c r="E698" s="13">
        <v>65</v>
      </c>
      <c r="F698" s="13" t="s">
        <v>100</v>
      </c>
      <c r="G698" s="40"/>
      <c r="H698" s="14" t="str">
        <f t="shared" si="24"/>
        <v/>
      </c>
      <c r="I698" s="13" t="s">
        <v>30</v>
      </c>
      <c r="J698" s="13">
        <v>0</v>
      </c>
    </row>
    <row r="699" spans="1:10" s="13" customFormat="1" ht="57.6" hidden="1" x14ac:dyDescent="0.3">
      <c r="A699" s="15" t="s">
        <v>1582</v>
      </c>
      <c r="B699" s="15" t="s">
        <v>30</v>
      </c>
      <c r="C699" s="15" t="s">
        <v>1583</v>
      </c>
      <c r="D699" s="15" t="s">
        <v>1584</v>
      </c>
      <c r="E699" s="13">
        <v>6</v>
      </c>
      <c r="F699" s="13" t="s">
        <v>71</v>
      </c>
      <c r="G699" s="40"/>
      <c r="H699" s="14" t="str">
        <f t="shared" si="24"/>
        <v/>
      </c>
      <c r="I699" s="13" t="s">
        <v>30</v>
      </c>
      <c r="J699" s="13">
        <v>0</v>
      </c>
    </row>
    <row r="700" spans="1:10" s="13" customFormat="1" ht="57.6" hidden="1" x14ac:dyDescent="0.3">
      <c r="A700" s="15" t="s">
        <v>1585</v>
      </c>
      <c r="B700" s="15" t="s">
        <v>30</v>
      </c>
      <c r="C700" s="15" t="s">
        <v>1586</v>
      </c>
      <c r="D700" s="15" t="s">
        <v>1587</v>
      </c>
      <c r="E700" s="13">
        <v>15</v>
      </c>
      <c r="F700" s="13" t="s">
        <v>71</v>
      </c>
      <c r="G700" s="40"/>
      <c r="H700" s="14" t="str">
        <f t="shared" si="24"/>
        <v/>
      </c>
      <c r="I700" s="13" t="s">
        <v>30</v>
      </c>
      <c r="J700" s="13">
        <v>0</v>
      </c>
    </row>
    <row r="701" spans="1:10" s="13" customFormat="1" ht="43.2" hidden="1" x14ac:dyDescent="0.3">
      <c r="A701" s="15" t="s">
        <v>1588</v>
      </c>
      <c r="B701" s="15" t="s">
        <v>30</v>
      </c>
      <c r="C701" s="15" t="s">
        <v>1589</v>
      </c>
      <c r="D701" s="15" t="s">
        <v>1590</v>
      </c>
      <c r="E701" s="13">
        <v>12.5</v>
      </c>
      <c r="F701" s="13" t="s">
        <v>71</v>
      </c>
      <c r="G701" s="40"/>
      <c r="H701" s="14" t="str">
        <f t="shared" si="24"/>
        <v/>
      </c>
      <c r="I701" s="13" t="s">
        <v>30</v>
      </c>
      <c r="J701" s="13">
        <v>0</v>
      </c>
    </row>
    <row r="702" spans="1:10" s="13" customFormat="1" ht="259.2" hidden="1" x14ac:dyDescent="0.3">
      <c r="A702" s="15" t="s">
        <v>1591</v>
      </c>
      <c r="B702" s="15" t="s">
        <v>30</v>
      </c>
      <c r="C702" s="15" t="s">
        <v>1592</v>
      </c>
      <c r="D702" s="15" t="s">
        <v>1593</v>
      </c>
      <c r="E702" s="13">
        <v>45</v>
      </c>
      <c r="F702" s="13" t="s">
        <v>71</v>
      </c>
      <c r="G702" s="40"/>
      <c r="H702" s="14" t="str">
        <f t="shared" si="24"/>
        <v/>
      </c>
      <c r="I702" s="13" t="s">
        <v>30</v>
      </c>
      <c r="J702" s="13">
        <v>0</v>
      </c>
    </row>
    <row r="703" spans="1:10" s="13" customFormat="1" ht="43.2" hidden="1" x14ac:dyDescent="0.3">
      <c r="A703" s="15" t="s">
        <v>1594</v>
      </c>
      <c r="B703" s="15" t="s">
        <v>30</v>
      </c>
      <c r="C703" s="15" t="s">
        <v>1595</v>
      </c>
      <c r="D703" s="15" t="s">
        <v>1596</v>
      </c>
      <c r="E703" s="13">
        <v>2</v>
      </c>
      <c r="F703" s="13" t="s">
        <v>100</v>
      </c>
      <c r="G703" s="40"/>
      <c r="H703" s="14" t="str">
        <f t="shared" si="24"/>
        <v/>
      </c>
      <c r="I703" s="13" t="s">
        <v>30</v>
      </c>
      <c r="J703" s="13">
        <v>0</v>
      </c>
    </row>
    <row r="704" spans="1:10" s="11" customFormat="1" hidden="1" x14ac:dyDescent="0.3">
      <c r="A704" s="20" t="s">
        <v>1597</v>
      </c>
      <c r="B704" s="20"/>
      <c r="C704" s="20" t="s">
        <v>1598</v>
      </c>
      <c r="D704" s="20"/>
      <c r="G704" s="38"/>
      <c r="H704" s="12">
        <f>SUM(H705,H706,H707,H708,H709,H710,H711,H712)</f>
        <v>0</v>
      </c>
    </row>
    <row r="705" spans="1:10" s="13" customFormat="1" ht="172.8" hidden="1" x14ac:dyDescent="0.3">
      <c r="A705" s="15" t="s">
        <v>1599</v>
      </c>
      <c r="B705" s="15" t="s">
        <v>30</v>
      </c>
      <c r="C705" s="15" t="s">
        <v>1600</v>
      </c>
      <c r="D705" s="15" t="s">
        <v>1601</v>
      </c>
      <c r="E705" s="13">
        <v>136</v>
      </c>
      <c r="F705" s="13" t="s">
        <v>100</v>
      </c>
      <c r="G705" s="40"/>
      <c r="H705" s="14" t="str">
        <f t="shared" ref="H705:H712" si="25">IF(AND(ISNUMBER(E705),ISNUMBER(G705)),ROUND(PRODUCT(PRODUCT(E705, G705), 1 - J705), 2),"")</f>
        <v/>
      </c>
      <c r="I705" s="13" t="s">
        <v>30</v>
      </c>
      <c r="J705" s="13">
        <v>0</v>
      </c>
    </row>
    <row r="706" spans="1:10" s="13" customFormat="1" ht="172.8" hidden="1" x14ac:dyDescent="0.3">
      <c r="A706" s="15" t="s">
        <v>1602</v>
      </c>
      <c r="B706" s="15" t="s">
        <v>30</v>
      </c>
      <c r="C706" s="15" t="s">
        <v>1603</v>
      </c>
      <c r="D706" s="15" t="s">
        <v>1604</v>
      </c>
      <c r="E706" s="13">
        <v>84</v>
      </c>
      <c r="F706" s="13" t="s">
        <v>100</v>
      </c>
      <c r="G706" s="40"/>
      <c r="H706" s="14" t="str">
        <f t="shared" si="25"/>
        <v/>
      </c>
      <c r="I706" s="13" t="s">
        <v>30</v>
      </c>
      <c r="J706" s="13">
        <v>0</v>
      </c>
    </row>
    <row r="707" spans="1:10" s="13" customFormat="1" ht="144" hidden="1" x14ac:dyDescent="0.3">
      <c r="A707" s="15" t="s">
        <v>1605</v>
      </c>
      <c r="B707" s="15" t="s">
        <v>30</v>
      </c>
      <c r="C707" s="15" t="s">
        <v>1606</v>
      </c>
      <c r="D707" s="15" t="s">
        <v>1607</v>
      </c>
      <c r="E707" s="13">
        <v>700</v>
      </c>
      <c r="F707" s="13" t="s">
        <v>60</v>
      </c>
      <c r="G707" s="40"/>
      <c r="H707" s="14" t="str">
        <f t="shared" si="25"/>
        <v/>
      </c>
      <c r="I707" s="13" t="s">
        <v>30</v>
      </c>
      <c r="J707" s="13">
        <v>0</v>
      </c>
    </row>
    <row r="708" spans="1:10" s="13" customFormat="1" ht="144" hidden="1" x14ac:dyDescent="0.3">
      <c r="A708" s="15" t="s">
        <v>1608</v>
      </c>
      <c r="B708" s="15" t="s">
        <v>30</v>
      </c>
      <c r="C708" s="15" t="s">
        <v>1609</v>
      </c>
      <c r="D708" s="15" t="s">
        <v>1610</v>
      </c>
      <c r="E708" s="13">
        <v>170</v>
      </c>
      <c r="F708" s="13" t="s">
        <v>60</v>
      </c>
      <c r="G708" s="40"/>
      <c r="H708" s="14" t="str">
        <f t="shared" si="25"/>
        <v/>
      </c>
      <c r="I708" s="13" t="s">
        <v>30</v>
      </c>
      <c r="J708" s="13">
        <v>0</v>
      </c>
    </row>
    <row r="709" spans="1:10" s="13" customFormat="1" ht="129.6" hidden="1" x14ac:dyDescent="0.3">
      <c r="A709" s="15" t="s">
        <v>1611</v>
      </c>
      <c r="B709" s="15" t="s">
        <v>30</v>
      </c>
      <c r="C709" s="15" t="s">
        <v>1612</v>
      </c>
      <c r="D709" s="15" t="s">
        <v>1613</v>
      </c>
      <c r="E709" s="13">
        <v>170</v>
      </c>
      <c r="F709" s="13" t="s">
        <v>60</v>
      </c>
      <c r="G709" s="40"/>
      <c r="H709" s="14" t="str">
        <f t="shared" si="25"/>
        <v/>
      </c>
      <c r="I709" s="13" t="s">
        <v>30</v>
      </c>
      <c r="J709" s="13">
        <v>0</v>
      </c>
    </row>
    <row r="710" spans="1:10" s="13" customFormat="1" ht="158.4" hidden="1" x14ac:dyDescent="0.3">
      <c r="A710" s="15" t="s">
        <v>1614</v>
      </c>
      <c r="B710" s="15" t="s">
        <v>30</v>
      </c>
      <c r="C710" s="15" t="s">
        <v>1615</v>
      </c>
      <c r="D710" s="15" t="s">
        <v>1616</v>
      </c>
      <c r="E710" s="13">
        <v>208</v>
      </c>
      <c r="F710" s="13" t="s">
        <v>100</v>
      </c>
      <c r="G710" s="40"/>
      <c r="H710" s="14" t="str">
        <f t="shared" si="25"/>
        <v/>
      </c>
      <c r="I710" s="13" t="s">
        <v>30</v>
      </c>
      <c r="J710" s="13">
        <v>0</v>
      </c>
    </row>
    <row r="711" spans="1:10" s="13" customFormat="1" ht="129.6" hidden="1" x14ac:dyDescent="0.3">
      <c r="A711" s="15" t="s">
        <v>1617</v>
      </c>
      <c r="B711" s="15" t="s">
        <v>30</v>
      </c>
      <c r="C711" s="15" t="s">
        <v>1618</v>
      </c>
      <c r="D711" s="15" t="s">
        <v>1619</v>
      </c>
      <c r="E711" s="13">
        <v>650</v>
      </c>
      <c r="F711" s="13" t="s">
        <v>60</v>
      </c>
      <c r="G711" s="40"/>
      <c r="H711" s="14" t="str">
        <f t="shared" si="25"/>
        <v/>
      </c>
      <c r="I711" s="13" t="s">
        <v>30</v>
      </c>
      <c r="J711" s="13">
        <v>0</v>
      </c>
    </row>
    <row r="712" spans="1:10" s="13" customFormat="1" ht="57.6" hidden="1" x14ac:dyDescent="0.3">
      <c r="A712" s="15" t="s">
        <v>1620</v>
      </c>
      <c r="B712" s="15" t="s">
        <v>30</v>
      </c>
      <c r="C712" s="15" t="s">
        <v>1621</v>
      </c>
      <c r="D712" s="15" t="s">
        <v>1622</v>
      </c>
      <c r="E712" s="13">
        <v>20</v>
      </c>
      <c r="F712" s="13" t="s">
        <v>71</v>
      </c>
      <c r="G712" s="40"/>
      <c r="H712" s="14" t="str">
        <f t="shared" si="25"/>
        <v/>
      </c>
      <c r="I712" s="13" t="s">
        <v>30</v>
      </c>
      <c r="J712" s="13">
        <v>0</v>
      </c>
    </row>
    <row r="713" spans="1:10" s="11" customFormat="1" hidden="1" x14ac:dyDescent="0.3">
      <c r="A713" s="20" t="s">
        <v>1623</v>
      </c>
      <c r="B713" s="20"/>
      <c r="C713" s="20" t="s">
        <v>1624</v>
      </c>
      <c r="D713" s="20"/>
      <c r="G713" s="38"/>
      <c r="H713" s="12">
        <f>SUM(H714,H715,H716,H717,H718)</f>
        <v>0</v>
      </c>
    </row>
    <row r="714" spans="1:10" s="13" customFormat="1" ht="230.4" hidden="1" x14ac:dyDescent="0.3">
      <c r="A714" s="15" t="s">
        <v>1625</v>
      </c>
      <c r="B714" s="15" t="s">
        <v>30</v>
      </c>
      <c r="C714" s="15" t="s">
        <v>1626</v>
      </c>
      <c r="D714" s="15" t="s">
        <v>1627</v>
      </c>
      <c r="E714" s="13">
        <v>2759</v>
      </c>
      <c r="F714" s="13" t="s">
        <v>100</v>
      </c>
      <c r="G714" s="40"/>
      <c r="H714" s="14" t="str">
        <f>IF(AND(ISNUMBER(E714),ISNUMBER(G714)),ROUND(PRODUCT(PRODUCT(E714, G714), 1 - J714), 2),"")</f>
        <v/>
      </c>
      <c r="I714" s="13" t="s">
        <v>30</v>
      </c>
      <c r="J714" s="13">
        <v>0</v>
      </c>
    </row>
    <row r="715" spans="1:10" s="13" customFormat="1" ht="201.6" hidden="1" x14ac:dyDescent="0.3">
      <c r="A715" s="15" t="s">
        <v>1628</v>
      </c>
      <c r="B715" s="15" t="s">
        <v>30</v>
      </c>
      <c r="C715" s="15" t="s">
        <v>1629</v>
      </c>
      <c r="D715" s="15" t="s">
        <v>1630</v>
      </c>
      <c r="E715" s="13">
        <v>50</v>
      </c>
      <c r="F715" s="13" t="s">
        <v>100</v>
      </c>
      <c r="G715" s="40"/>
      <c r="H715" s="14" t="str">
        <f>IF(AND(ISNUMBER(E715),ISNUMBER(G715)),ROUND(PRODUCT(PRODUCT(E715, G715), 1 - J715), 2),"")</f>
        <v/>
      </c>
      <c r="I715" s="13" t="s">
        <v>30</v>
      </c>
      <c r="J715" s="13">
        <v>0</v>
      </c>
    </row>
    <row r="716" spans="1:10" s="13" customFormat="1" ht="57.6" hidden="1" x14ac:dyDescent="0.3">
      <c r="A716" s="15" t="s">
        <v>1631</v>
      </c>
      <c r="B716" s="15" t="s">
        <v>30</v>
      </c>
      <c r="C716" s="15" t="s">
        <v>1632</v>
      </c>
      <c r="D716" s="15" t="s">
        <v>1633</v>
      </c>
      <c r="E716" s="13">
        <v>250</v>
      </c>
      <c r="F716" s="13" t="s">
        <v>71</v>
      </c>
      <c r="G716" s="40"/>
      <c r="H716" s="14" t="str">
        <f>IF(AND(ISNUMBER(E716),ISNUMBER(G716)),ROUND(PRODUCT(PRODUCT(E716, G716), 1 - J716), 2),"")</f>
        <v/>
      </c>
      <c r="I716" s="13" t="s">
        <v>30</v>
      </c>
      <c r="J716" s="13">
        <v>0</v>
      </c>
    </row>
    <row r="717" spans="1:10" s="13" customFormat="1" ht="86.4" hidden="1" x14ac:dyDescent="0.3">
      <c r="A717" s="15" t="s">
        <v>1634</v>
      </c>
      <c r="B717" s="15" t="s">
        <v>30</v>
      </c>
      <c r="C717" s="15" t="s">
        <v>1635</v>
      </c>
      <c r="D717" s="15" t="s">
        <v>1636</v>
      </c>
      <c r="E717" s="13">
        <v>37</v>
      </c>
      <c r="F717" s="13" t="s">
        <v>71</v>
      </c>
      <c r="G717" s="40"/>
      <c r="H717" s="14" t="str">
        <f>IF(AND(ISNUMBER(E717),ISNUMBER(G717)),ROUND(PRODUCT(PRODUCT(E717, G717), 1 - J717), 2),"")</f>
        <v/>
      </c>
      <c r="I717" s="13" t="s">
        <v>30</v>
      </c>
      <c r="J717" s="13">
        <v>0</v>
      </c>
    </row>
    <row r="718" spans="1:10" s="13" customFormat="1" ht="86.4" hidden="1" x14ac:dyDescent="0.3">
      <c r="A718" s="15" t="s">
        <v>1637</v>
      </c>
      <c r="B718" s="15" t="s">
        <v>30</v>
      </c>
      <c r="C718" s="15" t="s">
        <v>1638</v>
      </c>
      <c r="D718" s="15" t="s">
        <v>1639</v>
      </c>
      <c r="E718" s="13">
        <v>780</v>
      </c>
      <c r="F718" s="13" t="s">
        <v>71</v>
      </c>
      <c r="G718" s="40"/>
      <c r="H718" s="14" t="str">
        <f>IF(AND(ISNUMBER(E718),ISNUMBER(G718)),ROUND(PRODUCT(PRODUCT(E718, G718), 1 - J718), 2),"")</f>
        <v/>
      </c>
      <c r="I718" s="13" t="s">
        <v>30</v>
      </c>
      <c r="J718" s="13">
        <v>0</v>
      </c>
    </row>
    <row r="719" spans="1:10" s="11" customFormat="1" hidden="1" x14ac:dyDescent="0.3">
      <c r="A719" s="20" t="s">
        <v>1640</v>
      </c>
      <c r="B719" s="20"/>
      <c r="C719" s="20" t="s">
        <v>1641</v>
      </c>
      <c r="D719" s="20"/>
      <c r="G719" s="38"/>
      <c r="H719" s="12">
        <f>SUM(H720,H721,H722)</f>
        <v>0</v>
      </c>
    </row>
    <row r="720" spans="1:10" s="13" customFormat="1" ht="187.2" hidden="1" x14ac:dyDescent="0.3">
      <c r="A720" s="15" t="s">
        <v>1642</v>
      </c>
      <c r="B720" s="15" t="s">
        <v>30</v>
      </c>
      <c r="C720" s="15" t="s">
        <v>1643</v>
      </c>
      <c r="D720" s="15" t="s">
        <v>1644</v>
      </c>
      <c r="E720" s="13">
        <v>14</v>
      </c>
      <c r="F720" s="13" t="s">
        <v>100</v>
      </c>
      <c r="G720" s="40"/>
      <c r="H720" s="14" t="str">
        <f>IF(AND(ISNUMBER(E720),ISNUMBER(G720)),ROUND(PRODUCT(PRODUCT(E720, G720), 1 - J720), 2),"")</f>
        <v/>
      </c>
      <c r="I720" s="13" t="s">
        <v>30</v>
      </c>
      <c r="J720" s="13">
        <v>0</v>
      </c>
    </row>
    <row r="721" spans="1:10" s="13" customFormat="1" ht="158.4" hidden="1" x14ac:dyDescent="0.3">
      <c r="A721" s="15" t="s">
        <v>1645</v>
      </c>
      <c r="B721" s="15" t="s">
        <v>30</v>
      </c>
      <c r="C721" s="15" t="s">
        <v>1646</v>
      </c>
      <c r="D721" s="15" t="s">
        <v>1647</v>
      </c>
      <c r="E721" s="13">
        <v>4</v>
      </c>
      <c r="F721" s="13" t="s">
        <v>100</v>
      </c>
      <c r="G721" s="40"/>
      <c r="H721" s="14" t="str">
        <f>IF(AND(ISNUMBER(E721),ISNUMBER(G721)),ROUND(PRODUCT(PRODUCT(E721, G721), 1 - J721), 2),"")</f>
        <v/>
      </c>
      <c r="I721" s="13" t="s">
        <v>30</v>
      </c>
      <c r="J721" s="13">
        <v>0</v>
      </c>
    </row>
    <row r="722" spans="1:10" s="13" customFormat="1" ht="129.6" hidden="1" x14ac:dyDescent="0.3">
      <c r="A722" s="15" t="s">
        <v>1648</v>
      </c>
      <c r="B722" s="15" t="s">
        <v>30</v>
      </c>
      <c r="C722" s="15" t="s">
        <v>1649</v>
      </c>
      <c r="D722" s="15" t="s">
        <v>1650</v>
      </c>
      <c r="E722" s="13">
        <v>140</v>
      </c>
      <c r="F722" s="13" t="s">
        <v>60</v>
      </c>
      <c r="G722" s="40"/>
      <c r="H722" s="14" t="str">
        <f>IF(AND(ISNUMBER(E722),ISNUMBER(G722)),ROUND(PRODUCT(PRODUCT(E722, G722), 1 - J722), 2),"")</f>
        <v/>
      </c>
      <c r="I722" s="13" t="s">
        <v>30</v>
      </c>
      <c r="J722" s="13">
        <v>0</v>
      </c>
    </row>
    <row r="723" spans="1:10" s="11" customFormat="1" ht="28.8" hidden="1" x14ac:dyDescent="0.3">
      <c r="A723" s="20" t="s">
        <v>1651</v>
      </c>
      <c r="B723" s="20"/>
      <c r="C723" s="20" t="s">
        <v>1652</v>
      </c>
      <c r="D723" s="20"/>
      <c r="G723" s="38"/>
      <c r="H723" s="12">
        <v>0</v>
      </c>
    </row>
    <row r="724" spans="1:10" s="11" customFormat="1" ht="28.8" hidden="1" x14ac:dyDescent="0.3">
      <c r="A724" s="20" t="s">
        <v>1653</v>
      </c>
      <c r="B724" s="20"/>
      <c r="C724" s="20" t="s">
        <v>1654</v>
      </c>
      <c r="D724" s="20"/>
      <c r="G724" s="38"/>
      <c r="H724" s="12">
        <v>0</v>
      </c>
    </row>
    <row r="725" spans="1:10" s="11" customFormat="1" hidden="1" x14ac:dyDescent="0.3">
      <c r="A725" s="20" t="s">
        <v>1655</v>
      </c>
      <c r="B725" s="20"/>
      <c r="C725" s="20" t="s">
        <v>79</v>
      </c>
      <c r="D725" s="20"/>
      <c r="G725" s="38"/>
      <c r="H725" s="12">
        <f>SUM(H726)</f>
        <v>0</v>
      </c>
    </row>
    <row r="726" spans="1:10" s="13" customFormat="1" ht="144" hidden="1" x14ac:dyDescent="0.3">
      <c r="A726" s="15" t="s">
        <v>1656</v>
      </c>
      <c r="B726" s="15" t="s">
        <v>30</v>
      </c>
      <c r="C726" s="15" t="s">
        <v>1657</v>
      </c>
      <c r="D726" s="15" t="s">
        <v>1658</v>
      </c>
      <c r="E726" s="13">
        <v>11.25</v>
      </c>
      <c r="F726" s="13" t="s">
        <v>100</v>
      </c>
      <c r="G726" s="40"/>
      <c r="H726" s="14" t="str">
        <f>IF(AND(ISNUMBER(E726),ISNUMBER(G726)),ROUND(PRODUCT(PRODUCT(E726, G726), 1 - J726), 2),"")</f>
        <v/>
      </c>
      <c r="I726" s="13" t="s">
        <v>30</v>
      </c>
      <c r="J726" s="13">
        <v>0</v>
      </c>
    </row>
    <row r="727" spans="1:10" s="11" customFormat="1" hidden="1" x14ac:dyDescent="0.3">
      <c r="A727" s="20" t="s">
        <v>1659</v>
      </c>
      <c r="B727" s="20"/>
      <c r="C727" s="20" t="s">
        <v>1660</v>
      </c>
      <c r="D727" s="20"/>
      <c r="G727" s="38"/>
      <c r="H727" s="12">
        <f>SUM(H728,H731,H732,H733,H737,H738,H739)</f>
        <v>0</v>
      </c>
    </row>
    <row r="728" spans="1:10" s="11" customFormat="1" hidden="1" x14ac:dyDescent="0.3">
      <c r="A728" s="20" t="s">
        <v>1661</v>
      </c>
      <c r="B728" s="20"/>
      <c r="C728" s="20" t="s">
        <v>83</v>
      </c>
      <c r="D728" s="20"/>
      <c r="G728" s="38"/>
      <c r="H728" s="12">
        <v>0</v>
      </c>
    </row>
    <row r="729" spans="1:10" s="13" customFormat="1" ht="409.6" hidden="1" x14ac:dyDescent="0.3">
      <c r="A729" s="15"/>
      <c r="B729" s="15"/>
      <c r="C729" s="15" t="s">
        <v>28</v>
      </c>
      <c r="D729" s="15" t="s">
        <v>29</v>
      </c>
      <c r="G729" s="39"/>
      <c r="I729" s="13" t="s">
        <v>30</v>
      </c>
    </row>
    <row r="730" spans="1:10" s="13" customFormat="1" ht="201.6" hidden="1" x14ac:dyDescent="0.3">
      <c r="A730" s="15"/>
      <c r="B730" s="15"/>
      <c r="C730" s="15" t="s">
        <v>1662</v>
      </c>
      <c r="D730" s="15" t="s">
        <v>1663</v>
      </c>
      <c r="G730" s="39"/>
      <c r="I730" s="13" t="s">
        <v>30</v>
      </c>
    </row>
    <row r="731" spans="1:10" s="11" customFormat="1" hidden="1" x14ac:dyDescent="0.3">
      <c r="A731" s="20" t="s">
        <v>1664</v>
      </c>
      <c r="B731" s="20"/>
      <c r="C731" s="20" t="s">
        <v>1665</v>
      </c>
      <c r="D731" s="20"/>
      <c r="G731" s="38"/>
      <c r="H731" s="12">
        <v>0</v>
      </c>
    </row>
    <row r="732" spans="1:10" s="11" customFormat="1" hidden="1" x14ac:dyDescent="0.3">
      <c r="A732" s="20" t="s">
        <v>1666</v>
      </c>
      <c r="B732" s="20"/>
      <c r="C732" s="20" t="s">
        <v>1667</v>
      </c>
      <c r="D732" s="20"/>
      <c r="G732" s="38"/>
      <c r="H732" s="12">
        <v>0</v>
      </c>
    </row>
    <row r="733" spans="1:10" s="11" customFormat="1" ht="28.8" hidden="1" x14ac:dyDescent="0.3">
      <c r="A733" s="20" t="s">
        <v>1668</v>
      </c>
      <c r="B733" s="20"/>
      <c r="C733" s="20" t="s">
        <v>1669</v>
      </c>
      <c r="D733" s="20"/>
      <c r="G733" s="38"/>
      <c r="H733" s="12">
        <f>SUM(H734,H735,H736)</f>
        <v>0</v>
      </c>
    </row>
    <row r="734" spans="1:10" s="13" customFormat="1" ht="144" hidden="1" x14ac:dyDescent="0.3">
      <c r="A734" s="15" t="s">
        <v>1670</v>
      </c>
      <c r="B734" s="15" t="s">
        <v>30</v>
      </c>
      <c r="C734" s="15" t="s">
        <v>1671</v>
      </c>
      <c r="D734" s="15" t="s">
        <v>1672</v>
      </c>
      <c r="E734" s="13">
        <v>103.61</v>
      </c>
      <c r="F734" s="13" t="s">
        <v>100</v>
      </c>
      <c r="G734" s="40"/>
      <c r="H734" s="14" t="str">
        <f>IF(AND(ISNUMBER(E734),ISNUMBER(G734)),ROUND(PRODUCT(PRODUCT(E734, G734), 1 - J734), 2),"")</f>
        <v/>
      </c>
      <c r="I734" s="13" t="s">
        <v>30</v>
      </c>
      <c r="J734" s="13">
        <v>0</v>
      </c>
    </row>
    <row r="735" spans="1:10" s="13" customFormat="1" ht="129.6" hidden="1" x14ac:dyDescent="0.3">
      <c r="A735" s="15" t="s">
        <v>1673</v>
      </c>
      <c r="B735" s="15" t="s">
        <v>30</v>
      </c>
      <c r="C735" s="15" t="s">
        <v>1674</v>
      </c>
      <c r="D735" s="15" t="s">
        <v>1675</v>
      </c>
      <c r="E735" s="13">
        <v>88.21</v>
      </c>
      <c r="F735" s="13" t="s">
        <v>643</v>
      </c>
      <c r="G735" s="40"/>
      <c r="H735" s="14" t="str">
        <f>IF(AND(ISNUMBER(E735),ISNUMBER(G735)),ROUND(PRODUCT(PRODUCT(E735, G735), 1 - J735), 2),"")</f>
        <v/>
      </c>
      <c r="I735" s="13" t="s">
        <v>30</v>
      </c>
      <c r="J735" s="13">
        <v>0</v>
      </c>
    </row>
    <row r="736" spans="1:10" s="13" customFormat="1" ht="43.2" hidden="1" x14ac:dyDescent="0.3">
      <c r="A736" s="15" t="s">
        <v>1676</v>
      </c>
      <c r="B736" s="15" t="s">
        <v>30</v>
      </c>
      <c r="C736" s="15" t="s">
        <v>1677</v>
      </c>
      <c r="D736" s="15" t="s">
        <v>1678</v>
      </c>
      <c r="E736" s="13">
        <v>7.44</v>
      </c>
      <c r="F736" s="13" t="s">
        <v>71</v>
      </c>
      <c r="G736" s="40"/>
      <c r="H736" s="14" t="str">
        <f>IF(AND(ISNUMBER(E736),ISNUMBER(G736)),ROUND(PRODUCT(PRODUCT(E736, G736), 1 - J736), 2),"")</f>
        <v/>
      </c>
      <c r="I736" s="13" t="s">
        <v>30</v>
      </c>
      <c r="J736" s="13">
        <v>0</v>
      </c>
    </row>
    <row r="737" spans="1:10" s="11" customFormat="1" hidden="1" x14ac:dyDescent="0.3">
      <c r="A737" s="20" t="s">
        <v>1679</v>
      </c>
      <c r="B737" s="20"/>
      <c r="C737" s="20" t="s">
        <v>1680</v>
      </c>
      <c r="D737" s="20"/>
      <c r="G737" s="38"/>
      <c r="H737" s="12">
        <v>0</v>
      </c>
    </row>
    <row r="738" spans="1:10" s="11" customFormat="1" hidden="1" x14ac:dyDescent="0.3">
      <c r="A738" s="20" t="s">
        <v>1681</v>
      </c>
      <c r="B738" s="20"/>
      <c r="C738" s="20" t="s">
        <v>1682</v>
      </c>
      <c r="D738" s="20"/>
      <c r="G738" s="38"/>
      <c r="H738" s="12">
        <v>0</v>
      </c>
    </row>
    <row r="739" spans="1:10" s="11" customFormat="1" hidden="1" x14ac:dyDescent="0.3">
      <c r="A739" s="20" t="s">
        <v>1683</v>
      </c>
      <c r="B739" s="20"/>
      <c r="C739" s="20" t="s">
        <v>79</v>
      </c>
      <c r="D739" s="20"/>
      <c r="G739" s="38"/>
      <c r="H739" s="12">
        <v>0</v>
      </c>
    </row>
    <row r="740" spans="1:10" s="11" customFormat="1" hidden="1" x14ac:dyDescent="0.3">
      <c r="A740" s="20" t="s">
        <v>1684</v>
      </c>
      <c r="B740" s="20"/>
      <c r="C740" s="20" t="s">
        <v>1685</v>
      </c>
      <c r="D740" s="20"/>
      <c r="G740" s="38"/>
      <c r="H740" s="12">
        <f>SUM(H741,H744,H745,H755,H756,H757,H758,H765,H766)</f>
        <v>0</v>
      </c>
    </row>
    <row r="741" spans="1:10" s="11" customFormat="1" hidden="1" x14ac:dyDescent="0.3">
      <c r="A741" s="20" t="s">
        <v>1686</v>
      </c>
      <c r="B741" s="20"/>
      <c r="C741" s="20" t="s">
        <v>83</v>
      </c>
      <c r="D741" s="20"/>
      <c r="G741" s="38"/>
      <c r="H741" s="12">
        <v>0</v>
      </c>
    </row>
    <row r="742" spans="1:10" s="13" customFormat="1" ht="409.6" hidden="1" x14ac:dyDescent="0.3">
      <c r="A742" s="15"/>
      <c r="B742" s="15"/>
      <c r="C742" s="15" t="s">
        <v>28</v>
      </c>
      <c r="D742" s="15" t="s">
        <v>29</v>
      </c>
      <c r="G742" s="39"/>
      <c r="I742" s="13" t="s">
        <v>30</v>
      </c>
    </row>
    <row r="743" spans="1:10" s="13" customFormat="1" ht="172.8" hidden="1" x14ac:dyDescent="0.3">
      <c r="A743" s="15"/>
      <c r="B743" s="15"/>
      <c r="C743" s="15" t="s">
        <v>1687</v>
      </c>
      <c r="D743" s="15" t="s">
        <v>1688</v>
      </c>
      <c r="G743" s="39"/>
      <c r="I743" s="13" t="s">
        <v>30</v>
      </c>
    </row>
    <row r="744" spans="1:10" s="11" customFormat="1" hidden="1" x14ac:dyDescent="0.3">
      <c r="A744" s="20" t="s">
        <v>1689</v>
      </c>
      <c r="B744" s="20"/>
      <c r="C744" s="20" t="s">
        <v>1690</v>
      </c>
      <c r="D744" s="20"/>
      <c r="G744" s="38"/>
      <c r="H744" s="12">
        <v>0</v>
      </c>
    </row>
    <row r="745" spans="1:10" s="11" customFormat="1" ht="28.8" hidden="1" x14ac:dyDescent="0.3">
      <c r="A745" s="20" t="s">
        <v>1691</v>
      </c>
      <c r="B745" s="20"/>
      <c r="C745" s="20" t="s">
        <v>1692</v>
      </c>
      <c r="D745" s="20"/>
      <c r="G745" s="38"/>
      <c r="H745" s="12">
        <f>SUM(H746,H747,H748,H749,H750,H751,H752,H753,H754)</f>
        <v>0</v>
      </c>
    </row>
    <row r="746" spans="1:10" s="13" customFormat="1" ht="115.2" hidden="1" x14ac:dyDescent="0.3">
      <c r="A746" s="15" t="s">
        <v>1693</v>
      </c>
      <c r="B746" s="15" t="s">
        <v>30</v>
      </c>
      <c r="C746" s="15" t="s">
        <v>1694</v>
      </c>
      <c r="D746" s="15" t="s">
        <v>1695</v>
      </c>
      <c r="E746" s="13">
        <v>2302.84</v>
      </c>
      <c r="F746" s="13" t="s">
        <v>100</v>
      </c>
      <c r="G746" s="40"/>
      <c r="H746" s="14" t="str">
        <f t="shared" ref="H746:H754" si="26">IF(AND(ISNUMBER(E746),ISNUMBER(G746)),ROUND(PRODUCT(PRODUCT(E746, G746), 1 - J746), 2),"")</f>
        <v/>
      </c>
      <c r="I746" s="13" t="s">
        <v>30</v>
      </c>
      <c r="J746" s="13">
        <v>0</v>
      </c>
    </row>
    <row r="747" spans="1:10" s="13" customFormat="1" ht="100.8" hidden="1" x14ac:dyDescent="0.3">
      <c r="A747" s="15" t="s">
        <v>1696</v>
      </c>
      <c r="B747" s="15" t="s">
        <v>30</v>
      </c>
      <c r="C747" s="15" t="s">
        <v>1697</v>
      </c>
      <c r="D747" s="15" t="s">
        <v>1698</v>
      </c>
      <c r="E747" s="13">
        <v>18.690000000000001</v>
      </c>
      <c r="F747" s="13" t="s">
        <v>100</v>
      </c>
      <c r="G747" s="40"/>
      <c r="H747" s="14" t="str">
        <f t="shared" si="26"/>
        <v/>
      </c>
      <c r="I747" s="13" t="s">
        <v>30</v>
      </c>
      <c r="J747" s="13">
        <v>0</v>
      </c>
    </row>
    <row r="748" spans="1:10" s="13" customFormat="1" ht="115.2" hidden="1" x14ac:dyDescent="0.3">
      <c r="A748" s="15" t="s">
        <v>1699</v>
      </c>
      <c r="B748" s="15" t="s">
        <v>30</v>
      </c>
      <c r="C748" s="15" t="s">
        <v>1700</v>
      </c>
      <c r="D748" s="15" t="s">
        <v>1701</v>
      </c>
      <c r="E748" s="13">
        <v>2187.6</v>
      </c>
      <c r="F748" s="13" t="s">
        <v>100</v>
      </c>
      <c r="G748" s="40"/>
      <c r="H748" s="14" t="str">
        <f t="shared" si="26"/>
        <v/>
      </c>
      <c r="I748" s="13" t="s">
        <v>30</v>
      </c>
      <c r="J748" s="13">
        <v>0</v>
      </c>
    </row>
    <row r="749" spans="1:10" s="13" customFormat="1" ht="158.4" hidden="1" x14ac:dyDescent="0.3">
      <c r="A749" s="15" t="s">
        <v>1702</v>
      </c>
      <c r="B749" s="15" t="s">
        <v>30</v>
      </c>
      <c r="C749" s="15" t="s">
        <v>1703</v>
      </c>
      <c r="D749" s="15" t="s">
        <v>1704</v>
      </c>
      <c r="E749" s="13">
        <v>472.36</v>
      </c>
      <c r="F749" s="13" t="s">
        <v>100</v>
      </c>
      <c r="G749" s="40"/>
      <c r="H749" s="14" t="str">
        <f t="shared" si="26"/>
        <v/>
      </c>
      <c r="I749" s="13" t="s">
        <v>30</v>
      </c>
      <c r="J749" s="13">
        <v>0</v>
      </c>
    </row>
    <row r="750" spans="1:10" s="13" customFormat="1" ht="158.4" hidden="1" x14ac:dyDescent="0.3">
      <c r="A750" s="15" t="s">
        <v>1705</v>
      </c>
      <c r="B750" s="15" t="s">
        <v>30</v>
      </c>
      <c r="C750" s="15" t="s">
        <v>1706</v>
      </c>
      <c r="D750" s="15" t="s">
        <v>1707</v>
      </c>
      <c r="E750" s="13">
        <v>862.6</v>
      </c>
      <c r="F750" s="13" t="s">
        <v>100</v>
      </c>
      <c r="G750" s="40"/>
      <c r="H750" s="14" t="str">
        <f t="shared" si="26"/>
        <v/>
      </c>
      <c r="I750" s="13" t="s">
        <v>30</v>
      </c>
      <c r="J750" s="13">
        <v>0</v>
      </c>
    </row>
    <row r="751" spans="1:10" s="13" customFormat="1" ht="115.2" hidden="1" x14ac:dyDescent="0.3">
      <c r="A751" s="15" t="s">
        <v>1708</v>
      </c>
      <c r="B751" s="15" t="s">
        <v>30</v>
      </c>
      <c r="C751" s="15" t="s">
        <v>1709</v>
      </c>
      <c r="D751" s="15" t="s">
        <v>1710</v>
      </c>
      <c r="E751" s="13">
        <v>44.09</v>
      </c>
      <c r="F751" s="13" t="s">
        <v>100</v>
      </c>
      <c r="G751" s="40"/>
      <c r="H751" s="14" t="str">
        <f t="shared" si="26"/>
        <v/>
      </c>
      <c r="I751" s="13" t="s">
        <v>30</v>
      </c>
      <c r="J751" s="13">
        <v>0</v>
      </c>
    </row>
    <row r="752" spans="1:10" s="13" customFormat="1" ht="100.8" hidden="1" x14ac:dyDescent="0.3">
      <c r="A752" s="15" t="s">
        <v>1711</v>
      </c>
      <c r="B752" s="15" t="s">
        <v>30</v>
      </c>
      <c r="C752" s="15" t="s">
        <v>1712</v>
      </c>
      <c r="D752" s="15" t="s">
        <v>1713</v>
      </c>
      <c r="E752" s="13">
        <v>3.56</v>
      </c>
      <c r="F752" s="13" t="s">
        <v>100</v>
      </c>
      <c r="G752" s="40"/>
      <c r="H752" s="14" t="str">
        <f t="shared" si="26"/>
        <v/>
      </c>
      <c r="I752" s="13" t="s">
        <v>30</v>
      </c>
      <c r="J752" s="13">
        <v>0</v>
      </c>
    </row>
    <row r="753" spans="1:10" s="13" customFormat="1" ht="129.6" hidden="1" x14ac:dyDescent="0.3">
      <c r="A753" s="15" t="s">
        <v>1714</v>
      </c>
      <c r="B753" s="15" t="s">
        <v>30</v>
      </c>
      <c r="C753" s="15" t="s">
        <v>1715</v>
      </c>
      <c r="D753" s="15" t="s">
        <v>1716</v>
      </c>
      <c r="E753" s="13">
        <v>88.45</v>
      </c>
      <c r="F753" s="13" t="s">
        <v>100</v>
      </c>
      <c r="G753" s="40"/>
      <c r="H753" s="14" t="str">
        <f t="shared" si="26"/>
        <v/>
      </c>
      <c r="I753" s="13" t="s">
        <v>30</v>
      </c>
      <c r="J753" s="13">
        <v>0</v>
      </c>
    </row>
    <row r="754" spans="1:10" s="13" customFormat="1" ht="100.8" hidden="1" x14ac:dyDescent="0.3">
      <c r="A754" s="15" t="s">
        <v>1717</v>
      </c>
      <c r="B754" s="15" t="s">
        <v>30</v>
      </c>
      <c r="C754" s="15" t="s">
        <v>1718</v>
      </c>
      <c r="D754" s="15" t="s">
        <v>1719</v>
      </c>
      <c r="E754" s="13">
        <v>587.35</v>
      </c>
      <c r="F754" s="13" t="s">
        <v>100</v>
      </c>
      <c r="G754" s="40"/>
      <c r="H754" s="14" t="str">
        <f t="shared" si="26"/>
        <v/>
      </c>
      <c r="I754" s="13" t="s">
        <v>30</v>
      </c>
      <c r="J754" s="13">
        <v>0</v>
      </c>
    </row>
    <row r="755" spans="1:10" s="11" customFormat="1" hidden="1" x14ac:dyDescent="0.3">
      <c r="A755" s="20" t="s">
        <v>1720</v>
      </c>
      <c r="B755" s="20"/>
      <c r="C755" s="20" t="s">
        <v>1721</v>
      </c>
      <c r="D755" s="20"/>
      <c r="G755" s="38"/>
      <c r="H755" s="12">
        <v>0</v>
      </c>
    </row>
    <row r="756" spans="1:10" s="11" customFormat="1" ht="28.8" hidden="1" x14ac:dyDescent="0.3">
      <c r="A756" s="20" t="s">
        <v>1722</v>
      </c>
      <c r="B756" s="20"/>
      <c r="C756" s="20" t="s">
        <v>1723</v>
      </c>
      <c r="D756" s="20"/>
      <c r="G756" s="38"/>
      <c r="H756" s="12">
        <v>0</v>
      </c>
    </row>
    <row r="757" spans="1:10" s="11" customFormat="1" hidden="1" x14ac:dyDescent="0.3">
      <c r="A757" s="20" t="s">
        <v>1724</v>
      </c>
      <c r="B757" s="20"/>
      <c r="C757" s="20" t="s">
        <v>1725</v>
      </c>
      <c r="D757" s="20"/>
      <c r="G757" s="38"/>
      <c r="H757" s="12">
        <v>0</v>
      </c>
    </row>
    <row r="758" spans="1:10" s="11" customFormat="1" hidden="1" x14ac:dyDescent="0.3">
      <c r="A758" s="20" t="s">
        <v>1726</v>
      </c>
      <c r="B758" s="20"/>
      <c r="C758" s="20" t="s">
        <v>1727</v>
      </c>
      <c r="D758" s="20"/>
      <c r="G758" s="38"/>
      <c r="H758" s="12">
        <f>SUM(H759,H760,H761,H762,H763,H764)</f>
        <v>0</v>
      </c>
    </row>
    <row r="759" spans="1:10" s="13" customFormat="1" ht="100.8" hidden="1" x14ac:dyDescent="0.3">
      <c r="A759" s="15" t="s">
        <v>1728</v>
      </c>
      <c r="B759" s="15" t="s">
        <v>30</v>
      </c>
      <c r="C759" s="15" t="s">
        <v>1729</v>
      </c>
      <c r="D759" s="15" t="s">
        <v>1730</v>
      </c>
      <c r="E759" s="13">
        <v>86.59</v>
      </c>
      <c r="F759" s="13" t="s">
        <v>100</v>
      </c>
      <c r="G759" s="40"/>
      <c r="H759" s="14" t="str">
        <f t="shared" ref="H759:H764" si="27">IF(AND(ISNUMBER(E759),ISNUMBER(G759)),ROUND(PRODUCT(PRODUCT(E759, G759), 1 - J759), 2),"")</f>
        <v/>
      </c>
      <c r="I759" s="13" t="s">
        <v>30</v>
      </c>
      <c r="J759" s="13">
        <v>0</v>
      </c>
    </row>
    <row r="760" spans="1:10" s="13" customFormat="1" ht="43.2" hidden="1" x14ac:dyDescent="0.3">
      <c r="A760" s="15" t="s">
        <v>1731</v>
      </c>
      <c r="B760" s="15" t="s">
        <v>30</v>
      </c>
      <c r="C760" s="15" t="s">
        <v>1732</v>
      </c>
      <c r="D760" s="15" t="s">
        <v>1733</v>
      </c>
      <c r="E760" s="13">
        <v>10.61</v>
      </c>
      <c r="F760" s="13" t="s">
        <v>100</v>
      </c>
      <c r="G760" s="40"/>
      <c r="H760" s="14" t="str">
        <f t="shared" si="27"/>
        <v/>
      </c>
      <c r="I760" s="13" t="s">
        <v>30</v>
      </c>
      <c r="J760" s="13">
        <v>0</v>
      </c>
    </row>
    <row r="761" spans="1:10" s="13" customFormat="1" ht="43.2" hidden="1" x14ac:dyDescent="0.3">
      <c r="A761" s="15" t="s">
        <v>1734</v>
      </c>
      <c r="B761" s="15" t="s">
        <v>30</v>
      </c>
      <c r="C761" s="15" t="s">
        <v>1735</v>
      </c>
      <c r="D761" s="15" t="s">
        <v>1736</v>
      </c>
      <c r="E761" s="13">
        <v>82.34</v>
      </c>
      <c r="F761" s="13" t="s">
        <v>71</v>
      </c>
      <c r="G761" s="40"/>
      <c r="H761" s="14" t="str">
        <f t="shared" si="27"/>
        <v/>
      </c>
      <c r="I761" s="13" t="s">
        <v>30</v>
      </c>
      <c r="J761" s="13">
        <v>0</v>
      </c>
    </row>
    <row r="762" spans="1:10" s="13" customFormat="1" ht="43.2" hidden="1" x14ac:dyDescent="0.3">
      <c r="A762" s="15" t="s">
        <v>1737</v>
      </c>
      <c r="B762" s="15" t="s">
        <v>30</v>
      </c>
      <c r="C762" s="15" t="s">
        <v>1738</v>
      </c>
      <c r="D762" s="15" t="s">
        <v>1739</v>
      </c>
      <c r="E762" s="13">
        <v>2.0099999999999998</v>
      </c>
      <c r="F762" s="13" t="s">
        <v>71</v>
      </c>
      <c r="G762" s="40"/>
      <c r="H762" s="14" t="str">
        <f t="shared" si="27"/>
        <v/>
      </c>
      <c r="I762" s="13" t="s">
        <v>30</v>
      </c>
      <c r="J762" s="13">
        <v>0</v>
      </c>
    </row>
    <row r="763" spans="1:10" s="13" customFormat="1" ht="129.6" hidden="1" x14ac:dyDescent="0.3">
      <c r="A763" s="15" t="s">
        <v>1740</v>
      </c>
      <c r="B763" s="15" t="s">
        <v>30</v>
      </c>
      <c r="C763" s="15" t="s">
        <v>1741</v>
      </c>
      <c r="D763" s="15" t="s">
        <v>1742</v>
      </c>
      <c r="E763" s="13">
        <v>28.1</v>
      </c>
      <c r="F763" s="13" t="s">
        <v>100</v>
      </c>
      <c r="G763" s="40"/>
      <c r="H763" s="14" t="str">
        <f t="shared" si="27"/>
        <v/>
      </c>
      <c r="I763" s="13" t="s">
        <v>30</v>
      </c>
      <c r="J763" s="13">
        <v>0</v>
      </c>
    </row>
    <row r="764" spans="1:10" s="13" customFormat="1" ht="72" hidden="1" x14ac:dyDescent="0.3">
      <c r="A764" s="15" t="s">
        <v>1743</v>
      </c>
      <c r="B764" s="15" t="s">
        <v>30</v>
      </c>
      <c r="C764" s="15" t="s">
        <v>1744</v>
      </c>
      <c r="D764" s="15" t="s">
        <v>1736</v>
      </c>
      <c r="E764" s="13">
        <v>22.26</v>
      </c>
      <c r="F764" s="13" t="s">
        <v>71</v>
      </c>
      <c r="G764" s="40"/>
      <c r="H764" s="14" t="str">
        <f t="shared" si="27"/>
        <v/>
      </c>
      <c r="I764" s="13" t="s">
        <v>30</v>
      </c>
      <c r="J764" s="13">
        <v>0</v>
      </c>
    </row>
    <row r="765" spans="1:10" s="11" customFormat="1" hidden="1" x14ac:dyDescent="0.3">
      <c r="A765" s="20" t="s">
        <v>1745</v>
      </c>
      <c r="B765" s="20"/>
      <c r="C765" s="20" t="s">
        <v>1746</v>
      </c>
      <c r="D765" s="20"/>
      <c r="G765" s="38"/>
      <c r="H765" s="12">
        <v>0</v>
      </c>
    </row>
    <row r="766" spans="1:10" s="11" customFormat="1" hidden="1" x14ac:dyDescent="0.3">
      <c r="A766" s="20" t="s">
        <v>1747</v>
      </c>
      <c r="B766" s="20"/>
      <c r="C766" s="20" t="s">
        <v>79</v>
      </c>
      <c r="D766" s="20"/>
      <c r="G766" s="38"/>
      <c r="H766" s="12">
        <v>0</v>
      </c>
    </row>
    <row r="767" spans="1:10" s="11" customFormat="1" hidden="1" x14ac:dyDescent="0.3">
      <c r="A767" s="20" t="s">
        <v>1748</v>
      </c>
      <c r="B767" s="20"/>
      <c r="C767" s="20" t="s">
        <v>1749</v>
      </c>
      <c r="D767" s="20"/>
      <c r="G767" s="38"/>
      <c r="H767" s="12">
        <f>SUM(H768,H771,H774,H775)</f>
        <v>0</v>
      </c>
    </row>
    <row r="768" spans="1:10" s="11" customFormat="1" hidden="1" x14ac:dyDescent="0.3">
      <c r="A768" s="20" t="s">
        <v>1750</v>
      </c>
      <c r="B768" s="20"/>
      <c r="C768" s="20" t="s">
        <v>83</v>
      </c>
      <c r="D768" s="20"/>
      <c r="G768" s="38"/>
      <c r="H768" s="12">
        <v>0</v>
      </c>
    </row>
    <row r="769" spans="1:10" s="13" customFormat="1" ht="409.6" hidden="1" x14ac:dyDescent="0.3">
      <c r="A769" s="15"/>
      <c r="B769" s="15"/>
      <c r="C769" s="15" t="s">
        <v>28</v>
      </c>
      <c r="D769" s="15" t="s">
        <v>29</v>
      </c>
      <c r="G769" s="39"/>
      <c r="I769" s="13" t="s">
        <v>30</v>
      </c>
    </row>
    <row r="770" spans="1:10" s="13" customFormat="1" ht="201.6" hidden="1" x14ac:dyDescent="0.3">
      <c r="A770" s="15"/>
      <c r="B770" s="15"/>
      <c r="C770" s="15" t="s">
        <v>1751</v>
      </c>
      <c r="D770" s="15" t="s">
        <v>1752</v>
      </c>
      <c r="G770" s="39"/>
      <c r="I770" s="13" t="s">
        <v>30</v>
      </c>
    </row>
    <row r="771" spans="1:10" s="11" customFormat="1" hidden="1" x14ac:dyDescent="0.3">
      <c r="A771" s="20" t="s">
        <v>1753</v>
      </c>
      <c r="B771" s="20"/>
      <c r="C771" s="20" t="s">
        <v>1754</v>
      </c>
      <c r="D771" s="20"/>
      <c r="G771" s="38"/>
      <c r="H771" s="12">
        <f>SUM(H772,H773)</f>
        <v>0</v>
      </c>
    </row>
    <row r="772" spans="1:10" s="13" customFormat="1" ht="201.6" hidden="1" x14ac:dyDescent="0.3">
      <c r="A772" s="15" t="s">
        <v>1755</v>
      </c>
      <c r="B772" s="15" t="s">
        <v>30</v>
      </c>
      <c r="C772" s="15" t="s">
        <v>1756</v>
      </c>
      <c r="D772" s="15" t="s">
        <v>1757</v>
      </c>
      <c r="E772" s="13">
        <v>23</v>
      </c>
      <c r="F772" s="13" t="s">
        <v>100</v>
      </c>
      <c r="G772" s="40"/>
      <c r="H772" s="14" t="str">
        <f>IF(AND(ISNUMBER(E772),ISNUMBER(G772)),ROUND(PRODUCT(PRODUCT(E772, G772), 1 - J772), 2),"")</f>
        <v/>
      </c>
      <c r="I772" s="13" t="s">
        <v>30</v>
      </c>
      <c r="J772" s="13">
        <v>0</v>
      </c>
    </row>
    <row r="773" spans="1:10" s="13" customFormat="1" ht="115.2" hidden="1" x14ac:dyDescent="0.3">
      <c r="A773" s="15" t="s">
        <v>1758</v>
      </c>
      <c r="B773" s="15" t="s">
        <v>30</v>
      </c>
      <c r="C773" s="15" t="s">
        <v>1759</v>
      </c>
      <c r="D773" s="15" t="s">
        <v>1760</v>
      </c>
      <c r="E773" s="13">
        <v>6</v>
      </c>
      <c r="F773" s="13" t="s">
        <v>60</v>
      </c>
      <c r="G773" s="40"/>
      <c r="H773" s="14" t="str">
        <f>IF(AND(ISNUMBER(E773),ISNUMBER(G773)),ROUND(PRODUCT(PRODUCT(E773, G773), 1 - J773), 2),"")</f>
        <v/>
      </c>
      <c r="I773" s="13" t="s">
        <v>30</v>
      </c>
      <c r="J773" s="13">
        <v>0</v>
      </c>
    </row>
    <row r="774" spans="1:10" s="11" customFormat="1" hidden="1" x14ac:dyDescent="0.3">
      <c r="A774" s="20" t="s">
        <v>1761</v>
      </c>
      <c r="B774" s="20"/>
      <c r="C774" s="20" t="s">
        <v>1762</v>
      </c>
      <c r="D774" s="20"/>
      <c r="G774" s="38"/>
      <c r="H774" s="12">
        <v>0</v>
      </c>
    </row>
    <row r="775" spans="1:10" s="11" customFormat="1" hidden="1" x14ac:dyDescent="0.3">
      <c r="A775" s="20" t="s">
        <v>1763</v>
      </c>
      <c r="B775" s="20"/>
      <c r="C775" s="20" t="s">
        <v>79</v>
      </c>
      <c r="D775" s="20"/>
      <c r="G775" s="38"/>
      <c r="H775" s="12">
        <v>0</v>
      </c>
    </row>
    <row r="776" spans="1:10" s="11" customFormat="1" ht="28.8" hidden="1" x14ac:dyDescent="0.3">
      <c r="A776" s="20" t="s">
        <v>1764</v>
      </c>
      <c r="B776" s="20"/>
      <c r="C776" s="20" t="s">
        <v>1765</v>
      </c>
      <c r="D776" s="20"/>
      <c r="G776" s="38"/>
      <c r="H776" s="12">
        <f>SUM(H777,H780,H786,H788,H789,H791)</f>
        <v>0</v>
      </c>
    </row>
    <row r="777" spans="1:10" s="11" customFormat="1" hidden="1" x14ac:dyDescent="0.3">
      <c r="A777" s="20" t="s">
        <v>1766</v>
      </c>
      <c r="B777" s="20"/>
      <c r="C777" s="20" t="s">
        <v>83</v>
      </c>
      <c r="D777" s="20"/>
      <c r="G777" s="38"/>
      <c r="H777" s="12">
        <v>0</v>
      </c>
    </row>
    <row r="778" spans="1:10" s="13" customFormat="1" ht="409.6" hidden="1" x14ac:dyDescent="0.3">
      <c r="A778" s="15"/>
      <c r="B778" s="15"/>
      <c r="C778" s="15" t="s">
        <v>28</v>
      </c>
      <c r="D778" s="15" t="s">
        <v>29</v>
      </c>
      <c r="G778" s="39"/>
      <c r="I778" s="13" t="s">
        <v>30</v>
      </c>
    </row>
    <row r="779" spans="1:10" s="13" customFormat="1" ht="129.6" hidden="1" x14ac:dyDescent="0.3">
      <c r="A779" s="15"/>
      <c r="B779" s="15"/>
      <c r="C779" s="15" t="s">
        <v>1767</v>
      </c>
      <c r="D779" s="15" t="s">
        <v>1768</v>
      </c>
      <c r="G779" s="39"/>
      <c r="I779" s="13" t="s">
        <v>30</v>
      </c>
    </row>
    <row r="780" spans="1:10" s="11" customFormat="1" hidden="1" x14ac:dyDescent="0.3">
      <c r="A780" s="20" t="s">
        <v>1769</v>
      </c>
      <c r="B780" s="20"/>
      <c r="C780" s="20" t="s">
        <v>1770</v>
      </c>
      <c r="D780" s="20"/>
      <c r="G780" s="38"/>
      <c r="H780" s="12">
        <f>SUM(H781,H782,H783,H784,H785)</f>
        <v>0</v>
      </c>
    </row>
    <row r="781" spans="1:10" s="13" customFormat="1" ht="129.6" hidden="1" x14ac:dyDescent="0.3">
      <c r="A781" s="15" t="s">
        <v>1771</v>
      </c>
      <c r="B781" s="15" t="s">
        <v>30</v>
      </c>
      <c r="C781" s="15" t="s">
        <v>1772</v>
      </c>
      <c r="D781" s="15" t="s">
        <v>1773</v>
      </c>
      <c r="E781" s="13">
        <v>10.19</v>
      </c>
      <c r="F781" s="13" t="s">
        <v>71</v>
      </c>
      <c r="G781" s="40"/>
      <c r="H781" s="14" t="str">
        <f>IF(AND(ISNUMBER(E781),ISNUMBER(G781)),ROUND(PRODUCT(PRODUCT(E781, G781), 1 - J781), 2),"")</f>
        <v/>
      </c>
      <c r="I781" s="13" t="s">
        <v>30</v>
      </c>
      <c r="J781" s="13">
        <v>0</v>
      </c>
    </row>
    <row r="782" spans="1:10" s="13" customFormat="1" ht="115.2" hidden="1" x14ac:dyDescent="0.3">
      <c r="A782" s="15" t="s">
        <v>1774</v>
      </c>
      <c r="B782" s="15" t="s">
        <v>30</v>
      </c>
      <c r="C782" s="15" t="s">
        <v>1775</v>
      </c>
      <c r="D782" s="15" t="s">
        <v>1776</v>
      </c>
      <c r="E782" s="13">
        <v>32.869999999999997</v>
      </c>
      <c r="F782" s="13" t="s">
        <v>71</v>
      </c>
      <c r="G782" s="40"/>
      <c r="H782" s="14" t="str">
        <f>IF(AND(ISNUMBER(E782),ISNUMBER(G782)),ROUND(PRODUCT(PRODUCT(E782, G782), 1 - J782), 2),"")</f>
        <v/>
      </c>
      <c r="I782" s="13" t="s">
        <v>30</v>
      </c>
      <c r="J782" s="13">
        <v>0</v>
      </c>
    </row>
    <row r="783" spans="1:10" s="13" customFormat="1" ht="129.6" hidden="1" x14ac:dyDescent="0.3">
      <c r="A783" s="15" t="s">
        <v>1777</v>
      </c>
      <c r="B783" s="15" t="s">
        <v>30</v>
      </c>
      <c r="C783" s="15" t="s">
        <v>1778</v>
      </c>
      <c r="D783" s="15" t="s">
        <v>1779</v>
      </c>
      <c r="E783" s="13">
        <v>62.23</v>
      </c>
      <c r="F783" s="13" t="s">
        <v>71</v>
      </c>
      <c r="G783" s="40"/>
      <c r="H783" s="14" t="str">
        <f>IF(AND(ISNUMBER(E783),ISNUMBER(G783)),ROUND(PRODUCT(PRODUCT(E783, G783), 1 - J783), 2),"")</f>
        <v/>
      </c>
      <c r="I783" s="13" t="s">
        <v>30</v>
      </c>
      <c r="J783" s="13">
        <v>0</v>
      </c>
    </row>
    <row r="784" spans="1:10" s="13" customFormat="1" ht="43.2" hidden="1" x14ac:dyDescent="0.3">
      <c r="A784" s="15" t="s">
        <v>1780</v>
      </c>
      <c r="B784" s="15" t="s">
        <v>30</v>
      </c>
      <c r="C784" s="15" t="s">
        <v>1781</v>
      </c>
      <c r="D784" s="15" t="s">
        <v>1782</v>
      </c>
      <c r="E784" s="13">
        <v>5.5</v>
      </c>
      <c r="F784" s="13" t="s">
        <v>71</v>
      </c>
      <c r="G784" s="40"/>
      <c r="H784" s="14" t="str">
        <f>IF(AND(ISNUMBER(E784),ISNUMBER(G784)),ROUND(PRODUCT(PRODUCT(E784, G784), 1 - J784), 2),"")</f>
        <v/>
      </c>
      <c r="I784" s="13" t="s">
        <v>30</v>
      </c>
      <c r="J784" s="13">
        <v>0</v>
      </c>
    </row>
    <row r="785" spans="1:10" s="13" customFormat="1" ht="43.2" hidden="1" x14ac:dyDescent="0.3">
      <c r="A785" s="15" t="s">
        <v>1783</v>
      </c>
      <c r="B785" s="15" t="s">
        <v>30</v>
      </c>
      <c r="C785" s="15" t="s">
        <v>1784</v>
      </c>
      <c r="D785" s="15" t="s">
        <v>1785</v>
      </c>
      <c r="E785" s="13">
        <v>158.13999999999999</v>
      </c>
      <c r="F785" s="13" t="s">
        <v>71</v>
      </c>
      <c r="G785" s="40"/>
      <c r="H785" s="14" t="str">
        <f>IF(AND(ISNUMBER(E785),ISNUMBER(G785)),ROUND(PRODUCT(PRODUCT(E785, G785), 1 - J785), 2),"")</f>
        <v/>
      </c>
      <c r="I785" s="13" t="s">
        <v>30</v>
      </c>
      <c r="J785" s="13">
        <v>0</v>
      </c>
    </row>
    <row r="786" spans="1:10" s="11" customFormat="1" hidden="1" x14ac:dyDescent="0.3">
      <c r="A786" s="20" t="s">
        <v>1786</v>
      </c>
      <c r="B786" s="20"/>
      <c r="C786" s="20" t="s">
        <v>1787</v>
      </c>
      <c r="D786" s="20"/>
      <c r="G786" s="38"/>
      <c r="H786" s="12">
        <f>SUM(H787)</f>
        <v>0</v>
      </c>
    </row>
    <row r="787" spans="1:10" s="13" customFormat="1" ht="129.6" hidden="1" x14ac:dyDescent="0.3">
      <c r="A787" s="15" t="s">
        <v>1788</v>
      </c>
      <c r="B787" s="15" t="s">
        <v>30</v>
      </c>
      <c r="C787" s="15" t="s">
        <v>1789</v>
      </c>
      <c r="D787" s="15" t="s">
        <v>1790</v>
      </c>
      <c r="E787" s="13">
        <v>4</v>
      </c>
      <c r="F787" s="13" t="s">
        <v>60</v>
      </c>
      <c r="G787" s="40"/>
      <c r="H787" s="14" t="str">
        <f>IF(AND(ISNUMBER(E787),ISNUMBER(G787)),ROUND(PRODUCT(PRODUCT(E787, G787), 1 - J787), 2),"")</f>
        <v/>
      </c>
      <c r="I787" s="13" t="s">
        <v>30</v>
      </c>
      <c r="J787" s="13">
        <v>0</v>
      </c>
    </row>
    <row r="788" spans="1:10" s="11" customFormat="1" hidden="1" x14ac:dyDescent="0.3">
      <c r="A788" s="20" t="s">
        <v>1791</v>
      </c>
      <c r="B788" s="20"/>
      <c r="C788" s="20" t="s">
        <v>1792</v>
      </c>
      <c r="D788" s="20"/>
      <c r="G788" s="38"/>
      <c r="H788" s="12">
        <v>0</v>
      </c>
    </row>
    <row r="789" spans="1:10" s="11" customFormat="1" hidden="1" x14ac:dyDescent="0.3">
      <c r="A789" s="20" t="s">
        <v>1793</v>
      </c>
      <c r="B789" s="20"/>
      <c r="C789" s="20" t="s">
        <v>1794</v>
      </c>
      <c r="D789" s="20"/>
      <c r="G789" s="38"/>
      <c r="H789" s="12">
        <f>SUM(H790)</f>
        <v>0</v>
      </c>
    </row>
    <row r="790" spans="1:10" s="13" customFormat="1" ht="403.2" hidden="1" x14ac:dyDescent="0.3">
      <c r="A790" s="15" t="s">
        <v>1795</v>
      </c>
      <c r="B790" s="15" t="s">
        <v>30</v>
      </c>
      <c r="C790" s="15" t="s">
        <v>1796</v>
      </c>
      <c r="D790" s="15" t="s">
        <v>1797</v>
      </c>
      <c r="E790" s="13">
        <v>1</v>
      </c>
      <c r="F790" s="13" t="s">
        <v>60</v>
      </c>
      <c r="G790" s="40"/>
      <c r="H790" s="14" t="str">
        <f>IF(AND(ISNUMBER(E790),ISNUMBER(G790)),ROUND(PRODUCT(PRODUCT(E790, G790), 1 - J790), 2),"")</f>
        <v/>
      </c>
      <c r="I790" s="13" t="s">
        <v>30</v>
      </c>
      <c r="J790" s="13">
        <v>0</v>
      </c>
    </row>
    <row r="791" spans="1:10" s="11" customFormat="1" hidden="1" x14ac:dyDescent="0.3">
      <c r="A791" s="20" t="s">
        <v>1798</v>
      </c>
      <c r="B791" s="20"/>
      <c r="C791" s="20" t="s">
        <v>79</v>
      </c>
      <c r="D791" s="20"/>
      <c r="G791" s="38"/>
      <c r="H791" s="12">
        <v>0</v>
      </c>
    </row>
    <row r="792" spans="1:10" s="11" customFormat="1" hidden="1" x14ac:dyDescent="0.3">
      <c r="A792" s="20" t="s">
        <v>1799</v>
      </c>
      <c r="B792" s="20"/>
      <c r="C792" s="20" t="s">
        <v>1800</v>
      </c>
      <c r="D792" s="20"/>
      <c r="G792" s="38"/>
      <c r="H792" s="12">
        <f>SUM(H793,H796,H807,H822,H824,H825,H834,H837,H887)</f>
        <v>0</v>
      </c>
    </row>
    <row r="793" spans="1:10" s="11" customFormat="1" hidden="1" x14ac:dyDescent="0.3">
      <c r="A793" s="20" t="s">
        <v>1801</v>
      </c>
      <c r="B793" s="20"/>
      <c r="C793" s="20" t="s">
        <v>83</v>
      </c>
      <c r="D793" s="20"/>
      <c r="G793" s="38"/>
      <c r="H793" s="12">
        <v>0</v>
      </c>
    </row>
    <row r="794" spans="1:10" s="13" customFormat="1" ht="409.6" hidden="1" x14ac:dyDescent="0.3">
      <c r="A794" s="15"/>
      <c r="B794" s="15"/>
      <c r="C794" s="15" t="s">
        <v>28</v>
      </c>
      <c r="D794" s="15" t="s">
        <v>29</v>
      </c>
      <c r="G794" s="39"/>
      <c r="I794" s="13" t="s">
        <v>30</v>
      </c>
    </row>
    <row r="795" spans="1:10" s="13" customFormat="1" ht="230.4" hidden="1" x14ac:dyDescent="0.3">
      <c r="A795" s="15"/>
      <c r="B795" s="15"/>
      <c r="C795" s="15" t="s">
        <v>1802</v>
      </c>
      <c r="D795" s="15" t="s">
        <v>1803</v>
      </c>
      <c r="G795" s="39"/>
      <c r="I795" s="13" t="s">
        <v>30</v>
      </c>
    </row>
    <row r="796" spans="1:10" s="11" customFormat="1" hidden="1" x14ac:dyDescent="0.3">
      <c r="A796" s="20" t="s">
        <v>1804</v>
      </c>
      <c r="B796" s="20"/>
      <c r="C796" s="20" t="s">
        <v>1805</v>
      </c>
      <c r="D796" s="20"/>
      <c r="G796" s="38"/>
      <c r="H796" s="12">
        <f>SUM(H797,H798,H799,H800,H801,H802,H803,H804,H805,H806)</f>
        <v>0</v>
      </c>
    </row>
    <row r="797" spans="1:10" s="13" customFormat="1" ht="129.6" hidden="1" x14ac:dyDescent="0.3">
      <c r="A797" s="15" t="s">
        <v>1806</v>
      </c>
      <c r="B797" s="15" t="s">
        <v>30</v>
      </c>
      <c r="C797" s="15" t="s">
        <v>1807</v>
      </c>
      <c r="D797" s="15" t="s">
        <v>1808</v>
      </c>
      <c r="E797" s="13">
        <v>285</v>
      </c>
      <c r="F797" s="13" t="s">
        <v>400</v>
      </c>
      <c r="G797" s="40"/>
      <c r="H797" s="14" t="str">
        <f t="shared" ref="H797:H806" si="28">IF(AND(ISNUMBER(E797),ISNUMBER(G797)),ROUND(PRODUCT(PRODUCT(E797, G797), 1 - J797), 2),"")</f>
        <v/>
      </c>
      <c r="I797" s="13" t="s">
        <v>30</v>
      </c>
      <c r="J797" s="13">
        <v>0</v>
      </c>
    </row>
    <row r="798" spans="1:10" s="13" customFormat="1" ht="115.2" hidden="1" x14ac:dyDescent="0.3">
      <c r="A798" s="15" t="s">
        <v>1809</v>
      </c>
      <c r="B798" s="15" t="s">
        <v>30</v>
      </c>
      <c r="C798" s="15" t="s">
        <v>1810</v>
      </c>
      <c r="D798" s="15" t="s">
        <v>1811</v>
      </c>
      <c r="E798" s="13">
        <v>4</v>
      </c>
      <c r="F798" s="13" t="s">
        <v>100</v>
      </c>
      <c r="G798" s="40"/>
      <c r="H798" s="14" t="str">
        <f t="shared" si="28"/>
        <v/>
      </c>
      <c r="I798" s="13" t="s">
        <v>30</v>
      </c>
      <c r="J798" s="13">
        <v>0</v>
      </c>
    </row>
    <row r="799" spans="1:10" s="13" customFormat="1" ht="100.8" hidden="1" x14ac:dyDescent="0.3">
      <c r="A799" s="15" t="s">
        <v>1812</v>
      </c>
      <c r="B799" s="15" t="s">
        <v>30</v>
      </c>
      <c r="C799" s="15" t="s">
        <v>1813</v>
      </c>
      <c r="D799" s="15" t="s">
        <v>1814</v>
      </c>
      <c r="E799" s="13">
        <v>4.5999999999999996</v>
      </c>
      <c r="F799" s="13" t="s">
        <v>71</v>
      </c>
      <c r="G799" s="40"/>
      <c r="H799" s="14" t="str">
        <f t="shared" si="28"/>
        <v/>
      </c>
      <c r="I799" s="13" t="s">
        <v>30</v>
      </c>
      <c r="J799" s="13">
        <v>0</v>
      </c>
    </row>
    <row r="800" spans="1:10" s="13" customFormat="1" ht="129.6" hidden="1" x14ac:dyDescent="0.3">
      <c r="A800" s="15" t="s">
        <v>1815</v>
      </c>
      <c r="B800" s="15" t="s">
        <v>30</v>
      </c>
      <c r="C800" s="15" t="s">
        <v>1816</v>
      </c>
      <c r="D800" s="15" t="s">
        <v>1817</v>
      </c>
      <c r="E800" s="13">
        <v>5.5</v>
      </c>
      <c r="F800" s="13" t="s">
        <v>71</v>
      </c>
      <c r="G800" s="40"/>
      <c r="H800" s="14" t="str">
        <f t="shared" si="28"/>
        <v/>
      </c>
      <c r="I800" s="13" t="s">
        <v>30</v>
      </c>
      <c r="J800" s="13">
        <v>0</v>
      </c>
    </row>
    <row r="801" spans="1:10" s="13" customFormat="1" ht="115.2" hidden="1" x14ac:dyDescent="0.3">
      <c r="A801" s="15" t="s">
        <v>1818</v>
      </c>
      <c r="B801" s="15" t="s">
        <v>30</v>
      </c>
      <c r="C801" s="15" t="s">
        <v>1816</v>
      </c>
      <c r="D801" s="15" t="s">
        <v>1819</v>
      </c>
      <c r="E801" s="13">
        <v>4</v>
      </c>
      <c r="F801" s="13" t="s">
        <v>71</v>
      </c>
      <c r="G801" s="40"/>
      <c r="H801" s="14" t="str">
        <f t="shared" si="28"/>
        <v/>
      </c>
      <c r="I801" s="13" t="s">
        <v>30</v>
      </c>
      <c r="J801" s="13">
        <v>0</v>
      </c>
    </row>
    <row r="802" spans="1:10" s="13" customFormat="1" ht="115.2" hidden="1" x14ac:dyDescent="0.3">
      <c r="A802" s="15" t="s">
        <v>1820</v>
      </c>
      <c r="B802" s="15" t="s">
        <v>30</v>
      </c>
      <c r="C802" s="15" t="s">
        <v>1816</v>
      </c>
      <c r="D802" s="15" t="s">
        <v>1821</v>
      </c>
      <c r="E802" s="13">
        <v>4</v>
      </c>
      <c r="F802" s="13" t="s">
        <v>71</v>
      </c>
      <c r="G802" s="40"/>
      <c r="H802" s="14" t="str">
        <f t="shared" si="28"/>
        <v/>
      </c>
      <c r="I802" s="13" t="s">
        <v>30</v>
      </c>
      <c r="J802" s="13">
        <v>0</v>
      </c>
    </row>
    <row r="803" spans="1:10" s="13" customFormat="1" ht="57.6" hidden="1" x14ac:dyDescent="0.3">
      <c r="A803" s="15" t="s">
        <v>1822</v>
      </c>
      <c r="B803" s="15" t="s">
        <v>30</v>
      </c>
      <c r="C803" s="15" t="s">
        <v>1816</v>
      </c>
      <c r="D803" s="15" t="s">
        <v>1823</v>
      </c>
      <c r="E803" s="13">
        <v>1</v>
      </c>
      <c r="F803" s="13" t="s">
        <v>60</v>
      </c>
      <c r="G803" s="40"/>
      <c r="H803" s="14" t="str">
        <f t="shared" si="28"/>
        <v/>
      </c>
      <c r="I803" s="13" t="s">
        <v>30</v>
      </c>
      <c r="J803" s="13">
        <v>0</v>
      </c>
    </row>
    <row r="804" spans="1:10" s="13" customFormat="1" ht="100.8" hidden="1" x14ac:dyDescent="0.3">
      <c r="A804" s="15" t="s">
        <v>1824</v>
      </c>
      <c r="B804" s="15" t="s">
        <v>30</v>
      </c>
      <c r="C804" s="15" t="s">
        <v>1816</v>
      </c>
      <c r="D804" s="15" t="s">
        <v>1825</v>
      </c>
      <c r="E804" s="13">
        <v>7</v>
      </c>
      <c r="F804" s="13" t="s">
        <v>71</v>
      </c>
      <c r="G804" s="40"/>
      <c r="H804" s="14" t="str">
        <f t="shared" si="28"/>
        <v/>
      </c>
      <c r="I804" s="13" t="s">
        <v>30</v>
      </c>
      <c r="J804" s="13">
        <v>0</v>
      </c>
    </row>
    <row r="805" spans="1:10" s="13" customFormat="1" ht="28.8" hidden="1" x14ac:dyDescent="0.3">
      <c r="A805" s="15" t="s">
        <v>1826</v>
      </c>
      <c r="B805" s="15" t="s">
        <v>30</v>
      </c>
      <c r="C805" s="15" t="s">
        <v>1827</v>
      </c>
      <c r="D805" s="15" t="s">
        <v>1828</v>
      </c>
      <c r="E805" s="13">
        <v>3</v>
      </c>
      <c r="F805" s="13" t="s">
        <v>71</v>
      </c>
      <c r="G805" s="40"/>
      <c r="H805" s="14" t="str">
        <f t="shared" si="28"/>
        <v/>
      </c>
      <c r="I805" s="13" t="s">
        <v>30</v>
      </c>
      <c r="J805" s="13">
        <v>0</v>
      </c>
    </row>
    <row r="806" spans="1:10" s="13" customFormat="1" ht="28.8" hidden="1" x14ac:dyDescent="0.3">
      <c r="A806" s="15" t="s">
        <v>1829</v>
      </c>
      <c r="B806" s="15" t="s">
        <v>30</v>
      </c>
      <c r="C806" s="15" t="s">
        <v>1830</v>
      </c>
      <c r="D806" s="15" t="s">
        <v>1831</v>
      </c>
      <c r="E806" s="13">
        <v>1</v>
      </c>
      <c r="F806" s="13" t="s">
        <v>60</v>
      </c>
      <c r="G806" s="40"/>
      <c r="H806" s="14" t="str">
        <f t="shared" si="28"/>
        <v/>
      </c>
      <c r="I806" s="13" t="s">
        <v>30</v>
      </c>
      <c r="J806" s="13">
        <v>0</v>
      </c>
    </row>
    <row r="807" spans="1:10" s="11" customFormat="1" ht="28.8" hidden="1" x14ac:dyDescent="0.3">
      <c r="A807" s="20" t="s">
        <v>1832</v>
      </c>
      <c r="B807" s="20"/>
      <c r="C807" s="20" t="s">
        <v>1833</v>
      </c>
      <c r="D807" s="20"/>
      <c r="G807" s="38"/>
      <c r="H807" s="12">
        <f>SUM(H808,H809,H810,H811,H812,H813,H814,H815,H816,H817,H818,H819,H820,H821)</f>
        <v>0</v>
      </c>
    </row>
    <row r="808" spans="1:10" s="13" customFormat="1" ht="409.6" hidden="1" x14ac:dyDescent="0.3">
      <c r="A808" s="15" t="s">
        <v>1834</v>
      </c>
      <c r="B808" s="15" t="s">
        <v>30</v>
      </c>
      <c r="C808" s="15" t="s">
        <v>1835</v>
      </c>
      <c r="D808" s="15" t="s">
        <v>1836</v>
      </c>
      <c r="E808" s="13">
        <v>2748</v>
      </c>
      <c r="F808" s="13" t="s">
        <v>400</v>
      </c>
      <c r="G808" s="40"/>
      <c r="H808" s="14" t="str">
        <f t="shared" ref="H808:H821" si="29">IF(AND(ISNUMBER(E808),ISNUMBER(G808)),ROUND(PRODUCT(PRODUCT(E808, G808), 1 - J808), 2),"")</f>
        <v/>
      </c>
      <c r="I808" s="13" t="s">
        <v>30</v>
      </c>
      <c r="J808" s="13">
        <v>0</v>
      </c>
    </row>
    <row r="809" spans="1:10" s="13" customFormat="1" ht="86.4" hidden="1" x14ac:dyDescent="0.3">
      <c r="A809" s="15" t="s">
        <v>1837</v>
      </c>
      <c r="B809" s="15" t="s">
        <v>30</v>
      </c>
      <c r="C809" s="15" t="s">
        <v>1838</v>
      </c>
      <c r="D809" s="15" t="s">
        <v>1839</v>
      </c>
      <c r="E809" s="13">
        <v>36</v>
      </c>
      <c r="F809" s="13" t="s">
        <v>100</v>
      </c>
      <c r="G809" s="40"/>
      <c r="H809" s="14" t="str">
        <f t="shared" si="29"/>
        <v/>
      </c>
      <c r="I809" s="13" t="s">
        <v>30</v>
      </c>
      <c r="J809" s="13">
        <v>0</v>
      </c>
    </row>
    <row r="810" spans="1:10" s="13" customFormat="1" ht="129.6" hidden="1" x14ac:dyDescent="0.3">
      <c r="A810" s="15" t="s">
        <v>1840</v>
      </c>
      <c r="B810" s="15" t="s">
        <v>30</v>
      </c>
      <c r="C810" s="15" t="s">
        <v>1841</v>
      </c>
      <c r="D810" s="15" t="s">
        <v>1842</v>
      </c>
      <c r="E810" s="13">
        <v>345</v>
      </c>
      <c r="F810" s="13" t="s">
        <v>400</v>
      </c>
      <c r="G810" s="40"/>
      <c r="H810" s="14" t="str">
        <f t="shared" si="29"/>
        <v/>
      </c>
      <c r="I810" s="13" t="s">
        <v>30</v>
      </c>
      <c r="J810" s="13">
        <v>0</v>
      </c>
    </row>
    <row r="811" spans="1:10" s="13" customFormat="1" ht="115.2" hidden="1" x14ac:dyDescent="0.3">
      <c r="A811" s="15" t="s">
        <v>1843</v>
      </c>
      <c r="B811" s="15" t="s">
        <v>30</v>
      </c>
      <c r="C811" s="15" t="s">
        <v>1841</v>
      </c>
      <c r="D811" s="15" t="s">
        <v>1844</v>
      </c>
      <c r="E811" s="13">
        <v>280</v>
      </c>
      <c r="F811" s="13" t="s">
        <v>400</v>
      </c>
      <c r="G811" s="40"/>
      <c r="H811" s="14" t="str">
        <f t="shared" si="29"/>
        <v/>
      </c>
      <c r="I811" s="13" t="s">
        <v>30</v>
      </c>
      <c r="J811" s="13">
        <v>0</v>
      </c>
    </row>
    <row r="812" spans="1:10" s="13" customFormat="1" ht="129.6" hidden="1" x14ac:dyDescent="0.3">
      <c r="A812" s="15" t="s">
        <v>1845</v>
      </c>
      <c r="B812" s="15" t="s">
        <v>30</v>
      </c>
      <c r="C812" s="15" t="s">
        <v>1841</v>
      </c>
      <c r="D812" s="15" t="s">
        <v>1846</v>
      </c>
      <c r="E812" s="13">
        <v>345</v>
      </c>
      <c r="F812" s="13" t="s">
        <v>400</v>
      </c>
      <c r="G812" s="40"/>
      <c r="H812" s="14" t="str">
        <f t="shared" si="29"/>
        <v/>
      </c>
      <c r="I812" s="13" t="s">
        <v>30</v>
      </c>
      <c r="J812" s="13">
        <v>0</v>
      </c>
    </row>
    <row r="813" spans="1:10" s="13" customFormat="1" ht="115.2" hidden="1" x14ac:dyDescent="0.3">
      <c r="A813" s="15" t="s">
        <v>1847</v>
      </c>
      <c r="B813" s="15" t="s">
        <v>30</v>
      </c>
      <c r="C813" s="15" t="s">
        <v>1841</v>
      </c>
      <c r="D813" s="15" t="s">
        <v>1848</v>
      </c>
      <c r="E813" s="13">
        <v>280</v>
      </c>
      <c r="F813" s="13" t="s">
        <v>400</v>
      </c>
      <c r="G813" s="40"/>
      <c r="H813" s="14" t="str">
        <f t="shared" si="29"/>
        <v/>
      </c>
      <c r="I813" s="13" t="s">
        <v>30</v>
      </c>
      <c r="J813" s="13">
        <v>0</v>
      </c>
    </row>
    <row r="814" spans="1:10" s="13" customFormat="1" ht="129.6" hidden="1" x14ac:dyDescent="0.3">
      <c r="A814" s="15" t="s">
        <v>1849</v>
      </c>
      <c r="B814" s="15" t="s">
        <v>30</v>
      </c>
      <c r="C814" s="15" t="s">
        <v>1850</v>
      </c>
      <c r="D814" s="15" t="s">
        <v>1851</v>
      </c>
      <c r="E814" s="13">
        <v>210</v>
      </c>
      <c r="F814" s="13" t="s">
        <v>400</v>
      </c>
      <c r="G814" s="40"/>
      <c r="H814" s="14" t="str">
        <f t="shared" si="29"/>
        <v/>
      </c>
      <c r="I814" s="13" t="s">
        <v>30</v>
      </c>
      <c r="J814" s="13">
        <v>0</v>
      </c>
    </row>
    <row r="815" spans="1:10" s="13" customFormat="1" ht="129.6" hidden="1" x14ac:dyDescent="0.3">
      <c r="A815" s="15" t="s">
        <v>1852</v>
      </c>
      <c r="B815" s="15" t="s">
        <v>30</v>
      </c>
      <c r="C815" s="15" t="s">
        <v>1850</v>
      </c>
      <c r="D815" s="15" t="s">
        <v>1853</v>
      </c>
      <c r="E815" s="13">
        <v>95</v>
      </c>
      <c r="F815" s="13" t="s">
        <v>400</v>
      </c>
      <c r="G815" s="40"/>
      <c r="H815" s="14" t="str">
        <f t="shared" si="29"/>
        <v/>
      </c>
      <c r="I815" s="13" t="s">
        <v>30</v>
      </c>
      <c r="J815" s="13">
        <v>0</v>
      </c>
    </row>
    <row r="816" spans="1:10" s="13" customFormat="1" ht="129.6" hidden="1" x14ac:dyDescent="0.3">
      <c r="A816" s="15" t="s">
        <v>1854</v>
      </c>
      <c r="B816" s="15" t="s">
        <v>30</v>
      </c>
      <c r="C816" s="15" t="s">
        <v>1850</v>
      </c>
      <c r="D816" s="15" t="s">
        <v>1855</v>
      </c>
      <c r="E816" s="13">
        <v>95</v>
      </c>
      <c r="F816" s="13" t="s">
        <v>400</v>
      </c>
      <c r="G816" s="40"/>
      <c r="H816" s="14" t="str">
        <f t="shared" si="29"/>
        <v/>
      </c>
      <c r="I816" s="13" t="s">
        <v>30</v>
      </c>
      <c r="J816" s="13">
        <v>0</v>
      </c>
    </row>
    <row r="817" spans="1:10" s="13" customFormat="1" ht="129.6" hidden="1" x14ac:dyDescent="0.3">
      <c r="A817" s="15" t="s">
        <v>1856</v>
      </c>
      <c r="B817" s="15" t="s">
        <v>30</v>
      </c>
      <c r="C817" s="15" t="s">
        <v>1850</v>
      </c>
      <c r="D817" s="15" t="s">
        <v>1857</v>
      </c>
      <c r="E817" s="13">
        <v>210</v>
      </c>
      <c r="F817" s="13" t="s">
        <v>400</v>
      </c>
      <c r="G817" s="40"/>
      <c r="H817" s="14" t="str">
        <f t="shared" si="29"/>
        <v/>
      </c>
      <c r="I817" s="13" t="s">
        <v>30</v>
      </c>
      <c r="J817" s="13">
        <v>0</v>
      </c>
    </row>
    <row r="818" spans="1:10" s="13" customFormat="1" ht="86.4" hidden="1" x14ac:dyDescent="0.3">
      <c r="A818" s="15" t="s">
        <v>1858</v>
      </c>
      <c r="B818" s="15" t="s">
        <v>30</v>
      </c>
      <c r="C818" s="15" t="s">
        <v>1859</v>
      </c>
      <c r="D818" s="15" t="s">
        <v>1860</v>
      </c>
      <c r="E818" s="13">
        <v>0.65</v>
      </c>
      <c r="F818" s="13" t="s">
        <v>100</v>
      </c>
      <c r="G818" s="40"/>
      <c r="H818" s="14" t="str">
        <f t="shared" si="29"/>
        <v/>
      </c>
      <c r="I818" s="13" t="s">
        <v>30</v>
      </c>
      <c r="J818" s="13">
        <v>0</v>
      </c>
    </row>
    <row r="819" spans="1:10" s="13" customFormat="1" ht="129.6" hidden="1" x14ac:dyDescent="0.3">
      <c r="A819" s="15" t="s">
        <v>1861</v>
      </c>
      <c r="B819" s="15" t="s">
        <v>30</v>
      </c>
      <c r="C819" s="15" t="s">
        <v>1850</v>
      </c>
      <c r="D819" s="15" t="s">
        <v>1862</v>
      </c>
      <c r="E819" s="13">
        <v>95</v>
      </c>
      <c r="F819" s="13" t="s">
        <v>400</v>
      </c>
      <c r="G819" s="40"/>
      <c r="H819" s="14" t="str">
        <f t="shared" si="29"/>
        <v/>
      </c>
      <c r="I819" s="13" t="s">
        <v>30</v>
      </c>
      <c r="J819" s="13">
        <v>0</v>
      </c>
    </row>
    <row r="820" spans="1:10" s="13" customFormat="1" ht="129.6" hidden="1" x14ac:dyDescent="0.3">
      <c r="A820" s="15" t="s">
        <v>1863</v>
      </c>
      <c r="B820" s="15" t="s">
        <v>30</v>
      </c>
      <c r="C820" s="15" t="s">
        <v>1850</v>
      </c>
      <c r="D820" s="15" t="s">
        <v>1864</v>
      </c>
      <c r="E820" s="13">
        <v>95</v>
      </c>
      <c r="F820" s="13" t="s">
        <v>400</v>
      </c>
      <c r="G820" s="40"/>
      <c r="H820" s="14" t="str">
        <f t="shared" si="29"/>
        <v/>
      </c>
      <c r="I820" s="13" t="s">
        <v>30</v>
      </c>
      <c r="J820" s="13">
        <v>0</v>
      </c>
    </row>
    <row r="821" spans="1:10" s="13" customFormat="1" ht="129.6" hidden="1" x14ac:dyDescent="0.3">
      <c r="A821" s="15" t="s">
        <v>1865</v>
      </c>
      <c r="B821" s="15" t="s">
        <v>30</v>
      </c>
      <c r="C821" s="15" t="s">
        <v>1850</v>
      </c>
      <c r="D821" s="15" t="s">
        <v>1866</v>
      </c>
      <c r="E821" s="13">
        <v>95</v>
      </c>
      <c r="F821" s="13" t="s">
        <v>400</v>
      </c>
      <c r="G821" s="40"/>
      <c r="H821" s="14" t="str">
        <f t="shared" si="29"/>
        <v/>
      </c>
      <c r="I821" s="13" t="s">
        <v>30</v>
      </c>
      <c r="J821" s="13">
        <v>0</v>
      </c>
    </row>
    <row r="822" spans="1:10" s="11" customFormat="1" hidden="1" x14ac:dyDescent="0.3">
      <c r="A822" s="20" t="s">
        <v>1867</v>
      </c>
      <c r="B822" s="20"/>
      <c r="C822" s="20" t="s">
        <v>1868</v>
      </c>
      <c r="D822" s="20"/>
      <c r="G822" s="38"/>
      <c r="H822" s="12">
        <f>SUM(H823)</f>
        <v>0</v>
      </c>
    </row>
    <row r="823" spans="1:10" s="13" customFormat="1" ht="216" hidden="1" x14ac:dyDescent="0.3">
      <c r="A823" s="15" t="s">
        <v>1869</v>
      </c>
      <c r="B823" s="15" t="s">
        <v>30</v>
      </c>
      <c r="C823" s="15" t="s">
        <v>1870</v>
      </c>
      <c r="D823" s="15" t="s">
        <v>1871</v>
      </c>
      <c r="E823" s="13">
        <v>11.3</v>
      </c>
      <c r="F823" s="13" t="s">
        <v>71</v>
      </c>
      <c r="G823" s="40"/>
      <c r="H823" s="14" t="str">
        <f>IF(AND(ISNUMBER(E823),ISNUMBER(G823)),ROUND(PRODUCT(PRODUCT(E823, G823), 1 - J823), 2),"")</f>
        <v/>
      </c>
      <c r="I823" s="13" t="s">
        <v>30</v>
      </c>
      <c r="J823" s="13">
        <v>0</v>
      </c>
    </row>
    <row r="824" spans="1:10" s="11" customFormat="1" hidden="1" x14ac:dyDescent="0.3">
      <c r="A824" s="20" t="s">
        <v>1872</v>
      </c>
      <c r="B824" s="20"/>
      <c r="C824" s="20" t="s">
        <v>1873</v>
      </c>
      <c r="D824" s="20"/>
      <c r="G824" s="38"/>
      <c r="H824" s="12">
        <v>0</v>
      </c>
    </row>
    <row r="825" spans="1:10" s="11" customFormat="1" hidden="1" x14ac:dyDescent="0.3">
      <c r="A825" s="20" t="s">
        <v>1874</v>
      </c>
      <c r="B825" s="20"/>
      <c r="C825" s="20" t="s">
        <v>1770</v>
      </c>
      <c r="D825" s="20"/>
      <c r="G825" s="38"/>
      <c r="H825" s="12">
        <f>SUM(H826,H827,H828,H829,H830,H831,H832,H833)</f>
        <v>0</v>
      </c>
    </row>
    <row r="826" spans="1:10" s="13" customFormat="1" ht="43.2" hidden="1" x14ac:dyDescent="0.3">
      <c r="A826" s="15" t="s">
        <v>1875</v>
      </c>
      <c r="B826" s="15" t="s">
        <v>30</v>
      </c>
      <c r="C826" s="15" t="s">
        <v>1876</v>
      </c>
      <c r="D826" s="15" t="s">
        <v>1877</v>
      </c>
      <c r="E826" s="13">
        <v>28</v>
      </c>
      <c r="F826" s="13" t="s">
        <v>71</v>
      </c>
      <c r="G826" s="40"/>
      <c r="H826" s="14" t="str">
        <f t="shared" ref="H826:H833" si="30">IF(AND(ISNUMBER(E826),ISNUMBER(G826)),ROUND(PRODUCT(PRODUCT(E826, G826), 1 - J826), 2),"")</f>
        <v/>
      </c>
      <c r="I826" s="13" t="s">
        <v>30</v>
      </c>
      <c r="J826" s="13">
        <v>0</v>
      </c>
    </row>
    <row r="827" spans="1:10" s="13" customFormat="1" ht="86.4" hidden="1" x14ac:dyDescent="0.3">
      <c r="A827" s="15" t="s">
        <v>1878</v>
      </c>
      <c r="B827" s="15" t="s">
        <v>30</v>
      </c>
      <c r="C827" s="15" t="s">
        <v>1879</v>
      </c>
      <c r="D827" s="15" t="s">
        <v>1880</v>
      </c>
      <c r="E827" s="13">
        <v>17</v>
      </c>
      <c r="F827" s="13" t="s">
        <v>60</v>
      </c>
      <c r="G827" s="40"/>
      <c r="H827" s="14" t="str">
        <f t="shared" si="30"/>
        <v/>
      </c>
      <c r="I827" s="13" t="s">
        <v>30</v>
      </c>
      <c r="J827" s="13">
        <v>0</v>
      </c>
    </row>
    <row r="828" spans="1:10" s="13" customFormat="1" ht="86.4" hidden="1" x14ac:dyDescent="0.3">
      <c r="A828" s="15" t="s">
        <v>1881</v>
      </c>
      <c r="B828" s="15" t="s">
        <v>30</v>
      </c>
      <c r="C828" s="15" t="s">
        <v>1882</v>
      </c>
      <c r="D828" s="15" t="s">
        <v>1883</v>
      </c>
      <c r="E828" s="13">
        <v>1</v>
      </c>
      <c r="F828" s="13" t="s">
        <v>60</v>
      </c>
      <c r="G828" s="40"/>
      <c r="H828" s="14" t="str">
        <f t="shared" si="30"/>
        <v/>
      </c>
      <c r="I828" s="13" t="s">
        <v>30</v>
      </c>
      <c r="J828" s="13">
        <v>0</v>
      </c>
    </row>
    <row r="829" spans="1:10" s="13" customFormat="1" ht="100.8" hidden="1" x14ac:dyDescent="0.3">
      <c r="A829" s="15" t="s">
        <v>1884</v>
      </c>
      <c r="B829" s="15" t="s">
        <v>30</v>
      </c>
      <c r="C829" s="15" t="s">
        <v>1885</v>
      </c>
      <c r="D829" s="15" t="s">
        <v>1886</v>
      </c>
      <c r="E829" s="13">
        <v>6</v>
      </c>
      <c r="F829" s="13" t="s">
        <v>60</v>
      </c>
      <c r="G829" s="40"/>
      <c r="H829" s="14" t="str">
        <f t="shared" si="30"/>
        <v/>
      </c>
      <c r="I829" s="13" t="s">
        <v>30</v>
      </c>
      <c r="J829" s="13">
        <v>0</v>
      </c>
    </row>
    <row r="830" spans="1:10" s="13" customFormat="1" ht="100.8" hidden="1" x14ac:dyDescent="0.3">
      <c r="A830" s="15" t="s">
        <v>1887</v>
      </c>
      <c r="B830" s="15" t="s">
        <v>30</v>
      </c>
      <c r="C830" s="15" t="s">
        <v>1888</v>
      </c>
      <c r="D830" s="15" t="s">
        <v>1889</v>
      </c>
      <c r="E830" s="13">
        <v>3</v>
      </c>
      <c r="F830" s="13" t="s">
        <v>60</v>
      </c>
      <c r="G830" s="40"/>
      <c r="H830" s="14" t="str">
        <f t="shared" si="30"/>
        <v/>
      </c>
      <c r="I830" s="13" t="s">
        <v>30</v>
      </c>
      <c r="J830" s="13">
        <v>0</v>
      </c>
    </row>
    <row r="831" spans="1:10" s="13" customFormat="1" ht="115.2" hidden="1" x14ac:dyDescent="0.3">
      <c r="A831" s="15" t="s">
        <v>1890</v>
      </c>
      <c r="B831" s="15" t="s">
        <v>30</v>
      </c>
      <c r="C831" s="15" t="s">
        <v>1891</v>
      </c>
      <c r="D831" s="15" t="s">
        <v>1892</v>
      </c>
      <c r="E831" s="13">
        <v>4</v>
      </c>
      <c r="F831" s="13" t="s">
        <v>60</v>
      </c>
      <c r="G831" s="40"/>
      <c r="H831" s="14" t="str">
        <f t="shared" si="30"/>
        <v/>
      </c>
      <c r="I831" s="13" t="s">
        <v>30</v>
      </c>
      <c r="J831" s="13">
        <v>0</v>
      </c>
    </row>
    <row r="832" spans="1:10" s="13" customFormat="1" ht="86.4" hidden="1" x14ac:dyDescent="0.3">
      <c r="A832" s="15" t="s">
        <v>1893</v>
      </c>
      <c r="B832" s="15" t="s">
        <v>30</v>
      </c>
      <c r="C832" s="15" t="s">
        <v>1894</v>
      </c>
      <c r="D832" s="15" t="s">
        <v>1895</v>
      </c>
      <c r="E832" s="13">
        <v>12</v>
      </c>
      <c r="F832" s="13" t="s">
        <v>60</v>
      </c>
      <c r="G832" s="40"/>
      <c r="H832" s="14" t="str">
        <f t="shared" si="30"/>
        <v/>
      </c>
      <c r="I832" s="13" t="s">
        <v>30</v>
      </c>
      <c r="J832" s="13">
        <v>0</v>
      </c>
    </row>
    <row r="833" spans="1:10" s="13" customFormat="1" ht="86.4" hidden="1" x14ac:dyDescent="0.3">
      <c r="A833" s="15" t="s">
        <v>1896</v>
      </c>
      <c r="B833" s="15" t="s">
        <v>30</v>
      </c>
      <c r="C833" s="15" t="s">
        <v>1897</v>
      </c>
      <c r="D833" s="15" t="s">
        <v>1898</v>
      </c>
      <c r="E833" s="13">
        <v>25</v>
      </c>
      <c r="F833" s="13" t="s">
        <v>71</v>
      </c>
      <c r="G833" s="40"/>
      <c r="H833" s="14" t="str">
        <f t="shared" si="30"/>
        <v/>
      </c>
      <c r="I833" s="13" t="s">
        <v>30</v>
      </c>
      <c r="J833" s="13">
        <v>0</v>
      </c>
    </row>
    <row r="834" spans="1:10" s="11" customFormat="1" hidden="1" x14ac:dyDescent="0.3">
      <c r="A834" s="20" t="s">
        <v>1899</v>
      </c>
      <c r="B834" s="20"/>
      <c r="C834" s="20" t="s">
        <v>1900</v>
      </c>
      <c r="D834" s="20"/>
      <c r="G834" s="38"/>
      <c r="H834" s="12">
        <f>SUM(H835,H836)</f>
        <v>0</v>
      </c>
    </row>
    <row r="835" spans="1:10" s="13" customFormat="1" ht="115.2" hidden="1" x14ac:dyDescent="0.3">
      <c r="A835" s="15" t="s">
        <v>1901</v>
      </c>
      <c r="B835" s="15" t="s">
        <v>30</v>
      </c>
      <c r="C835" s="15" t="s">
        <v>1902</v>
      </c>
      <c r="D835" s="15" t="s">
        <v>1903</v>
      </c>
      <c r="E835" s="13">
        <v>1</v>
      </c>
      <c r="F835" s="13" t="s">
        <v>60</v>
      </c>
      <c r="G835" s="40"/>
      <c r="H835" s="14" t="str">
        <f>IF(AND(ISNUMBER(E835),ISNUMBER(G835)),ROUND(PRODUCT(PRODUCT(E835, G835), 1 - J835), 2),"")</f>
        <v/>
      </c>
      <c r="I835" s="13" t="s">
        <v>30</v>
      </c>
      <c r="J835" s="13">
        <v>0</v>
      </c>
    </row>
    <row r="836" spans="1:10" s="13" customFormat="1" ht="115.2" hidden="1" x14ac:dyDescent="0.3">
      <c r="A836" s="15" t="s">
        <v>1904</v>
      </c>
      <c r="B836" s="15" t="s">
        <v>30</v>
      </c>
      <c r="C836" s="15" t="s">
        <v>1905</v>
      </c>
      <c r="D836" s="15" t="s">
        <v>1906</v>
      </c>
      <c r="E836" s="13">
        <v>1</v>
      </c>
      <c r="F836" s="13" t="s">
        <v>60</v>
      </c>
      <c r="G836" s="40"/>
      <c r="H836" s="14" t="str">
        <f>IF(AND(ISNUMBER(E836),ISNUMBER(G836)),ROUND(PRODUCT(PRODUCT(E836, G836), 1 - J836), 2),"")</f>
        <v/>
      </c>
      <c r="I836" s="13" t="s">
        <v>30</v>
      </c>
      <c r="J836" s="13">
        <v>0</v>
      </c>
    </row>
    <row r="837" spans="1:10" s="11" customFormat="1" hidden="1" x14ac:dyDescent="0.3">
      <c r="A837" s="20" t="s">
        <v>1907</v>
      </c>
      <c r="B837" s="20"/>
      <c r="C837" s="20" t="s">
        <v>1908</v>
      </c>
      <c r="D837" s="20"/>
      <c r="G837" s="38"/>
      <c r="H837" s="12">
        <f>SUM(H838,H839,H840,H841,H842,H843,H844,H845,H846,H847,H848,H849,H850,H851,H852,H853,H854,H855,H856,H857,H858,H859,H860,H861,H862,H863,H864,H865,H866,H867,H868,H869,H870,H871,H872,H873,H874,H875,H876,H877,H878,H879,H880,H881,H882,H883,H884,H885,H886)</f>
        <v>0</v>
      </c>
    </row>
    <row r="838" spans="1:10" s="13" customFormat="1" ht="129.6" hidden="1" x14ac:dyDescent="0.3">
      <c r="A838" s="15" t="s">
        <v>1909</v>
      </c>
      <c r="B838" s="15" t="s">
        <v>30</v>
      </c>
      <c r="C838" s="15" t="s">
        <v>1910</v>
      </c>
      <c r="D838" s="15" t="s">
        <v>1911</v>
      </c>
      <c r="E838" s="13">
        <v>410</v>
      </c>
      <c r="F838" s="13" t="s">
        <v>400</v>
      </c>
      <c r="G838" s="40"/>
      <c r="H838" s="14" t="str">
        <f t="shared" ref="H838:H869" si="31">IF(AND(ISNUMBER(E838),ISNUMBER(G838)),ROUND(PRODUCT(PRODUCT(E838, G838), 1 - J838), 2),"")</f>
        <v/>
      </c>
      <c r="I838" s="13" t="s">
        <v>30</v>
      </c>
      <c r="J838" s="13">
        <v>0</v>
      </c>
    </row>
    <row r="839" spans="1:10" s="13" customFormat="1" ht="129.6" hidden="1" x14ac:dyDescent="0.3">
      <c r="A839" s="15" t="s">
        <v>1912</v>
      </c>
      <c r="B839" s="15" t="s">
        <v>30</v>
      </c>
      <c r="C839" s="15" t="s">
        <v>1910</v>
      </c>
      <c r="D839" s="15" t="s">
        <v>1913</v>
      </c>
      <c r="E839" s="13">
        <v>1735</v>
      </c>
      <c r="F839" s="13" t="s">
        <v>400</v>
      </c>
      <c r="G839" s="40"/>
      <c r="H839" s="14" t="str">
        <f t="shared" si="31"/>
        <v/>
      </c>
      <c r="I839" s="13" t="s">
        <v>30</v>
      </c>
      <c r="J839" s="13">
        <v>0</v>
      </c>
    </row>
    <row r="840" spans="1:10" s="13" customFormat="1" ht="144" hidden="1" x14ac:dyDescent="0.3">
      <c r="A840" s="15" t="s">
        <v>1914</v>
      </c>
      <c r="B840" s="15" t="s">
        <v>30</v>
      </c>
      <c r="C840" s="15" t="s">
        <v>1910</v>
      </c>
      <c r="D840" s="15" t="s">
        <v>1915</v>
      </c>
      <c r="E840" s="13">
        <v>630</v>
      </c>
      <c r="F840" s="13" t="s">
        <v>400</v>
      </c>
      <c r="G840" s="40"/>
      <c r="H840" s="14" t="str">
        <f t="shared" si="31"/>
        <v/>
      </c>
      <c r="I840" s="13" t="s">
        <v>30</v>
      </c>
      <c r="J840" s="13">
        <v>0</v>
      </c>
    </row>
    <row r="841" spans="1:10" s="13" customFormat="1" ht="144" hidden="1" x14ac:dyDescent="0.3">
      <c r="A841" s="15" t="s">
        <v>1916</v>
      </c>
      <c r="B841" s="15" t="s">
        <v>30</v>
      </c>
      <c r="C841" s="15" t="s">
        <v>1910</v>
      </c>
      <c r="D841" s="15" t="s">
        <v>1917</v>
      </c>
      <c r="E841" s="13">
        <v>705</v>
      </c>
      <c r="F841" s="13" t="s">
        <v>400</v>
      </c>
      <c r="G841" s="40"/>
      <c r="H841" s="14" t="str">
        <f t="shared" si="31"/>
        <v/>
      </c>
      <c r="I841" s="13" t="s">
        <v>30</v>
      </c>
      <c r="J841" s="13">
        <v>0</v>
      </c>
    </row>
    <row r="842" spans="1:10" s="13" customFormat="1" ht="144" hidden="1" x14ac:dyDescent="0.3">
      <c r="A842" s="15" t="s">
        <v>1918</v>
      </c>
      <c r="B842" s="15" t="s">
        <v>30</v>
      </c>
      <c r="C842" s="15" t="s">
        <v>1910</v>
      </c>
      <c r="D842" s="15" t="s">
        <v>1919</v>
      </c>
      <c r="E842" s="13">
        <v>1810</v>
      </c>
      <c r="F842" s="13" t="s">
        <v>400</v>
      </c>
      <c r="G842" s="40"/>
      <c r="H842" s="14" t="str">
        <f t="shared" si="31"/>
        <v/>
      </c>
      <c r="I842" s="13" t="s">
        <v>30</v>
      </c>
      <c r="J842" s="13">
        <v>0</v>
      </c>
    </row>
    <row r="843" spans="1:10" s="13" customFormat="1" ht="144" hidden="1" x14ac:dyDescent="0.3">
      <c r="A843" s="15" t="s">
        <v>1920</v>
      </c>
      <c r="B843" s="15" t="s">
        <v>30</v>
      </c>
      <c r="C843" s="15" t="s">
        <v>1910</v>
      </c>
      <c r="D843" s="15" t="s">
        <v>1921</v>
      </c>
      <c r="E843" s="13">
        <v>1975</v>
      </c>
      <c r="F843" s="13" t="s">
        <v>400</v>
      </c>
      <c r="G843" s="40"/>
      <c r="H843" s="14" t="str">
        <f t="shared" si="31"/>
        <v/>
      </c>
      <c r="I843" s="13" t="s">
        <v>30</v>
      </c>
      <c r="J843" s="13">
        <v>0</v>
      </c>
    </row>
    <row r="844" spans="1:10" s="13" customFormat="1" ht="144" hidden="1" x14ac:dyDescent="0.3">
      <c r="A844" s="15" t="s">
        <v>1922</v>
      </c>
      <c r="B844" s="15" t="s">
        <v>30</v>
      </c>
      <c r="C844" s="15" t="s">
        <v>1910</v>
      </c>
      <c r="D844" s="15" t="s">
        <v>1923</v>
      </c>
      <c r="E844" s="13">
        <v>2815</v>
      </c>
      <c r="F844" s="13" t="s">
        <v>400</v>
      </c>
      <c r="G844" s="40"/>
      <c r="H844" s="14" t="str">
        <f t="shared" si="31"/>
        <v/>
      </c>
      <c r="I844" s="13" t="s">
        <v>30</v>
      </c>
      <c r="J844" s="13">
        <v>0</v>
      </c>
    </row>
    <row r="845" spans="1:10" s="13" customFormat="1" ht="144" hidden="1" x14ac:dyDescent="0.3">
      <c r="A845" s="15" t="s">
        <v>1924</v>
      </c>
      <c r="B845" s="15" t="s">
        <v>30</v>
      </c>
      <c r="C845" s="15" t="s">
        <v>1910</v>
      </c>
      <c r="D845" s="15" t="s">
        <v>1925</v>
      </c>
      <c r="E845" s="13">
        <v>750</v>
      </c>
      <c r="F845" s="13" t="s">
        <v>400</v>
      </c>
      <c r="G845" s="40"/>
      <c r="H845" s="14" t="str">
        <f t="shared" si="31"/>
        <v/>
      </c>
      <c r="I845" s="13" t="s">
        <v>30</v>
      </c>
      <c r="J845" s="13">
        <v>0</v>
      </c>
    </row>
    <row r="846" spans="1:10" s="13" customFormat="1" ht="144" hidden="1" x14ac:dyDescent="0.3">
      <c r="A846" s="15" t="s">
        <v>1926</v>
      </c>
      <c r="B846" s="15" t="s">
        <v>30</v>
      </c>
      <c r="C846" s="15" t="s">
        <v>1910</v>
      </c>
      <c r="D846" s="15" t="s">
        <v>1927</v>
      </c>
      <c r="E846" s="13">
        <v>1430</v>
      </c>
      <c r="F846" s="13" t="s">
        <v>400</v>
      </c>
      <c r="G846" s="40"/>
      <c r="H846" s="14" t="str">
        <f t="shared" si="31"/>
        <v/>
      </c>
      <c r="I846" s="13" t="s">
        <v>30</v>
      </c>
      <c r="J846" s="13">
        <v>0</v>
      </c>
    </row>
    <row r="847" spans="1:10" s="13" customFormat="1" ht="100.8" hidden="1" x14ac:dyDescent="0.3">
      <c r="A847" s="15" t="s">
        <v>1928</v>
      </c>
      <c r="B847" s="15" t="s">
        <v>30</v>
      </c>
      <c r="C847" s="15" t="s">
        <v>1910</v>
      </c>
      <c r="D847" s="15" t="s">
        <v>1929</v>
      </c>
      <c r="E847" s="13">
        <v>150</v>
      </c>
      <c r="F847" s="13" t="s">
        <v>400</v>
      </c>
      <c r="G847" s="40"/>
      <c r="H847" s="14" t="str">
        <f t="shared" si="31"/>
        <v/>
      </c>
      <c r="I847" s="13" t="s">
        <v>30</v>
      </c>
      <c r="J847" s="13">
        <v>0</v>
      </c>
    </row>
    <row r="848" spans="1:10" s="13" customFormat="1" ht="100.8" hidden="1" x14ac:dyDescent="0.3">
      <c r="A848" s="15" t="s">
        <v>1930</v>
      </c>
      <c r="B848" s="15" t="s">
        <v>30</v>
      </c>
      <c r="C848" s="15" t="s">
        <v>1910</v>
      </c>
      <c r="D848" s="15" t="s">
        <v>1931</v>
      </c>
      <c r="E848" s="13">
        <v>135</v>
      </c>
      <c r="F848" s="13" t="s">
        <v>400</v>
      </c>
      <c r="G848" s="40"/>
      <c r="H848" s="14" t="str">
        <f t="shared" si="31"/>
        <v/>
      </c>
      <c r="I848" s="13" t="s">
        <v>30</v>
      </c>
      <c r="J848" s="13">
        <v>0</v>
      </c>
    </row>
    <row r="849" spans="1:10" s="13" customFormat="1" ht="100.8" hidden="1" x14ac:dyDescent="0.3">
      <c r="A849" s="15" t="s">
        <v>1932</v>
      </c>
      <c r="B849" s="15" t="s">
        <v>30</v>
      </c>
      <c r="C849" s="15" t="s">
        <v>1910</v>
      </c>
      <c r="D849" s="15" t="s">
        <v>1933</v>
      </c>
      <c r="E849" s="13">
        <v>145</v>
      </c>
      <c r="F849" s="13" t="s">
        <v>400</v>
      </c>
      <c r="G849" s="40"/>
      <c r="H849" s="14" t="str">
        <f t="shared" si="31"/>
        <v/>
      </c>
      <c r="I849" s="13" t="s">
        <v>30</v>
      </c>
      <c r="J849" s="13">
        <v>0</v>
      </c>
    </row>
    <row r="850" spans="1:10" s="13" customFormat="1" ht="100.8" hidden="1" x14ac:dyDescent="0.3">
      <c r="A850" s="15" t="s">
        <v>1934</v>
      </c>
      <c r="B850" s="15" t="s">
        <v>30</v>
      </c>
      <c r="C850" s="15" t="s">
        <v>1910</v>
      </c>
      <c r="D850" s="15" t="s">
        <v>1935</v>
      </c>
      <c r="E850" s="13">
        <v>145</v>
      </c>
      <c r="F850" s="13" t="s">
        <v>400</v>
      </c>
      <c r="G850" s="40"/>
      <c r="H850" s="14" t="str">
        <f t="shared" si="31"/>
        <v/>
      </c>
      <c r="I850" s="13" t="s">
        <v>30</v>
      </c>
      <c r="J850" s="13">
        <v>0</v>
      </c>
    </row>
    <row r="851" spans="1:10" s="13" customFormat="1" ht="100.8" hidden="1" x14ac:dyDescent="0.3">
      <c r="A851" s="15" t="s">
        <v>1936</v>
      </c>
      <c r="B851" s="15" t="s">
        <v>30</v>
      </c>
      <c r="C851" s="15" t="s">
        <v>1910</v>
      </c>
      <c r="D851" s="15" t="s">
        <v>1937</v>
      </c>
      <c r="E851" s="13">
        <v>135</v>
      </c>
      <c r="F851" s="13" t="s">
        <v>400</v>
      </c>
      <c r="G851" s="40"/>
      <c r="H851" s="14" t="str">
        <f t="shared" si="31"/>
        <v/>
      </c>
      <c r="I851" s="13" t="s">
        <v>30</v>
      </c>
      <c r="J851" s="13">
        <v>0</v>
      </c>
    </row>
    <row r="852" spans="1:10" s="13" customFormat="1" ht="100.8" hidden="1" x14ac:dyDescent="0.3">
      <c r="A852" s="15" t="s">
        <v>1938</v>
      </c>
      <c r="B852" s="15" t="s">
        <v>30</v>
      </c>
      <c r="C852" s="15" t="s">
        <v>1910</v>
      </c>
      <c r="D852" s="15" t="s">
        <v>1939</v>
      </c>
      <c r="E852" s="13">
        <v>135</v>
      </c>
      <c r="F852" s="13" t="s">
        <v>400</v>
      </c>
      <c r="G852" s="40"/>
      <c r="H852" s="14" t="str">
        <f t="shared" si="31"/>
        <v/>
      </c>
      <c r="I852" s="13" t="s">
        <v>30</v>
      </c>
      <c r="J852" s="13">
        <v>0</v>
      </c>
    </row>
    <row r="853" spans="1:10" s="13" customFormat="1" ht="100.8" hidden="1" x14ac:dyDescent="0.3">
      <c r="A853" s="15" t="s">
        <v>1940</v>
      </c>
      <c r="B853" s="15" t="s">
        <v>30</v>
      </c>
      <c r="C853" s="15" t="s">
        <v>1910</v>
      </c>
      <c r="D853" s="15" t="s">
        <v>1941</v>
      </c>
      <c r="E853" s="13">
        <v>140</v>
      </c>
      <c r="F853" s="13" t="s">
        <v>400</v>
      </c>
      <c r="G853" s="40"/>
      <c r="H853" s="14" t="str">
        <f t="shared" si="31"/>
        <v/>
      </c>
      <c r="I853" s="13" t="s">
        <v>30</v>
      </c>
      <c r="J853" s="13">
        <v>0</v>
      </c>
    </row>
    <row r="854" spans="1:10" s="13" customFormat="1" ht="100.8" hidden="1" x14ac:dyDescent="0.3">
      <c r="A854" s="15" t="s">
        <v>1942</v>
      </c>
      <c r="B854" s="15" t="s">
        <v>30</v>
      </c>
      <c r="C854" s="15" t="s">
        <v>1910</v>
      </c>
      <c r="D854" s="15" t="s">
        <v>1943</v>
      </c>
      <c r="E854" s="13">
        <v>120</v>
      </c>
      <c r="F854" s="13" t="s">
        <v>400</v>
      </c>
      <c r="G854" s="40"/>
      <c r="H854" s="14" t="str">
        <f t="shared" si="31"/>
        <v/>
      </c>
      <c r="I854" s="13" t="s">
        <v>30</v>
      </c>
      <c r="J854" s="13">
        <v>0</v>
      </c>
    </row>
    <row r="855" spans="1:10" s="13" customFormat="1" ht="100.8" hidden="1" x14ac:dyDescent="0.3">
      <c r="A855" s="15" t="s">
        <v>1944</v>
      </c>
      <c r="B855" s="15" t="s">
        <v>30</v>
      </c>
      <c r="C855" s="15" t="s">
        <v>1910</v>
      </c>
      <c r="D855" s="15" t="s">
        <v>1945</v>
      </c>
      <c r="E855" s="13">
        <v>120</v>
      </c>
      <c r="F855" s="13" t="s">
        <v>400</v>
      </c>
      <c r="G855" s="40"/>
      <c r="H855" s="14" t="str">
        <f t="shared" si="31"/>
        <v/>
      </c>
      <c r="I855" s="13" t="s">
        <v>30</v>
      </c>
      <c r="J855" s="13">
        <v>0</v>
      </c>
    </row>
    <row r="856" spans="1:10" s="13" customFormat="1" ht="100.8" hidden="1" x14ac:dyDescent="0.3">
      <c r="A856" s="15" t="s">
        <v>1946</v>
      </c>
      <c r="B856" s="15" t="s">
        <v>30</v>
      </c>
      <c r="C856" s="15" t="s">
        <v>1910</v>
      </c>
      <c r="D856" s="15" t="s">
        <v>1947</v>
      </c>
      <c r="E856" s="13">
        <v>110</v>
      </c>
      <c r="F856" s="13" t="s">
        <v>400</v>
      </c>
      <c r="G856" s="40"/>
      <c r="H856" s="14" t="str">
        <f t="shared" si="31"/>
        <v/>
      </c>
      <c r="I856" s="13" t="s">
        <v>30</v>
      </c>
      <c r="J856" s="13">
        <v>0</v>
      </c>
    </row>
    <row r="857" spans="1:10" s="13" customFormat="1" ht="100.8" hidden="1" x14ac:dyDescent="0.3">
      <c r="A857" s="15" t="s">
        <v>1948</v>
      </c>
      <c r="B857" s="15" t="s">
        <v>30</v>
      </c>
      <c r="C857" s="15" t="s">
        <v>1910</v>
      </c>
      <c r="D857" s="15" t="s">
        <v>1949</v>
      </c>
      <c r="E857" s="13">
        <v>115</v>
      </c>
      <c r="F857" s="13" t="s">
        <v>400</v>
      </c>
      <c r="G857" s="40"/>
      <c r="H857" s="14" t="str">
        <f t="shared" si="31"/>
        <v/>
      </c>
      <c r="I857" s="13" t="s">
        <v>30</v>
      </c>
      <c r="J857" s="13">
        <v>0</v>
      </c>
    </row>
    <row r="858" spans="1:10" s="13" customFormat="1" ht="100.8" hidden="1" x14ac:dyDescent="0.3">
      <c r="A858" s="15" t="s">
        <v>1950</v>
      </c>
      <c r="B858" s="15" t="s">
        <v>30</v>
      </c>
      <c r="C858" s="15" t="s">
        <v>1910</v>
      </c>
      <c r="D858" s="15" t="s">
        <v>1951</v>
      </c>
      <c r="E858" s="13">
        <v>170</v>
      </c>
      <c r="F858" s="13" t="s">
        <v>400</v>
      </c>
      <c r="G858" s="40"/>
      <c r="H858" s="14" t="str">
        <f t="shared" si="31"/>
        <v/>
      </c>
      <c r="I858" s="13" t="s">
        <v>30</v>
      </c>
      <c r="J858" s="13">
        <v>0</v>
      </c>
    </row>
    <row r="859" spans="1:10" s="13" customFormat="1" ht="100.8" hidden="1" x14ac:dyDescent="0.3">
      <c r="A859" s="15" t="s">
        <v>1952</v>
      </c>
      <c r="B859" s="15" t="s">
        <v>30</v>
      </c>
      <c r="C859" s="15" t="s">
        <v>1910</v>
      </c>
      <c r="D859" s="15" t="s">
        <v>1953</v>
      </c>
      <c r="E859" s="13">
        <v>95</v>
      </c>
      <c r="F859" s="13" t="s">
        <v>400</v>
      </c>
      <c r="G859" s="40"/>
      <c r="H859" s="14" t="str">
        <f t="shared" si="31"/>
        <v/>
      </c>
      <c r="I859" s="13" t="s">
        <v>30</v>
      </c>
      <c r="J859" s="13">
        <v>0</v>
      </c>
    </row>
    <row r="860" spans="1:10" s="13" customFormat="1" ht="100.8" hidden="1" x14ac:dyDescent="0.3">
      <c r="A860" s="15" t="s">
        <v>1954</v>
      </c>
      <c r="B860" s="15" t="s">
        <v>30</v>
      </c>
      <c r="C860" s="15" t="s">
        <v>1910</v>
      </c>
      <c r="D860" s="15" t="s">
        <v>1955</v>
      </c>
      <c r="E860" s="13">
        <v>530</v>
      </c>
      <c r="F860" s="13" t="s">
        <v>400</v>
      </c>
      <c r="G860" s="40"/>
      <c r="H860" s="14" t="str">
        <f t="shared" si="31"/>
        <v/>
      </c>
      <c r="I860" s="13" t="s">
        <v>30</v>
      </c>
      <c r="J860" s="13">
        <v>0</v>
      </c>
    </row>
    <row r="861" spans="1:10" s="13" customFormat="1" ht="100.8" hidden="1" x14ac:dyDescent="0.3">
      <c r="A861" s="15" t="s">
        <v>1956</v>
      </c>
      <c r="B861" s="15" t="s">
        <v>30</v>
      </c>
      <c r="C861" s="15" t="s">
        <v>1910</v>
      </c>
      <c r="D861" s="15" t="s">
        <v>1957</v>
      </c>
      <c r="E861" s="13">
        <v>120</v>
      </c>
      <c r="F861" s="13" t="s">
        <v>400</v>
      </c>
      <c r="G861" s="40"/>
      <c r="H861" s="14" t="str">
        <f t="shared" si="31"/>
        <v/>
      </c>
      <c r="I861" s="13" t="s">
        <v>30</v>
      </c>
      <c r="J861" s="13">
        <v>0</v>
      </c>
    </row>
    <row r="862" spans="1:10" s="13" customFormat="1" ht="100.8" hidden="1" x14ac:dyDescent="0.3">
      <c r="A862" s="15" t="s">
        <v>1958</v>
      </c>
      <c r="B862" s="15" t="s">
        <v>30</v>
      </c>
      <c r="C862" s="15" t="s">
        <v>1910</v>
      </c>
      <c r="D862" s="15" t="s">
        <v>1959</v>
      </c>
      <c r="E862" s="13">
        <v>105</v>
      </c>
      <c r="F862" s="13" t="s">
        <v>400</v>
      </c>
      <c r="G862" s="40"/>
      <c r="H862" s="14" t="str">
        <f t="shared" si="31"/>
        <v/>
      </c>
      <c r="I862" s="13" t="s">
        <v>30</v>
      </c>
      <c r="J862" s="13">
        <v>0</v>
      </c>
    </row>
    <row r="863" spans="1:10" s="13" customFormat="1" ht="100.8" hidden="1" x14ac:dyDescent="0.3">
      <c r="A863" s="15" t="s">
        <v>1960</v>
      </c>
      <c r="B863" s="15" t="s">
        <v>30</v>
      </c>
      <c r="C863" s="15" t="s">
        <v>1910</v>
      </c>
      <c r="D863" s="15" t="s">
        <v>1961</v>
      </c>
      <c r="E863" s="13">
        <v>65</v>
      </c>
      <c r="F863" s="13" t="s">
        <v>400</v>
      </c>
      <c r="G863" s="40"/>
      <c r="H863" s="14" t="str">
        <f t="shared" si="31"/>
        <v/>
      </c>
      <c r="I863" s="13" t="s">
        <v>30</v>
      </c>
      <c r="J863" s="13">
        <v>0</v>
      </c>
    </row>
    <row r="864" spans="1:10" s="13" customFormat="1" ht="100.8" hidden="1" x14ac:dyDescent="0.3">
      <c r="A864" s="15" t="s">
        <v>1962</v>
      </c>
      <c r="B864" s="15" t="s">
        <v>30</v>
      </c>
      <c r="C864" s="15" t="s">
        <v>1910</v>
      </c>
      <c r="D864" s="15" t="s">
        <v>1963</v>
      </c>
      <c r="E864" s="13">
        <v>90</v>
      </c>
      <c r="F864" s="13" t="s">
        <v>400</v>
      </c>
      <c r="G864" s="40"/>
      <c r="H864" s="14" t="str">
        <f t="shared" si="31"/>
        <v/>
      </c>
      <c r="I864" s="13" t="s">
        <v>30</v>
      </c>
      <c r="J864" s="13">
        <v>0</v>
      </c>
    </row>
    <row r="865" spans="1:10" s="13" customFormat="1" ht="100.8" hidden="1" x14ac:dyDescent="0.3">
      <c r="A865" s="15" t="s">
        <v>1964</v>
      </c>
      <c r="B865" s="15" t="s">
        <v>30</v>
      </c>
      <c r="C865" s="15" t="s">
        <v>1910</v>
      </c>
      <c r="D865" s="15" t="s">
        <v>1965</v>
      </c>
      <c r="E865" s="13">
        <v>310</v>
      </c>
      <c r="F865" s="13" t="s">
        <v>400</v>
      </c>
      <c r="G865" s="40"/>
      <c r="H865" s="14" t="str">
        <f t="shared" si="31"/>
        <v/>
      </c>
      <c r="I865" s="13" t="s">
        <v>30</v>
      </c>
      <c r="J865" s="13">
        <v>0</v>
      </c>
    </row>
    <row r="866" spans="1:10" s="13" customFormat="1" ht="100.8" hidden="1" x14ac:dyDescent="0.3">
      <c r="A866" s="15" t="s">
        <v>1966</v>
      </c>
      <c r="B866" s="15" t="s">
        <v>30</v>
      </c>
      <c r="C866" s="15" t="s">
        <v>1910</v>
      </c>
      <c r="D866" s="15" t="s">
        <v>1967</v>
      </c>
      <c r="E866" s="13">
        <v>150</v>
      </c>
      <c r="F866" s="13" t="s">
        <v>400</v>
      </c>
      <c r="G866" s="40"/>
      <c r="H866" s="14" t="str">
        <f t="shared" si="31"/>
        <v/>
      </c>
      <c r="I866" s="13" t="s">
        <v>30</v>
      </c>
      <c r="J866" s="13">
        <v>0</v>
      </c>
    </row>
    <row r="867" spans="1:10" s="13" customFormat="1" ht="100.8" hidden="1" x14ac:dyDescent="0.3">
      <c r="A867" s="15" t="s">
        <v>1968</v>
      </c>
      <c r="B867" s="15" t="s">
        <v>30</v>
      </c>
      <c r="C867" s="15" t="s">
        <v>1910</v>
      </c>
      <c r="D867" s="15" t="s">
        <v>1969</v>
      </c>
      <c r="E867" s="13">
        <v>100</v>
      </c>
      <c r="F867" s="13" t="s">
        <v>400</v>
      </c>
      <c r="G867" s="40"/>
      <c r="H867" s="14" t="str">
        <f t="shared" si="31"/>
        <v/>
      </c>
      <c r="I867" s="13" t="s">
        <v>30</v>
      </c>
      <c r="J867" s="13">
        <v>0</v>
      </c>
    </row>
    <row r="868" spans="1:10" s="13" customFormat="1" ht="100.8" hidden="1" x14ac:dyDescent="0.3">
      <c r="A868" s="15" t="s">
        <v>1970</v>
      </c>
      <c r="B868" s="15" t="s">
        <v>30</v>
      </c>
      <c r="C868" s="15" t="s">
        <v>1910</v>
      </c>
      <c r="D868" s="15" t="s">
        <v>1971</v>
      </c>
      <c r="E868" s="13">
        <v>80</v>
      </c>
      <c r="F868" s="13" t="s">
        <v>400</v>
      </c>
      <c r="G868" s="40"/>
      <c r="H868" s="14" t="str">
        <f t="shared" si="31"/>
        <v/>
      </c>
      <c r="I868" s="13" t="s">
        <v>30</v>
      </c>
      <c r="J868" s="13">
        <v>0</v>
      </c>
    </row>
    <row r="869" spans="1:10" s="13" customFormat="1" ht="100.8" hidden="1" x14ac:dyDescent="0.3">
      <c r="A869" s="15" t="s">
        <v>1972</v>
      </c>
      <c r="B869" s="15" t="s">
        <v>30</v>
      </c>
      <c r="C869" s="15" t="s">
        <v>1910</v>
      </c>
      <c r="D869" s="15" t="s">
        <v>1973</v>
      </c>
      <c r="E869" s="13">
        <v>230</v>
      </c>
      <c r="F869" s="13" t="s">
        <v>400</v>
      </c>
      <c r="G869" s="40"/>
      <c r="H869" s="14" t="str">
        <f t="shared" si="31"/>
        <v/>
      </c>
      <c r="I869" s="13" t="s">
        <v>30</v>
      </c>
      <c r="J869" s="13">
        <v>0</v>
      </c>
    </row>
    <row r="870" spans="1:10" s="13" customFormat="1" ht="100.8" hidden="1" x14ac:dyDescent="0.3">
      <c r="A870" s="15" t="s">
        <v>1974</v>
      </c>
      <c r="B870" s="15" t="s">
        <v>30</v>
      </c>
      <c r="C870" s="15" t="s">
        <v>1910</v>
      </c>
      <c r="D870" s="15" t="s">
        <v>1975</v>
      </c>
      <c r="E870" s="13">
        <v>105</v>
      </c>
      <c r="F870" s="13" t="s">
        <v>400</v>
      </c>
      <c r="G870" s="40"/>
      <c r="H870" s="14" t="str">
        <f t="shared" ref="H870:H886" si="32">IF(AND(ISNUMBER(E870),ISNUMBER(G870)),ROUND(PRODUCT(PRODUCT(E870, G870), 1 - J870), 2),"")</f>
        <v/>
      </c>
      <c r="I870" s="13" t="s">
        <v>30</v>
      </c>
      <c r="J870" s="13">
        <v>0</v>
      </c>
    </row>
    <row r="871" spans="1:10" s="13" customFormat="1" ht="100.8" hidden="1" x14ac:dyDescent="0.3">
      <c r="A871" s="15" t="s">
        <v>1976</v>
      </c>
      <c r="B871" s="15" t="s">
        <v>30</v>
      </c>
      <c r="C871" s="15" t="s">
        <v>1910</v>
      </c>
      <c r="D871" s="15" t="s">
        <v>1977</v>
      </c>
      <c r="E871" s="13">
        <v>105</v>
      </c>
      <c r="F871" s="13" t="s">
        <v>400</v>
      </c>
      <c r="G871" s="40"/>
      <c r="H871" s="14" t="str">
        <f t="shared" si="32"/>
        <v/>
      </c>
      <c r="I871" s="13" t="s">
        <v>30</v>
      </c>
      <c r="J871" s="13">
        <v>0</v>
      </c>
    </row>
    <row r="872" spans="1:10" s="13" customFormat="1" ht="100.8" hidden="1" x14ac:dyDescent="0.3">
      <c r="A872" s="15" t="s">
        <v>1978</v>
      </c>
      <c r="B872" s="15" t="s">
        <v>30</v>
      </c>
      <c r="C872" s="15" t="s">
        <v>1910</v>
      </c>
      <c r="D872" s="15" t="s">
        <v>1979</v>
      </c>
      <c r="E872" s="13">
        <v>125</v>
      </c>
      <c r="F872" s="13" t="s">
        <v>400</v>
      </c>
      <c r="G872" s="40"/>
      <c r="H872" s="14" t="str">
        <f t="shared" si="32"/>
        <v/>
      </c>
      <c r="I872" s="13" t="s">
        <v>30</v>
      </c>
      <c r="J872" s="13">
        <v>0</v>
      </c>
    </row>
    <row r="873" spans="1:10" s="13" customFormat="1" ht="100.8" hidden="1" x14ac:dyDescent="0.3">
      <c r="A873" s="15" t="s">
        <v>1980</v>
      </c>
      <c r="B873" s="15" t="s">
        <v>30</v>
      </c>
      <c r="C873" s="15" t="s">
        <v>1910</v>
      </c>
      <c r="D873" s="15" t="s">
        <v>1981</v>
      </c>
      <c r="E873" s="13">
        <v>315</v>
      </c>
      <c r="F873" s="13" t="s">
        <v>400</v>
      </c>
      <c r="G873" s="40"/>
      <c r="H873" s="14" t="str">
        <f t="shared" si="32"/>
        <v/>
      </c>
      <c r="I873" s="13" t="s">
        <v>30</v>
      </c>
      <c r="J873" s="13">
        <v>0</v>
      </c>
    </row>
    <row r="874" spans="1:10" s="13" customFormat="1" ht="100.8" hidden="1" x14ac:dyDescent="0.3">
      <c r="A874" s="15" t="s">
        <v>1982</v>
      </c>
      <c r="B874" s="15" t="s">
        <v>30</v>
      </c>
      <c r="C874" s="15" t="s">
        <v>1910</v>
      </c>
      <c r="D874" s="15" t="s">
        <v>1983</v>
      </c>
      <c r="E874" s="13">
        <v>90</v>
      </c>
      <c r="F874" s="13" t="s">
        <v>400</v>
      </c>
      <c r="G874" s="40"/>
      <c r="H874" s="14" t="str">
        <f t="shared" si="32"/>
        <v/>
      </c>
      <c r="I874" s="13" t="s">
        <v>30</v>
      </c>
      <c r="J874" s="13">
        <v>0</v>
      </c>
    </row>
    <row r="875" spans="1:10" s="13" customFormat="1" ht="100.8" hidden="1" x14ac:dyDescent="0.3">
      <c r="A875" s="15" t="s">
        <v>1984</v>
      </c>
      <c r="B875" s="15" t="s">
        <v>30</v>
      </c>
      <c r="C875" s="15" t="s">
        <v>1910</v>
      </c>
      <c r="D875" s="15" t="s">
        <v>1985</v>
      </c>
      <c r="E875" s="13">
        <v>250</v>
      </c>
      <c r="F875" s="13" t="s">
        <v>400</v>
      </c>
      <c r="G875" s="40"/>
      <c r="H875" s="14" t="str">
        <f t="shared" si="32"/>
        <v/>
      </c>
      <c r="I875" s="13" t="s">
        <v>30</v>
      </c>
      <c r="J875" s="13">
        <v>0</v>
      </c>
    </row>
    <row r="876" spans="1:10" s="13" customFormat="1" ht="100.8" hidden="1" x14ac:dyDescent="0.3">
      <c r="A876" s="15" t="s">
        <v>1986</v>
      </c>
      <c r="B876" s="15" t="s">
        <v>30</v>
      </c>
      <c r="C876" s="15" t="s">
        <v>1910</v>
      </c>
      <c r="D876" s="15" t="s">
        <v>1987</v>
      </c>
      <c r="E876" s="13">
        <v>345</v>
      </c>
      <c r="F876" s="13" t="s">
        <v>400</v>
      </c>
      <c r="G876" s="40"/>
      <c r="H876" s="14" t="str">
        <f t="shared" si="32"/>
        <v/>
      </c>
      <c r="I876" s="13" t="s">
        <v>30</v>
      </c>
      <c r="J876" s="13">
        <v>0</v>
      </c>
    </row>
    <row r="877" spans="1:10" s="13" customFormat="1" ht="100.8" hidden="1" x14ac:dyDescent="0.3">
      <c r="A877" s="15" t="s">
        <v>1988</v>
      </c>
      <c r="B877" s="15" t="s">
        <v>30</v>
      </c>
      <c r="C877" s="15" t="s">
        <v>1910</v>
      </c>
      <c r="D877" s="15" t="s">
        <v>1989</v>
      </c>
      <c r="E877" s="13">
        <v>115</v>
      </c>
      <c r="F877" s="13" t="s">
        <v>400</v>
      </c>
      <c r="G877" s="40"/>
      <c r="H877" s="14" t="str">
        <f t="shared" si="32"/>
        <v/>
      </c>
      <c r="I877" s="13" t="s">
        <v>30</v>
      </c>
      <c r="J877" s="13">
        <v>0</v>
      </c>
    </row>
    <row r="878" spans="1:10" s="13" customFormat="1" ht="100.8" hidden="1" x14ac:dyDescent="0.3">
      <c r="A878" s="15" t="s">
        <v>1990</v>
      </c>
      <c r="B878" s="15" t="s">
        <v>30</v>
      </c>
      <c r="C878" s="15" t="s">
        <v>1910</v>
      </c>
      <c r="D878" s="15" t="s">
        <v>1991</v>
      </c>
      <c r="E878" s="13">
        <v>215</v>
      </c>
      <c r="F878" s="13" t="s">
        <v>400</v>
      </c>
      <c r="G878" s="40"/>
      <c r="H878" s="14" t="str">
        <f t="shared" si="32"/>
        <v/>
      </c>
      <c r="I878" s="13" t="s">
        <v>30</v>
      </c>
      <c r="J878" s="13">
        <v>0</v>
      </c>
    </row>
    <row r="879" spans="1:10" s="13" customFormat="1" ht="129.6" hidden="1" x14ac:dyDescent="0.3">
      <c r="A879" s="15" t="s">
        <v>1992</v>
      </c>
      <c r="B879" s="15" t="s">
        <v>30</v>
      </c>
      <c r="C879" s="15" t="s">
        <v>1910</v>
      </c>
      <c r="D879" s="15" t="s">
        <v>1993</v>
      </c>
      <c r="E879" s="13">
        <v>225</v>
      </c>
      <c r="F879" s="13" t="s">
        <v>400</v>
      </c>
      <c r="G879" s="40"/>
      <c r="H879" s="14" t="str">
        <f t="shared" si="32"/>
        <v/>
      </c>
      <c r="I879" s="13" t="s">
        <v>30</v>
      </c>
      <c r="J879" s="13">
        <v>0</v>
      </c>
    </row>
    <row r="880" spans="1:10" s="13" customFormat="1" ht="129.6" hidden="1" x14ac:dyDescent="0.3">
      <c r="A880" s="15" t="s">
        <v>1994</v>
      </c>
      <c r="B880" s="15" t="s">
        <v>30</v>
      </c>
      <c r="C880" s="15" t="s">
        <v>1910</v>
      </c>
      <c r="D880" s="15" t="s">
        <v>1995</v>
      </c>
      <c r="E880" s="13">
        <v>205</v>
      </c>
      <c r="F880" s="13" t="s">
        <v>400</v>
      </c>
      <c r="G880" s="40"/>
      <c r="H880" s="14" t="str">
        <f t="shared" si="32"/>
        <v/>
      </c>
      <c r="I880" s="13" t="s">
        <v>30</v>
      </c>
      <c r="J880" s="13">
        <v>0</v>
      </c>
    </row>
    <row r="881" spans="1:10" s="13" customFormat="1" ht="129.6" hidden="1" x14ac:dyDescent="0.3">
      <c r="A881" s="15" t="s">
        <v>1996</v>
      </c>
      <c r="B881" s="15" t="s">
        <v>30</v>
      </c>
      <c r="C881" s="15" t="s">
        <v>1910</v>
      </c>
      <c r="D881" s="15" t="s">
        <v>1997</v>
      </c>
      <c r="E881" s="13">
        <v>325</v>
      </c>
      <c r="F881" s="13" t="s">
        <v>400</v>
      </c>
      <c r="G881" s="40"/>
      <c r="H881" s="14" t="str">
        <f t="shared" si="32"/>
        <v/>
      </c>
      <c r="I881" s="13" t="s">
        <v>30</v>
      </c>
      <c r="J881" s="13">
        <v>0</v>
      </c>
    </row>
    <row r="882" spans="1:10" s="13" customFormat="1" ht="100.8" hidden="1" x14ac:dyDescent="0.3">
      <c r="A882" s="15" t="s">
        <v>1998</v>
      </c>
      <c r="B882" s="15" t="s">
        <v>30</v>
      </c>
      <c r="C882" s="15" t="s">
        <v>1910</v>
      </c>
      <c r="D882" s="15" t="s">
        <v>1999</v>
      </c>
      <c r="E882" s="13">
        <v>165</v>
      </c>
      <c r="F882" s="13" t="s">
        <v>400</v>
      </c>
      <c r="G882" s="40"/>
      <c r="H882" s="14" t="str">
        <f t="shared" si="32"/>
        <v/>
      </c>
      <c r="I882" s="13" t="s">
        <v>30</v>
      </c>
      <c r="J882" s="13">
        <v>0</v>
      </c>
    </row>
    <row r="883" spans="1:10" s="13" customFormat="1" ht="129.6" hidden="1" x14ac:dyDescent="0.3">
      <c r="A883" s="15" t="s">
        <v>2000</v>
      </c>
      <c r="B883" s="15" t="s">
        <v>30</v>
      </c>
      <c r="C883" s="15" t="s">
        <v>1910</v>
      </c>
      <c r="D883" s="15" t="s">
        <v>2001</v>
      </c>
      <c r="E883" s="13">
        <v>320</v>
      </c>
      <c r="F883" s="13" t="s">
        <v>400</v>
      </c>
      <c r="G883" s="40"/>
      <c r="H883" s="14" t="str">
        <f t="shared" si="32"/>
        <v/>
      </c>
      <c r="I883" s="13" t="s">
        <v>30</v>
      </c>
      <c r="J883" s="13">
        <v>0</v>
      </c>
    </row>
    <row r="884" spans="1:10" s="13" customFormat="1" ht="100.8" hidden="1" x14ac:dyDescent="0.3">
      <c r="A884" s="15" t="s">
        <v>2002</v>
      </c>
      <c r="B884" s="15" t="s">
        <v>30</v>
      </c>
      <c r="C884" s="15" t="s">
        <v>1910</v>
      </c>
      <c r="D884" s="15" t="s">
        <v>2003</v>
      </c>
      <c r="E884" s="13">
        <v>2535</v>
      </c>
      <c r="F884" s="13" t="s">
        <v>400</v>
      </c>
      <c r="G884" s="40"/>
      <c r="H884" s="14" t="str">
        <f t="shared" si="32"/>
        <v/>
      </c>
      <c r="I884" s="13" t="s">
        <v>30</v>
      </c>
      <c r="J884" s="13">
        <v>0</v>
      </c>
    </row>
    <row r="885" spans="1:10" s="13" customFormat="1" ht="100.8" hidden="1" x14ac:dyDescent="0.3">
      <c r="A885" s="15" t="s">
        <v>2004</v>
      </c>
      <c r="B885" s="15" t="s">
        <v>30</v>
      </c>
      <c r="C885" s="15" t="s">
        <v>1910</v>
      </c>
      <c r="D885" s="15" t="s">
        <v>2005</v>
      </c>
      <c r="E885" s="13">
        <v>400</v>
      </c>
      <c r="F885" s="13" t="s">
        <v>400</v>
      </c>
      <c r="G885" s="40"/>
      <c r="H885" s="14" t="str">
        <f t="shared" si="32"/>
        <v/>
      </c>
      <c r="I885" s="13" t="s">
        <v>30</v>
      </c>
      <c r="J885" s="13">
        <v>0</v>
      </c>
    </row>
    <row r="886" spans="1:10" s="13" customFormat="1" ht="100.8" hidden="1" x14ac:dyDescent="0.3">
      <c r="A886" s="15" t="s">
        <v>2006</v>
      </c>
      <c r="B886" s="15" t="s">
        <v>30</v>
      </c>
      <c r="C886" s="15" t="s">
        <v>1910</v>
      </c>
      <c r="D886" s="15" t="s">
        <v>2007</v>
      </c>
      <c r="E886" s="13">
        <v>200</v>
      </c>
      <c r="F886" s="13" t="s">
        <v>400</v>
      </c>
      <c r="G886" s="40"/>
      <c r="H886" s="14" t="str">
        <f t="shared" si="32"/>
        <v/>
      </c>
      <c r="I886" s="13" t="s">
        <v>30</v>
      </c>
      <c r="J886" s="13">
        <v>0</v>
      </c>
    </row>
    <row r="887" spans="1:10" s="11" customFormat="1" hidden="1" x14ac:dyDescent="0.3">
      <c r="A887" s="20" t="s">
        <v>2008</v>
      </c>
      <c r="B887" s="20"/>
      <c r="C887" s="20" t="s">
        <v>79</v>
      </c>
      <c r="D887" s="20"/>
      <c r="G887" s="38"/>
      <c r="H887" s="12">
        <v>0</v>
      </c>
    </row>
    <row r="888" spans="1:10" s="11" customFormat="1" hidden="1" x14ac:dyDescent="0.3">
      <c r="A888" s="20" t="s">
        <v>2009</v>
      </c>
      <c r="B888" s="20"/>
      <c r="C888" s="20" t="s">
        <v>2010</v>
      </c>
      <c r="D888" s="20"/>
      <c r="G888" s="38"/>
      <c r="H888" s="12">
        <f>SUM(H889,H892,H900,H908,H917,H918,H920)</f>
        <v>0</v>
      </c>
    </row>
    <row r="889" spans="1:10" s="11" customFormat="1" hidden="1" x14ac:dyDescent="0.3">
      <c r="A889" s="20" t="s">
        <v>2011</v>
      </c>
      <c r="B889" s="20"/>
      <c r="C889" s="20" t="s">
        <v>83</v>
      </c>
      <c r="D889" s="20"/>
      <c r="G889" s="38"/>
      <c r="H889" s="12">
        <v>0</v>
      </c>
    </row>
    <row r="890" spans="1:10" s="13" customFormat="1" ht="409.6" hidden="1" x14ac:dyDescent="0.3">
      <c r="A890" s="15"/>
      <c r="B890" s="15"/>
      <c r="C890" s="15" t="s">
        <v>28</v>
      </c>
      <c r="D890" s="15" t="s">
        <v>2012</v>
      </c>
      <c r="G890" s="39"/>
      <c r="I890" s="13" t="s">
        <v>30</v>
      </c>
    </row>
    <row r="891" spans="1:10" s="13" customFormat="1" ht="201.6" hidden="1" x14ac:dyDescent="0.3">
      <c r="A891" s="15"/>
      <c r="B891" s="15"/>
      <c r="C891" s="15" t="s">
        <v>2013</v>
      </c>
      <c r="D891" s="15" t="s">
        <v>2014</v>
      </c>
      <c r="G891" s="39"/>
      <c r="I891" s="13" t="s">
        <v>30</v>
      </c>
    </row>
    <row r="892" spans="1:10" s="11" customFormat="1" hidden="1" x14ac:dyDescent="0.3">
      <c r="A892" s="20" t="s">
        <v>2015</v>
      </c>
      <c r="B892" s="20"/>
      <c r="C892" s="20" t="s">
        <v>1151</v>
      </c>
      <c r="D892" s="20"/>
      <c r="G892" s="38"/>
      <c r="H892" s="12">
        <f>SUM(H893,H894,H895,H896,H897,H898,H899)</f>
        <v>0</v>
      </c>
    </row>
    <row r="893" spans="1:10" s="13" customFormat="1" ht="409.6" hidden="1" x14ac:dyDescent="0.3">
      <c r="A893" s="15" t="s">
        <v>2016</v>
      </c>
      <c r="B893" s="15" t="s">
        <v>30</v>
      </c>
      <c r="C893" s="15" t="s">
        <v>2017</v>
      </c>
      <c r="D893" s="15" t="s">
        <v>2018</v>
      </c>
      <c r="E893" s="13">
        <v>1</v>
      </c>
      <c r="F893" s="13" t="s">
        <v>60</v>
      </c>
      <c r="G893" s="40"/>
      <c r="H893" s="14" t="str">
        <f t="shared" ref="H893:H899" si="33">IF(AND(ISNUMBER(E893),ISNUMBER(G893)),ROUND(PRODUCT(PRODUCT(E893, G893), 1 - J893), 2),"")</f>
        <v/>
      </c>
      <c r="I893" s="13" t="s">
        <v>30</v>
      </c>
      <c r="J893" s="13">
        <v>0</v>
      </c>
    </row>
    <row r="894" spans="1:10" s="13" customFormat="1" ht="129.6" hidden="1" x14ac:dyDescent="0.3">
      <c r="A894" s="15" t="s">
        <v>2019</v>
      </c>
      <c r="B894" s="15" t="s">
        <v>30</v>
      </c>
      <c r="C894" s="15" t="s">
        <v>2017</v>
      </c>
      <c r="D894" s="15" t="s">
        <v>2020</v>
      </c>
      <c r="E894" s="13">
        <v>1</v>
      </c>
      <c r="F894" s="13" t="s">
        <v>60</v>
      </c>
      <c r="G894" s="40"/>
      <c r="H894" s="14" t="str">
        <f t="shared" si="33"/>
        <v/>
      </c>
      <c r="I894" s="13" t="s">
        <v>30</v>
      </c>
      <c r="J894" s="13">
        <v>0</v>
      </c>
    </row>
    <row r="895" spans="1:10" s="13" customFormat="1" ht="273.60000000000002" hidden="1" x14ac:dyDescent="0.3">
      <c r="A895" s="15" t="s">
        <v>2021</v>
      </c>
      <c r="B895" s="15" t="s">
        <v>30</v>
      </c>
      <c r="C895" s="15" t="s">
        <v>2022</v>
      </c>
      <c r="D895" s="15" t="s">
        <v>2023</v>
      </c>
      <c r="E895" s="13">
        <v>1</v>
      </c>
      <c r="F895" s="13" t="s">
        <v>60</v>
      </c>
      <c r="G895" s="40"/>
      <c r="H895" s="14" t="str">
        <f t="shared" si="33"/>
        <v/>
      </c>
      <c r="I895" s="13" t="s">
        <v>30</v>
      </c>
      <c r="J895" s="13">
        <v>0</v>
      </c>
    </row>
    <row r="896" spans="1:10" s="13" customFormat="1" ht="129.6" hidden="1" x14ac:dyDescent="0.3">
      <c r="A896" s="15" t="s">
        <v>2024</v>
      </c>
      <c r="B896" s="15" t="s">
        <v>30</v>
      </c>
      <c r="C896" s="15" t="s">
        <v>2025</v>
      </c>
      <c r="D896" s="15" t="s">
        <v>2026</v>
      </c>
      <c r="E896" s="13">
        <v>1</v>
      </c>
      <c r="F896" s="13" t="s">
        <v>60</v>
      </c>
      <c r="G896" s="40"/>
      <c r="H896" s="14" t="str">
        <f t="shared" si="33"/>
        <v/>
      </c>
      <c r="I896" s="13" t="s">
        <v>30</v>
      </c>
      <c r="J896" s="13">
        <v>0</v>
      </c>
    </row>
    <row r="897" spans="1:10" s="13" customFormat="1" ht="273.60000000000002" hidden="1" x14ac:dyDescent="0.3">
      <c r="A897" s="15" t="s">
        <v>2027</v>
      </c>
      <c r="B897" s="15" t="s">
        <v>30</v>
      </c>
      <c r="C897" s="15" t="s">
        <v>2028</v>
      </c>
      <c r="D897" s="15" t="s">
        <v>2029</v>
      </c>
      <c r="E897" s="13">
        <v>1</v>
      </c>
      <c r="F897" s="13" t="s">
        <v>60</v>
      </c>
      <c r="G897" s="40"/>
      <c r="H897" s="14" t="str">
        <f t="shared" si="33"/>
        <v/>
      </c>
      <c r="I897" s="13" t="s">
        <v>30</v>
      </c>
      <c r="J897" s="13">
        <v>0</v>
      </c>
    </row>
    <row r="898" spans="1:10" s="13" customFormat="1" ht="259.2" hidden="1" x14ac:dyDescent="0.3">
      <c r="A898" s="15" t="s">
        <v>2030</v>
      </c>
      <c r="B898" s="15" t="s">
        <v>30</v>
      </c>
      <c r="C898" s="15" t="s">
        <v>2031</v>
      </c>
      <c r="D898" s="15" t="s">
        <v>2032</v>
      </c>
      <c r="E898" s="13">
        <v>2</v>
      </c>
      <c r="F898" s="13" t="s">
        <v>60</v>
      </c>
      <c r="G898" s="40"/>
      <c r="H898" s="14" t="str">
        <f t="shared" si="33"/>
        <v/>
      </c>
      <c r="I898" s="13" t="s">
        <v>30</v>
      </c>
      <c r="J898" s="13">
        <v>0</v>
      </c>
    </row>
    <row r="899" spans="1:10" s="13" customFormat="1" ht="230.4" hidden="1" x14ac:dyDescent="0.3">
      <c r="A899" s="15" t="s">
        <v>2033</v>
      </c>
      <c r="B899" s="15" t="s">
        <v>30</v>
      </c>
      <c r="C899" s="15" t="s">
        <v>2034</v>
      </c>
      <c r="D899" s="15" t="s">
        <v>2035</v>
      </c>
      <c r="E899" s="13">
        <v>2</v>
      </c>
      <c r="F899" s="13" t="s">
        <v>60</v>
      </c>
      <c r="G899" s="40"/>
      <c r="H899" s="14" t="str">
        <f t="shared" si="33"/>
        <v/>
      </c>
      <c r="I899" s="13" t="s">
        <v>30</v>
      </c>
      <c r="J899" s="13">
        <v>0</v>
      </c>
    </row>
    <row r="900" spans="1:10" s="11" customFormat="1" hidden="1" x14ac:dyDescent="0.3">
      <c r="A900" s="20" t="s">
        <v>2036</v>
      </c>
      <c r="B900" s="20"/>
      <c r="C900" s="20" t="s">
        <v>2037</v>
      </c>
      <c r="D900" s="20"/>
      <c r="G900" s="38"/>
      <c r="H900" s="12">
        <f>SUM(H901,H902,H903,H904,H905,H906,H907)</f>
        <v>0</v>
      </c>
    </row>
    <row r="901" spans="1:10" s="13" customFormat="1" ht="216" hidden="1" x14ac:dyDescent="0.3">
      <c r="A901" s="15" t="s">
        <v>2038</v>
      </c>
      <c r="B901" s="15" t="s">
        <v>30</v>
      </c>
      <c r="C901" s="15" t="s">
        <v>2039</v>
      </c>
      <c r="D901" s="15" t="s">
        <v>2040</v>
      </c>
      <c r="E901" s="13">
        <v>91.6</v>
      </c>
      <c r="F901" s="13" t="s">
        <v>100</v>
      </c>
      <c r="G901" s="40"/>
      <c r="H901" s="14" t="str">
        <f t="shared" ref="H901:H907" si="34">IF(AND(ISNUMBER(E901),ISNUMBER(G901)),ROUND(PRODUCT(PRODUCT(E901, G901), 1 - J901), 2),"")</f>
        <v/>
      </c>
      <c r="I901" s="13" t="s">
        <v>30</v>
      </c>
      <c r="J901" s="13">
        <v>0</v>
      </c>
    </row>
    <row r="902" spans="1:10" s="13" customFormat="1" ht="129.6" hidden="1" x14ac:dyDescent="0.3">
      <c r="A902" s="15" t="s">
        <v>2041</v>
      </c>
      <c r="B902" s="15" t="s">
        <v>30</v>
      </c>
      <c r="C902" s="15" t="s">
        <v>2042</v>
      </c>
      <c r="D902" s="15" t="s">
        <v>2043</v>
      </c>
      <c r="E902" s="13">
        <v>185</v>
      </c>
      <c r="F902" s="13" t="s">
        <v>100</v>
      </c>
      <c r="G902" s="40"/>
      <c r="H902" s="14" t="str">
        <f t="shared" si="34"/>
        <v/>
      </c>
      <c r="I902" s="13" t="s">
        <v>30</v>
      </c>
      <c r="J902" s="13">
        <v>0</v>
      </c>
    </row>
    <row r="903" spans="1:10" s="13" customFormat="1" ht="115.2" hidden="1" x14ac:dyDescent="0.3">
      <c r="A903" s="15" t="s">
        <v>2044</v>
      </c>
      <c r="B903" s="15" t="s">
        <v>30</v>
      </c>
      <c r="C903" s="15" t="s">
        <v>2045</v>
      </c>
      <c r="D903" s="15" t="s">
        <v>2046</v>
      </c>
      <c r="E903" s="13">
        <v>50</v>
      </c>
      <c r="F903" s="13" t="s">
        <v>100</v>
      </c>
      <c r="G903" s="40"/>
      <c r="H903" s="14" t="str">
        <f t="shared" si="34"/>
        <v/>
      </c>
      <c r="I903" s="13" t="s">
        <v>30</v>
      </c>
      <c r="J903" s="13">
        <v>0</v>
      </c>
    </row>
    <row r="904" spans="1:10" s="13" customFormat="1" ht="86.4" hidden="1" x14ac:dyDescent="0.3">
      <c r="A904" s="15" t="s">
        <v>2047</v>
      </c>
      <c r="B904" s="15" t="s">
        <v>30</v>
      </c>
      <c r="C904" s="15" t="s">
        <v>2048</v>
      </c>
      <c r="D904" s="15" t="s">
        <v>2049</v>
      </c>
      <c r="E904" s="13">
        <v>67</v>
      </c>
      <c r="F904" s="13" t="s">
        <v>71</v>
      </c>
      <c r="G904" s="40"/>
      <c r="H904" s="14" t="str">
        <f t="shared" si="34"/>
        <v/>
      </c>
      <c r="I904" s="13" t="s">
        <v>30</v>
      </c>
      <c r="J904" s="13">
        <v>0</v>
      </c>
    </row>
    <row r="905" spans="1:10" s="13" customFormat="1" ht="86.4" hidden="1" x14ac:dyDescent="0.3">
      <c r="A905" s="15" t="s">
        <v>2050</v>
      </c>
      <c r="B905" s="15" t="s">
        <v>30</v>
      </c>
      <c r="C905" s="15" t="s">
        <v>2051</v>
      </c>
      <c r="D905" s="15" t="s">
        <v>2052</v>
      </c>
      <c r="E905" s="13">
        <v>57</v>
      </c>
      <c r="F905" s="13" t="s">
        <v>71</v>
      </c>
      <c r="G905" s="40"/>
      <c r="H905" s="14" t="str">
        <f t="shared" si="34"/>
        <v/>
      </c>
      <c r="I905" s="13" t="s">
        <v>30</v>
      </c>
      <c r="J905" s="13">
        <v>0</v>
      </c>
    </row>
    <row r="906" spans="1:10" s="13" customFormat="1" ht="86.4" hidden="1" x14ac:dyDescent="0.3">
      <c r="A906" s="15" t="s">
        <v>2053</v>
      </c>
      <c r="B906" s="15" t="s">
        <v>30</v>
      </c>
      <c r="C906" s="15" t="s">
        <v>2054</v>
      </c>
      <c r="D906" s="15" t="s">
        <v>2055</v>
      </c>
      <c r="E906" s="13">
        <v>57</v>
      </c>
      <c r="F906" s="13" t="s">
        <v>71</v>
      </c>
      <c r="G906" s="40"/>
      <c r="H906" s="14" t="str">
        <f t="shared" si="34"/>
        <v/>
      </c>
      <c r="I906" s="13" t="s">
        <v>30</v>
      </c>
      <c r="J906" s="13">
        <v>0</v>
      </c>
    </row>
    <row r="907" spans="1:10" s="13" customFormat="1" ht="43.2" hidden="1" x14ac:dyDescent="0.3">
      <c r="A907" s="15" t="s">
        <v>2056</v>
      </c>
      <c r="B907" s="15" t="s">
        <v>30</v>
      </c>
      <c r="C907" s="15" t="s">
        <v>2057</v>
      </c>
      <c r="D907" s="15" t="s">
        <v>2058</v>
      </c>
      <c r="E907" s="13">
        <v>39.5</v>
      </c>
      <c r="F907" s="13" t="s">
        <v>71</v>
      </c>
      <c r="G907" s="40"/>
      <c r="H907" s="14" t="str">
        <f t="shared" si="34"/>
        <v/>
      </c>
      <c r="I907" s="13" t="s">
        <v>30</v>
      </c>
      <c r="J907" s="13">
        <v>0</v>
      </c>
    </row>
    <row r="908" spans="1:10" s="11" customFormat="1" ht="28.8" hidden="1" x14ac:dyDescent="0.3">
      <c r="A908" s="20" t="s">
        <v>2059</v>
      </c>
      <c r="B908" s="20"/>
      <c r="C908" s="20" t="s">
        <v>2060</v>
      </c>
      <c r="D908" s="20"/>
      <c r="G908" s="38"/>
      <c r="H908" s="12">
        <f>SUM(H909,H910,H911,H912,H913,H914,H915,H916)</f>
        <v>0</v>
      </c>
    </row>
    <row r="909" spans="1:10" s="13" customFormat="1" ht="244.8" hidden="1" x14ac:dyDescent="0.3">
      <c r="A909" s="15" t="s">
        <v>2061</v>
      </c>
      <c r="B909" s="15" t="s">
        <v>30</v>
      </c>
      <c r="C909" s="15" t="s">
        <v>2062</v>
      </c>
      <c r="D909" s="15" t="s">
        <v>2063</v>
      </c>
      <c r="E909" s="13">
        <v>65.7</v>
      </c>
      <c r="F909" s="13" t="s">
        <v>100</v>
      </c>
      <c r="G909" s="40"/>
      <c r="H909" s="14" t="str">
        <f t="shared" ref="H909:H916" si="35">IF(AND(ISNUMBER(E909),ISNUMBER(G909)),ROUND(PRODUCT(PRODUCT(E909, G909), 1 - J909), 2),"")</f>
        <v/>
      </c>
      <c r="I909" s="13" t="s">
        <v>30</v>
      </c>
      <c r="J909" s="13">
        <v>0</v>
      </c>
    </row>
    <row r="910" spans="1:10" s="13" customFormat="1" ht="129.6" hidden="1" x14ac:dyDescent="0.3">
      <c r="A910" s="15" t="s">
        <v>2064</v>
      </c>
      <c r="B910" s="15" t="s">
        <v>30</v>
      </c>
      <c r="C910" s="15" t="s">
        <v>2065</v>
      </c>
      <c r="D910" s="15" t="s">
        <v>2066</v>
      </c>
      <c r="E910" s="13">
        <v>120.5</v>
      </c>
      <c r="F910" s="13" t="s">
        <v>100</v>
      </c>
      <c r="G910" s="40"/>
      <c r="H910" s="14" t="str">
        <f t="shared" si="35"/>
        <v/>
      </c>
      <c r="I910" s="13" t="s">
        <v>30</v>
      </c>
      <c r="J910" s="13">
        <v>0</v>
      </c>
    </row>
    <row r="911" spans="1:10" s="13" customFormat="1" ht="115.2" hidden="1" x14ac:dyDescent="0.3">
      <c r="A911" s="15" t="s">
        <v>2067</v>
      </c>
      <c r="B911" s="15" t="s">
        <v>30</v>
      </c>
      <c r="C911" s="15" t="s">
        <v>2068</v>
      </c>
      <c r="D911" s="15" t="s">
        <v>2069</v>
      </c>
      <c r="E911" s="13">
        <v>120</v>
      </c>
      <c r="F911" s="13" t="s">
        <v>100</v>
      </c>
      <c r="G911" s="40"/>
      <c r="H911" s="14" t="str">
        <f t="shared" si="35"/>
        <v/>
      </c>
      <c r="I911" s="13" t="s">
        <v>30</v>
      </c>
      <c r="J911" s="13">
        <v>0</v>
      </c>
    </row>
    <row r="912" spans="1:10" s="13" customFormat="1" ht="144" hidden="1" x14ac:dyDescent="0.3">
      <c r="A912" s="15" t="s">
        <v>2070</v>
      </c>
      <c r="B912" s="15" t="s">
        <v>30</v>
      </c>
      <c r="C912" s="15" t="s">
        <v>2071</v>
      </c>
      <c r="D912" s="15" t="s">
        <v>2072</v>
      </c>
      <c r="E912" s="13">
        <v>1</v>
      </c>
      <c r="F912" s="13" t="s">
        <v>60</v>
      </c>
      <c r="G912" s="40"/>
      <c r="H912" s="14" t="str">
        <f t="shared" si="35"/>
        <v/>
      </c>
      <c r="I912" s="13" t="s">
        <v>30</v>
      </c>
      <c r="J912" s="13">
        <v>0</v>
      </c>
    </row>
    <row r="913" spans="1:10" s="13" customFormat="1" ht="57.6" hidden="1" x14ac:dyDescent="0.3">
      <c r="A913" s="15" t="s">
        <v>2073</v>
      </c>
      <c r="B913" s="15" t="s">
        <v>30</v>
      </c>
      <c r="C913" s="15" t="s">
        <v>2074</v>
      </c>
      <c r="D913" s="15" t="s">
        <v>2075</v>
      </c>
      <c r="E913" s="13">
        <v>1</v>
      </c>
      <c r="F913" s="13" t="s">
        <v>60</v>
      </c>
      <c r="G913" s="40"/>
      <c r="H913" s="14" t="str">
        <f t="shared" si="35"/>
        <v/>
      </c>
      <c r="I913" s="13" t="s">
        <v>30</v>
      </c>
      <c r="J913" s="13">
        <v>0</v>
      </c>
    </row>
    <row r="914" spans="1:10" s="13" customFormat="1" ht="86.4" hidden="1" x14ac:dyDescent="0.3">
      <c r="A914" s="15" t="s">
        <v>2076</v>
      </c>
      <c r="B914" s="15" t="s">
        <v>30</v>
      </c>
      <c r="C914" s="15" t="s">
        <v>2048</v>
      </c>
      <c r="D914" s="15" t="s">
        <v>2049</v>
      </c>
      <c r="E914" s="13">
        <v>39</v>
      </c>
      <c r="F914" s="13" t="s">
        <v>71</v>
      </c>
      <c r="G914" s="40"/>
      <c r="H914" s="14" t="str">
        <f t="shared" si="35"/>
        <v/>
      </c>
      <c r="I914" s="13" t="s">
        <v>30</v>
      </c>
      <c r="J914" s="13">
        <v>0</v>
      </c>
    </row>
    <row r="915" spans="1:10" s="13" customFormat="1" ht="86.4" hidden="1" x14ac:dyDescent="0.3">
      <c r="A915" s="15" t="s">
        <v>2077</v>
      </c>
      <c r="B915" s="15" t="s">
        <v>30</v>
      </c>
      <c r="C915" s="15" t="s">
        <v>2048</v>
      </c>
      <c r="D915" s="15" t="s">
        <v>2078</v>
      </c>
      <c r="E915" s="13">
        <v>40</v>
      </c>
      <c r="F915" s="13" t="s">
        <v>71</v>
      </c>
      <c r="G915" s="40"/>
      <c r="H915" s="14" t="str">
        <f t="shared" si="35"/>
        <v/>
      </c>
      <c r="I915" s="13" t="s">
        <v>30</v>
      </c>
      <c r="J915" s="13">
        <v>0</v>
      </c>
    </row>
    <row r="916" spans="1:10" s="13" customFormat="1" ht="43.2" hidden="1" x14ac:dyDescent="0.3">
      <c r="A916" s="15" t="s">
        <v>2079</v>
      </c>
      <c r="B916" s="15" t="s">
        <v>30</v>
      </c>
      <c r="C916" s="15" t="s">
        <v>2057</v>
      </c>
      <c r="D916" s="15" t="s">
        <v>2058</v>
      </c>
      <c r="E916" s="13">
        <v>22.5</v>
      </c>
      <c r="F916" s="13" t="s">
        <v>71</v>
      </c>
      <c r="G916" s="40"/>
      <c r="H916" s="14" t="str">
        <f t="shared" si="35"/>
        <v/>
      </c>
      <c r="I916" s="13" t="s">
        <v>30</v>
      </c>
      <c r="J916" s="13">
        <v>0</v>
      </c>
    </row>
    <row r="917" spans="1:10" s="11" customFormat="1" hidden="1" x14ac:dyDescent="0.3">
      <c r="A917" s="20" t="s">
        <v>2080</v>
      </c>
      <c r="B917" s="20"/>
      <c r="C917" s="20" t="s">
        <v>2081</v>
      </c>
      <c r="D917" s="20"/>
      <c r="G917" s="38"/>
      <c r="H917" s="12">
        <v>0</v>
      </c>
    </row>
    <row r="918" spans="1:10" s="11" customFormat="1" hidden="1" x14ac:dyDescent="0.3">
      <c r="A918" s="20" t="s">
        <v>2082</v>
      </c>
      <c r="B918" s="20"/>
      <c r="C918" s="20" t="s">
        <v>1770</v>
      </c>
      <c r="D918" s="20"/>
      <c r="G918" s="38"/>
      <c r="H918" s="12">
        <f>SUM(H919)</f>
        <v>0</v>
      </c>
    </row>
    <row r="919" spans="1:10" s="13" customFormat="1" ht="115.2" hidden="1" x14ac:dyDescent="0.3">
      <c r="A919" s="15" t="s">
        <v>2083</v>
      </c>
      <c r="B919" s="15" t="s">
        <v>30</v>
      </c>
      <c r="C919" s="15" t="s">
        <v>2084</v>
      </c>
      <c r="D919" s="15" t="s">
        <v>2085</v>
      </c>
      <c r="E919" s="13">
        <v>50</v>
      </c>
      <c r="F919" s="13" t="s">
        <v>71</v>
      </c>
      <c r="G919" s="40"/>
      <c r="H919" s="14" t="str">
        <f>IF(AND(ISNUMBER(E919),ISNUMBER(G919)),ROUND(PRODUCT(PRODUCT(E919, G919), 1 - J919), 2),"")</f>
        <v/>
      </c>
      <c r="I919" s="13" t="s">
        <v>30</v>
      </c>
      <c r="J919" s="13">
        <v>0</v>
      </c>
    </row>
    <row r="920" spans="1:10" s="11" customFormat="1" hidden="1" x14ac:dyDescent="0.3">
      <c r="A920" s="20" t="s">
        <v>2086</v>
      </c>
      <c r="B920" s="20"/>
      <c r="C920" s="20" t="s">
        <v>79</v>
      </c>
      <c r="D920" s="20"/>
      <c r="G920" s="38"/>
      <c r="H920" s="12">
        <f>SUM(H921)</f>
        <v>0</v>
      </c>
    </row>
    <row r="921" spans="1:10" s="13" customFormat="1" ht="86.4" hidden="1" x14ac:dyDescent="0.3">
      <c r="A921" s="15" t="s">
        <v>2087</v>
      </c>
      <c r="B921" s="15" t="s">
        <v>30</v>
      </c>
      <c r="C921" s="15" t="s">
        <v>2088</v>
      </c>
      <c r="D921" s="15" t="s">
        <v>2089</v>
      </c>
      <c r="E921" s="13">
        <v>7</v>
      </c>
      <c r="F921" s="13" t="s">
        <v>60</v>
      </c>
      <c r="G921" s="40"/>
      <c r="H921" s="14" t="str">
        <f>IF(AND(ISNUMBER(E921),ISNUMBER(G921)),ROUND(PRODUCT(PRODUCT(E921, G921), 1 - J921), 2),"")</f>
        <v/>
      </c>
      <c r="I921" s="13" t="s">
        <v>30</v>
      </c>
      <c r="J921" s="13">
        <v>0</v>
      </c>
    </row>
    <row r="922" spans="1:10" s="11" customFormat="1" ht="28.8" hidden="1" x14ac:dyDescent="0.3">
      <c r="A922" s="20" t="s">
        <v>2090</v>
      </c>
      <c r="B922" s="20"/>
      <c r="C922" s="20" t="s">
        <v>2091</v>
      </c>
      <c r="D922" s="20"/>
      <c r="G922" s="38"/>
      <c r="H922" s="12">
        <v>0</v>
      </c>
    </row>
    <row r="923" spans="1:10" s="11" customFormat="1" ht="28.8" hidden="1" x14ac:dyDescent="0.3">
      <c r="A923" s="20" t="s">
        <v>2092</v>
      </c>
      <c r="B923" s="20"/>
      <c r="C923" s="20" t="s">
        <v>2093</v>
      </c>
      <c r="D923" s="20"/>
      <c r="G923" s="38"/>
      <c r="H923" s="12">
        <f>SUM(H924,H925,H926,H927,H928,H929,H930,H931,H932,H933,H934,H935,H936,H937)</f>
        <v>0</v>
      </c>
    </row>
    <row r="924" spans="1:10" s="11" customFormat="1" hidden="1" x14ac:dyDescent="0.3">
      <c r="A924" s="20" t="s">
        <v>2094</v>
      </c>
      <c r="B924" s="20"/>
      <c r="C924" s="20" t="s">
        <v>2095</v>
      </c>
      <c r="D924" s="20"/>
      <c r="G924" s="38"/>
      <c r="H924" s="12">
        <v>0</v>
      </c>
    </row>
    <row r="925" spans="1:10" s="11" customFormat="1" ht="43.2" hidden="1" x14ac:dyDescent="0.3">
      <c r="A925" s="20" t="s">
        <v>2096</v>
      </c>
      <c r="B925" s="20"/>
      <c r="C925" s="20" t="s">
        <v>2097</v>
      </c>
      <c r="D925" s="20"/>
      <c r="G925" s="38"/>
      <c r="H925" s="12">
        <v>0</v>
      </c>
    </row>
    <row r="926" spans="1:10" s="11" customFormat="1" ht="28.8" hidden="1" x14ac:dyDescent="0.3">
      <c r="A926" s="20" t="s">
        <v>2098</v>
      </c>
      <c r="B926" s="20"/>
      <c r="C926" s="20" t="s">
        <v>2099</v>
      </c>
      <c r="D926" s="20"/>
      <c r="G926" s="38"/>
      <c r="H926" s="12">
        <v>0</v>
      </c>
    </row>
    <row r="927" spans="1:10" s="11" customFormat="1" ht="28.8" hidden="1" x14ac:dyDescent="0.3">
      <c r="A927" s="20" t="s">
        <v>2100</v>
      </c>
      <c r="B927" s="20"/>
      <c r="C927" s="20" t="s">
        <v>2101</v>
      </c>
      <c r="D927" s="20"/>
      <c r="G927" s="38"/>
      <c r="H927" s="12">
        <v>0</v>
      </c>
    </row>
    <row r="928" spans="1:10" s="11" customFormat="1" hidden="1" x14ac:dyDescent="0.3">
      <c r="A928" s="20" t="s">
        <v>2102</v>
      </c>
      <c r="B928" s="20"/>
      <c r="C928" s="20" t="s">
        <v>2103</v>
      </c>
      <c r="D928" s="20"/>
      <c r="G928" s="38"/>
      <c r="H928" s="12">
        <v>0</v>
      </c>
    </row>
    <row r="929" spans="1:8" s="11" customFormat="1" hidden="1" x14ac:dyDescent="0.3">
      <c r="A929" s="20" t="s">
        <v>2104</v>
      </c>
      <c r="B929" s="20"/>
      <c r="C929" s="20" t="s">
        <v>2105</v>
      </c>
      <c r="D929" s="20"/>
      <c r="G929" s="38"/>
      <c r="H929" s="12">
        <v>0</v>
      </c>
    </row>
    <row r="930" spans="1:8" s="11" customFormat="1" hidden="1" x14ac:dyDescent="0.3">
      <c r="A930" s="20" t="s">
        <v>2106</v>
      </c>
      <c r="B930" s="20"/>
      <c r="C930" s="20" t="s">
        <v>2107</v>
      </c>
      <c r="D930" s="20"/>
      <c r="G930" s="38"/>
      <c r="H930" s="12">
        <v>0</v>
      </c>
    </row>
    <row r="931" spans="1:8" s="11" customFormat="1" hidden="1" x14ac:dyDescent="0.3">
      <c r="A931" s="20" t="s">
        <v>2108</v>
      </c>
      <c r="B931" s="20"/>
      <c r="C931" s="20" t="s">
        <v>2109</v>
      </c>
      <c r="D931" s="20"/>
      <c r="G931" s="38"/>
      <c r="H931" s="12">
        <v>0</v>
      </c>
    </row>
    <row r="932" spans="1:8" s="11" customFormat="1" hidden="1" x14ac:dyDescent="0.3">
      <c r="A932" s="20" t="s">
        <v>2110</v>
      </c>
      <c r="B932" s="20"/>
      <c r="C932" s="20" t="s">
        <v>2111</v>
      </c>
      <c r="D932" s="20"/>
      <c r="G932" s="38"/>
      <c r="H932" s="12">
        <v>0</v>
      </c>
    </row>
    <row r="933" spans="1:8" s="11" customFormat="1" hidden="1" x14ac:dyDescent="0.3">
      <c r="A933" s="20" t="s">
        <v>2112</v>
      </c>
      <c r="B933" s="20"/>
      <c r="C933" s="20" t="s">
        <v>2113</v>
      </c>
      <c r="D933" s="20"/>
      <c r="G933" s="38"/>
      <c r="H933" s="12">
        <v>0</v>
      </c>
    </row>
    <row r="934" spans="1:8" s="11" customFormat="1" ht="43.2" hidden="1" x14ac:dyDescent="0.3">
      <c r="A934" s="20" t="s">
        <v>2114</v>
      </c>
      <c r="B934" s="20"/>
      <c r="C934" s="20" t="s">
        <v>2115</v>
      </c>
      <c r="D934" s="20"/>
      <c r="G934" s="38"/>
      <c r="H934" s="12">
        <v>0</v>
      </c>
    </row>
    <row r="935" spans="1:8" s="11" customFormat="1" hidden="1" x14ac:dyDescent="0.3">
      <c r="A935" s="20" t="s">
        <v>2116</v>
      </c>
      <c r="B935" s="20"/>
      <c r="C935" s="20" t="s">
        <v>2117</v>
      </c>
      <c r="D935" s="20"/>
      <c r="G935" s="38"/>
      <c r="H935" s="12">
        <v>0</v>
      </c>
    </row>
    <row r="936" spans="1:8" s="11" customFormat="1" hidden="1" x14ac:dyDescent="0.3">
      <c r="A936" s="20" t="s">
        <v>2118</v>
      </c>
      <c r="B936" s="20"/>
      <c r="C936" s="20" t="s">
        <v>810</v>
      </c>
      <c r="D936" s="20"/>
      <c r="G936" s="38"/>
      <c r="H936" s="12">
        <v>0</v>
      </c>
    </row>
    <row r="937" spans="1:8" s="11" customFormat="1" hidden="1" x14ac:dyDescent="0.3">
      <c r="A937" s="20" t="s">
        <v>2119</v>
      </c>
      <c r="B937" s="20"/>
      <c r="C937" s="20" t="s">
        <v>812</v>
      </c>
      <c r="D937" s="20"/>
      <c r="G937" s="38"/>
      <c r="H937" s="12">
        <v>0</v>
      </c>
    </row>
    <row r="938" spans="1:8" s="11" customFormat="1" hidden="1" x14ac:dyDescent="0.3">
      <c r="A938" s="20" t="s">
        <v>2120</v>
      </c>
      <c r="B938" s="20"/>
      <c r="C938" s="20" t="s">
        <v>2121</v>
      </c>
      <c r="D938" s="20"/>
      <c r="G938" s="38"/>
      <c r="H938" s="12">
        <f>SUM(H939,H940,H941,H942,H943,H944,H945,H946,H947,H948,H949,H950)</f>
        <v>0</v>
      </c>
    </row>
    <row r="939" spans="1:8" s="11" customFormat="1" hidden="1" x14ac:dyDescent="0.3">
      <c r="A939" s="20" t="s">
        <v>2122</v>
      </c>
      <c r="B939" s="20"/>
      <c r="C939" s="20" t="s">
        <v>2095</v>
      </c>
      <c r="D939" s="20"/>
      <c r="G939" s="38"/>
      <c r="H939" s="12">
        <v>0</v>
      </c>
    </row>
    <row r="940" spans="1:8" s="11" customFormat="1" ht="28.8" hidden="1" x14ac:dyDescent="0.3">
      <c r="A940" s="20" t="s">
        <v>2123</v>
      </c>
      <c r="B940" s="20"/>
      <c r="C940" s="20" t="s">
        <v>2124</v>
      </c>
      <c r="D940" s="20"/>
      <c r="G940" s="38"/>
      <c r="H940" s="12">
        <v>0</v>
      </c>
    </row>
    <row r="941" spans="1:8" s="11" customFormat="1" ht="28.8" hidden="1" x14ac:dyDescent="0.3">
      <c r="A941" s="20" t="s">
        <v>2125</v>
      </c>
      <c r="B941" s="20"/>
      <c r="C941" s="20" t="s">
        <v>2126</v>
      </c>
      <c r="D941" s="20"/>
      <c r="G941" s="38"/>
      <c r="H941" s="12">
        <v>0</v>
      </c>
    </row>
    <row r="942" spans="1:8" s="11" customFormat="1" hidden="1" x14ac:dyDescent="0.3">
      <c r="A942" s="20" t="s">
        <v>2127</v>
      </c>
      <c r="B942" s="20"/>
      <c r="C942" s="20" t="s">
        <v>2128</v>
      </c>
      <c r="D942" s="20"/>
      <c r="G942" s="38"/>
      <c r="H942" s="12">
        <v>0</v>
      </c>
    </row>
    <row r="943" spans="1:8" s="11" customFormat="1" ht="28.8" hidden="1" x14ac:dyDescent="0.3">
      <c r="A943" s="20" t="s">
        <v>2129</v>
      </c>
      <c r="B943" s="20"/>
      <c r="C943" s="20" t="s">
        <v>2130</v>
      </c>
      <c r="D943" s="20"/>
      <c r="G943" s="38"/>
      <c r="H943" s="12">
        <v>0</v>
      </c>
    </row>
    <row r="944" spans="1:8" s="11" customFormat="1" hidden="1" x14ac:dyDescent="0.3">
      <c r="A944" s="20" t="s">
        <v>2131</v>
      </c>
      <c r="B944" s="20"/>
      <c r="C944" s="20" t="s">
        <v>2132</v>
      </c>
      <c r="D944" s="20"/>
      <c r="G944" s="38"/>
      <c r="H944" s="12">
        <v>0</v>
      </c>
    </row>
    <row r="945" spans="1:10" s="11" customFormat="1" ht="28.8" hidden="1" x14ac:dyDescent="0.3">
      <c r="A945" s="20" t="s">
        <v>2133</v>
      </c>
      <c r="B945" s="20"/>
      <c r="C945" s="20" t="s">
        <v>2134</v>
      </c>
      <c r="D945" s="20"/>
      <c r="G945" s="38"/>
      <c r="H945" s="12">
        <v>0</v>
      </c>
    </row>
    <row r="946" spans="1:10" s="11" customFormat="1" ht="28.8" hidden="1" x14ac:dyDescent="0.3">
      <c r="A946" s="20" t="s">
        <v>2135</v>
      </c>
      <c r="B946" s="20"/>
      <c r="C946" s="20" t="s">
        <v>2136</v>
      </c>
      <c r="D946" s="20"/>
      <c r="G946" s="38"/>
      <c r="H946" s="12">
        <v>0</v>
      </c>
    </row>
    <row r="947" spans="1:10" s="11" customFormat="1" ht="43.2" hidden="1" x14ac:dyDescent="0.3">
      <c r="A947" s="20" t="s">
        <v>2137</v>
      </c>
      <c r="B947" s="20"/>
      <c r="C947" s="20" t="s">
        <v>2115</v>
      </c>
      <c r="D947" s="20"/>
      <c r="G947" s="38"/>
      <c r="H947" s="12">
        <v>0</v>
      </c>
    </row>
    <row r="948" spans="1:10" s="11" customFormat="1" hidden="1" x14ac:dyDescent="0.3">
      <c r="A948" s="20" t="s">
        <v>2138</v>
      </c>
      <c r="B948" s="20"/>
      <c r="C948" s="20" t="s">
        <v>2117</v>
      </c>
      <c r="D948" s="20"/>
      <c r="G948" s="38"/>
      <c r="H948" s="12">
        <v>0</v>
      </c>
    </row>
    <row r="949" spans="1:10" s="11" customFormat="1" hidden="1" x14ac:dyDescent="0.3">
      <c r="A949" s="20" t="s">
        <v>2139</v>
      </c>
      <c r="B949" s="20"/>
      <c r="C949" s="20" t="s">
        <v>810</v>
      </c>
      <c r="D949" s="20"/>
      <c r="G949" s="38"/>
      <c r="H949" s="12">
        <v>0</v>
      </c>
    </row>
    <row r="950" spans="1:10" s="11" customFormat="1" hidden="1" x14ac:dyDescent="0.3">
      <c r="A950" s="20" t="s">
        <v>2140</v>
      </c>
      <c r="B950" s="20"/>
      <c r="C950" s="20" t="s">
        <v>812</v>
      </c>
      <c r="D950" s="20"/>
      <c r="G950" s="38"/>
      <c r="H950" s="12">
        <v>0</v>
      </c>
    </row>
    <row r="951" spans="1:10" s="11" customFormat="1" ht="28.8" hidden="1" x14ac:dyDescent="0.3">
      <c r="A951" s="20" t="s">
        <v>2141</v>
      </c>
      <c r="B951" s="20"/>
      <c r="C951" s="20" t="s">
        <v>2142</v>
      </c>
      <c r="D951" s="20"/>
      <c r="G951" s="38"/>
      <c r="H951" s="12">
        <f>SUM(H952,H955,H1001,H1042,H1054,H1056,H1067,H1068,H1069,H1085)</f>
        <v>0</v>
      </c>
    </row>
    <row r="952" spans="1:10" s="11" customFormat="1" hidden="1" x14ac:dyDescent="0.3">
      <c r="A952" s="20" t="s">
        <v>2143</v>
      </c>
      <c r="B952" s="20"/>
      <c r="C952" s="20" t="s">
        <v>2095</v>
      </c>
      <c r="D952" s="20"/>
      <c r="G952" s="38"/>
      <c r="H952" s="12">
        <v>0</v>
      </c>
    </row>
    <row r="953" spans="1:10" s="13" customFormat="1" ht="409.6" hidden="1" x14ac:dyDescent="0.3">
      <c r="A953" s="15"/>
      <c r="B953" s="15"/>
      <c r="C953" s="15" t="s">
        <v>2144</v>
      </c>
      <c r="D953" s="15" t="s">
        <v>2145</v>
      </c>
      <c r="G953" s="39"/>
      <c r="I953" s="13" t="s">
        <v>30</v>
      </c>
    </row>
    <row r="954" spans="1:10" s="13" customFormat="1" ht="345.6" hidden="1" x14ac:dyDescent="0.3">
      <c r="A954" s="15"/>
      <c r="B954" s="15"/>
      <c r="C954" s="15" t="s">
        <v>2146</v>
      </c>
      <c r="D954" s="15" t="s">
        <v>2147</v>
      </c>
      <c r="G954" s="39"/>
      <c r="I954" s="13" t="s">
        <v>30</v>
      </c>
    </row>
    <row r="955" spans="1:10" s="11" customFormat="1" hidden="1" x14ac:dyDescent="0.3">
      <c r="A955" s="20" t="s">
        <v>2148</v>
      </c>
      <c r="B955" s="20"/>
      <c r="C955" s="20" t="s">
        <v>2149</v>
      </c>
      <c r="D955" s="20"/>
      <c r="G955" s="38"/>
      <c r="H955" s="12">
        <f>SUM(H956,H957,H958,H959,H960,H961,H962,H963,H964,H965,H966,H967,H968,H969,H970,H971,H972,H973,H974,H975,H976,H977,H978,H979,H980,H981,H982,H983,H984,H985,H986,H987,H988,H989,H990,H991,H992,H993,H994,H995,H996,H997,H998,H999,H1000)</f>
        <v>0</v>
      </c>
    </row>
    <row r="956" spans="1:10" s="13" customFormat="1" ht="244.8" hidden="1" x14ac:dyDescent="0.3">
      <c r="A956" s="15" t="s">
        <v>2150</v>
      </c>
      <c r="B956" s="15" t="s">
        <v>30</v>
      </c>
      <c r="C956" s="15" t="s">
        <v>2151</v>
      </c>
      <c r="D956" s="15" t="s">
        <v>2152</v>
      </c>
      <c r="E956" s="13">
        <v>4</v>
      </c>
      <c r="F956" s="13" t="s">
        <v>355</v>
      </c>
      <c r="G956" s="40"/>
      <c r="H956" s="14" t="str">
        <f t="shared" ref="H956:H1000" si="36">IF(AND(ISNUMBER(E956),ISNUMBER(G956)),ROUND(PRODUCT(PRODUCT(E956, G956), 1 - J956), 2),"")</f>
        <v/>
      </c>
      <c r="I956" s="13" t="s">
        <v>30</v>
      </c>
      <c r="J956" s="13">
        <v>0</v>
      </c>
    </row>
    <row r="957" spans="1:10" s="13" customFormat="1" ht="144" hidden="1" x14ac:dyDescent="0.3">
      <c r="A957" s="15" t="s">
        <v>2153</v>
      </c>
      <c r="B957" s="15" t="s">
        <v>30</v>
      </c>
      <c r="C957" s="15" t="s">
        <v>2154</v>
      </c>
      <c r="D957" s="15" t="s">
        <v>2155</v>
      </c>
      <c r="E957" s="13">
        <v>1</v>
      </c>
      <c r="F957" s="13" t="s">
        <v>355</v>
      </c>
      <c r="G957" s="40"/>
      <c r="H957" s="14" t="str">
        <f t="shared" si="36"/>
        <v/>
      </c>
      <c r="I957" s="13" t="s">
        <v>30</v>
      </c>
      <c r="J957" s="13">
        <v>0</v>
      </c>
    </row>
    <row r="958" spans="1:10" s="13" customFormat="1" ht="244.8" hidden="1" x14ac:dyDescent="0.3">
      <c r="A958" s="15" t="s">
        <v>2156</v>
      </c>
      <c r="B958" s="15" t="s">
        <v>30</v>
      </c>
      <c r="C958" s="15" t="s">
        <v>2157</v>
      </c>
      <c r="D958" s="15" t="s">
        <v>2158</v>
      </c>
      <c r="E958" s="13">
        <v>1</v>
      </c>
      <c r="F958" s="13" t="s">
        <v>355</v>
      </c>
      <c r="G958" s="40"/>
      <c r="H958" s="14" t="str">
        <f t="shared" si="36"/>
        <v/>
      </c>
      <c r="I958" s="13" t="s">
        <v>30</v>
      </c>
      <c r="J958" s="13">
        <v>0</v>
      </c>
    </row>
    <row r="959" spans="1:10" s="13" customFormat="1" ht="172.8" hidden="1" x14ac:dyDescent="0.3">
      <c r="A959" s="15" t="s">
        <v>2159</v>
      </c>
      <c r="B959" s="15" t="s">
        <v>30</v>
      </c>
      <c r="C959" s="15" t="s">
        <v>2160</v>
      </c>
      <c r="D959" s="15" t="s">
        <v>2161</v>
      </c>
      <c r="E959" s="13">
        <v>2</v>
      </c>
      <c r="F959" s="13" t="s">
        <v>355</v>
      </c>
      <c r="G959" s="40"/>
      <c r="H959" s="14" t="str">
        <f t="shared" si="36"/>
        <v/>
      </c>
      <c r="I959" s="13" t="s">
        <v>30</v>
      </c>
      <c r="J959" s="13">
        <v>0</v>
      </c>
    </row>
    <row r="960" spans="1:10" s="13" customFormat="1" ht="144" hidden="1" x14ac:dyDescent="0.3">
      <c r="A960" s="15" t="s">
        <v>2162</v>
      </c>
      <c r="B960" s="15" t="s">
        <v>30</v>
      </c>
      <c r="C960" s="15" t="s">
        <v>2163</v>
      </c>
      <c r="D960" s="15" t="s">
        <v>2164</v>
      </c>
      <c r="E960" s="13">
        <v>4</v>
      </c>
      <c r="F960" s="13" t="s">
        <v>355</v>
      </c>
      <c r="G960" s="40"/>
      <c r="H960" s="14" t="str">
        <f t="shared" si="36"/>
        <v/>
      </c>
      <c r="I960" s="13" t="s">
        <v>30</v>
      </c>
      <c r="J960" s="13">
        <v>0</v>
      </c>
    </row>
    <row r="961" spans="1:10" s="13" customFormat="1" ht="172.8" hidden="1" x14ac:dyDescent="0.3">
      <c r="A961" s="15" t="s">
        <v>2165</v>
      </c>
      <c r="B961" s="15" t="s">
        <v>30</v>
      </c>
      <c r="C961" s="15" t="s">
        <v>2166</v>
      </c>
      <c r="D961" s="15" t="s">
        <v>2167</v>
      </c>
      <c r="E961" s="13">
        <v>2</v>
      </c>
      <c r="F961" s="13" t="s">
        <v>355</v>
      </c>
      <c r="G961" s="40"/>
      <c r="H961" s="14" t="str">
        <f t="shared" si="36"/>
        <v/>
      </c>
      <c r="I961" s="13" t="s">
        <v>30</v>
      </c>
      <c r="J961" s="13">
        <v>0</v>
      </c>
    </row>
    <row r="962" spans="1:10" s="13" customFormat="1" ht="100.8" hidden="1" x14ac:dyDescent="0.3">
      <c r="A962" s="15" t="s">
        <v>2168</v>
      </c>
      <c r="B962" s="15" t="s">
        <v>30</v>
      </c>
      <c r="C962" s="15" t="s">
        <v>2169</v>
      </c>
      <c r="D962" s="15" t="s">
        <v>2170</v>
      </c>
      <c r="E962" s="13">
        <v>1</v>
      </c>
      <c r="F962" s="13" t="s">
        <v>355</v>
      </c>
      <c r="G962" s="40"/>
      <c r="H962" s="14" t="str">
        <f t="shared" si="36"/>
        <v/>
      </c>
      <c r="I962" s="13" t="s">
        <v>30</v>
      </c>
      <c r="J962" s="13">
        <v>0</v>
      </c>
    </row>
    <row r="963" spans="1:10" s="13" customFormat="1" ht="72" hidden="1" x14ac:dyDescent="0.3">
      <c r="A963" s="15" t="s">
        <v>2171</v>
      </c>
      <c r="B963" s="15" t="s">
        <v>30</v>
      </c>
      <c r="C963" s="15" t="s">
        <v>2172</v>
      </c>
      <c r="D963" s="15" t="s">
        <v>2173</v>
      </c>
      <c r="E963" s="13">
        <v>28</v>
      </c>
      <c r="F963" s="13" t="s">
        <v>2174</v>
      </c>
      <c r="G963" s="40"/>
      <c r="H963" s="14" t="str">
        <f t="shared" si="36"/>
        <v/>
      </c>
      <c r="I963" s="13" t="s">
        <v>30</v>
      </c>
      <c r="J963" s="13">
        <v>0</v>
      </c>
    </row>
    <row r="964" spans="1:10" s="13" customFormat="1" ht="388.8" hidden="1" x14ac:dyDescent="0.3">
      <c r="A964" s="15" t="s">
        <v>2175</v>
      </c>
      <c r="B964" s="15" t="s">
        <v>30</v>
      </c>
      <c r="C964" s="15" t="s">
        <v>2176</v>
      </c>
      <c r="D964" s="15" t="s">
        <v>2177</v>
      </c>
      <c r="E964" s="13">
        <v>7</v>
      </c>
      <c r="F964" s="13" t="s">
        <v>2174</v>
      </c>
      <c r="G964" s="40"/>
      <c r="H964" s="14" t="str">
        <f t="shared" si="36"/>
        <v/>
      </c>
      <c r="I964" s="13" t="s">
        <v>30</v>
      </c>
      <c r="J964" s="13">
        <v>0</v>
      </c>
    </row>
    <row r="965" spans="1:10" s="13" customFormat="1" ht="187.2" hidden="1" x14ac:dyDescent="0.3">
      <c r="A965" s="15" t="s">
        <v>2178</v>
      </c>
      <c r="B965" s="15" t="s">
        <v>30</v>
      </c>
      <c r="C965" s="15" t="s">
        <v>2179</v>
      </c>
      <c r="D965" s="15" t="s">
        <v>2180</v>
      </c>
      <c r="E965" s="13">
        <v>1</v>
      </c>
      <c r="F965" s="13" t="s">
        <v>2174</v>
      </c>
      <c r="G965" s="40"/>
      <c r="H965" s="14" t="str">
        <f t="shared" si="36"/>
        <v/>
      </c>
      <c r="I965" s="13" t="s">
        <v>30</v>
      </c>
      <c r="J965" s="13">
        <v>0</v>
      </c>
    </row>
    <row r="966" spans="1:10" s="13" customFormat="1" ht="172.8" hidden="1" x14ac:dyDescent="0.3">
      <c r="A966" s="15" t="s">
        <v>2181</v>
      </c>
      <c r="B966" s="15" t="s">
        <v>30</v>
      </c>
      <c r="C966" s="15" t="s">
        <v>2182</v>
      </c>
      <c r="D966" s="15" t="s">
        <v>2183</v>
      </c>
      <c r="E966" s="13">
        <v>3</v>
      </c>
      <c r="F966" s="13" t="s">
        <v>355</v>
      </c>
      <c r="G966" s="40"/>
      <c r="H966" s="14" t="str">
        <f t="shared" si="36"/>
        <v/>
      </c>
      <c r="I966" s="13" t="s">
        <v>30</v>
      </c>
      <c r="J966" s="13">
        <v>0</v>
      </c>
    </row>
    <row r="967" spans="1:10" s="13" customFormat="1" ht="244.8" hidden="1" x14ac:dyDescent="0.3">
      <c r="A967" s="15" t="s">
        <v>2184</v>
      </c>
      <c r="B967" s="15" t="s">
        <v>30</v>
      </c>
      <c r="C967" s="15" t="s">
        <v>2185</v>
      </c>
      <c r="D967" s="15" t="s">
        <v>2186</v>
      </c>
      <c r="E967" s="13">
        <v>1</v>
      </c>
      <c r="F967" s="13" t="s">
        <v>355</v>
      </c>
      <c r="G967" s="40"/>
      <c r="H967" s="14" t="str">
        <f t="shared" si="36"/>
        <v/>
      </c>
      <c r="I967" s="13" t="s">
        <v>30</v>
      </c>
      <c r="J967" s="13">
        <v>0</v>
      </c>
    </row>
    <row r="968" spans="1:10" s="13" customFormat="1" ht="216" hidden="1" x14ac:dyDescent="0.3">
      <c r="A968" s="15" t="s">
        <v>2187</v>
      </c>
      <c r="B968" s="15" t="s">
        <v>30</v>
      </c>
      <c r="C968" s="15" t="s">
        <v>2188</v>
      </c>
      <c r="D968" s="15" t="s">
        <v>2189</v>
      </c>
      <c r="E968" s="13">
        <v>6</v>
      </c>
      <c r="F968" s="13" t="s">
        <v>355</v>
      </c>
      <c r="G968" s="40"/>
      <c r="H968" s="14" t="str">
        <f t="shared" si="36"/>
        <v/>
      </c>
      <c r="I968" s="13" t="s">
        <v>30</v>
      </c>
      <c r="J968" s="13">
        <v>0</v>
      </c>
    </row>
    <row r="969" spans="1:10" s="13" customFormat="1" ht="360" hidden="1" x14ac:dyDescent="0.3">
      <c r="A969" s="15" t="s">
        <v>2190</v>
      </c>
      <c r="B969" s="15" t="s">
        <v>30</v>
      </c>
      <c r="C969" s="15" t="s">
        <v>2191</v>
      </c>
      <c r="D969" s="15" t="s">
        <v>2192</v>
      </c>
      <c r="E969" s="13">
        <v>10</v>
      </c>
      <c r="F969" s="13" t="s">
        <v>2174</v>
      </c>
      <c r="G969" s="40"/>
      <c r="H969" s="14" t="str">
        <f t="shared" si="36"/>
        <v/>
      </c>
      <c r="I969" s="13" t="s">
        <v>30</v>
      </c>
      <c r="J969" s="13">
        <v>0</v>
      </c>
    </row>
    <row r="970" spans="1:10" s="13" customFormat="1" ht="374.4" hidden="1" x14ac:dyDescent="0.3">
      <c r="A970" s="15" t="s">
        <v>2193</v>
      </c>
      <c r="B970" s="15" t="s">
        <v>30</v>
      </c>
      <c r="C970" s="15" t="s">
        <v>2194</v>
      </c>
      <c r="D970" s="15" t="s">
        <v>2195</v>
      </c>
      <c r="E970" s="13">
        <v>6</v>
      </c>
      <c r="F970" s="13" t="s">
        <v>2174</v>
      </c>
      <c r="G970" s="40"/>
      <c r="H970" s="14" t="str">
        <f t="shared" si="36"/>
        <v/>
      </c>
      <c r="I970" s="13" t="s">
        <v>30</v>
      </c>
      <c r="J970" s="13">
        <v>0</v>
      </c>
    </row>
    <row r="971" spans="1:10" s="13" customFormat="1" ht="409.6" hidden="1" x14ac:dyDescent="0.3">
      <c r="A971" s="15" t="s">
        <v>2196</v>
      </c>
      <c r="B971" s="15" t="s">
        <v>30</v>
      </c>
      <c r="C971" s="15" t="s">
        <v>2197</v>
      </c>
      <c r="D971" s="15" t="s">
        <v>2198</v>
      </c>
      <c r="E971" s="13">
        <v>1</v>
      </c>
      <c r="F971" s="13" t="s">
        <v>2174</v>
      </c>
      <c r="G971" s="40"/>
      <c r="H971" s="14" t="str">
        <f t="shared" si="36"/>
        <v/>
      </c>
      <c r="I971" s="13" t="s">
        <v>30</v>
      </c>
      <c r="J971" s="13">
        <v>0</v>
      </c>
    </row>
    <row r="972" spans="1:10" s="13" customFormat="1" ht="216" hidden="1" x14ac:dyDescent="0.3">
      <c r="A972" s="15" t="s">
        <v>2199</v>
      </c>
      <c r="B972" s="15" t="s">
        <v>30</v>
      </c>
      <c r="C972" s="15" t="s">
        <v>2200</v>
      </c>
      <c r="D972" s="15" t="s">
        <v>2201</v>
      </c>
      <c r="E972" s="13">
        <v>1</v>
      </c>
      <c r="F972" s="13" t="s">
        <v>2174</v>
      </c>
      <c r="G972" s="40"/>
      <c r="H972" s="14" t="str">
        <f t="shared" si="36"/>
        <v/>
      </c>
      <c r="I972" s="13" t="s">
        <v>30</v>
      </c>
      <c r="J972" s="13">
        <v>0</v>
      </c>
    </row>
    <row r="973" spans="1:10" s="13" customFormat="1" ht="331.2" hidden="1" x14ac:dyDescent="0.3">
      <c r="A973" s="15" t="s">
        <v>2202</v>
      </c>
      <c r="B973" s="15" t="s">
        <v>30</v>
      </c>
      <c r="C973" s="15" t="s">
        <v>2203</v>
      </c>
      <c r="D973" s="15" t="s">
        <v>2204</v>
      </c>
      <c r="E973" s="13">
        <v>3</v>
      </c>
      <c r="F973" s="13" t="s">
        <v>2174</v>
      </c>
      <c r="G973" s="40"/>
      <c r="H973" s="14" t="str">
        <f t="shared" si="36"/>
        <v/>
      </c>
      <c r="I973" s="13" t="s">
        <v>30</v>
      </c>
      <c r="J973" s="13">
        <v>0</v>
      </c>
    </row>
    <row r="974" spans="1:10" s="13" customFormat="1" ht="259.2" hidden="1" x14ac:dyDescent="0.3">
      <c r="A974" s="15" t="s">
        <v>2205</v>
      </c>
      <c r="B974" s="15" t="s">
        <v>30</v>
      </c>
      <c r="C974" s="15" t="s">
        <v>2206</v>
      </c>
      <c r="D974" s="15" t="s">
        <v>2207</v>
      </c>
      <c r="E974" s="13">
        <v>1</v>
      </c>
      <c r="F974" s="13" t="s">
        <v>2174</v>
      </c>
      <c r="G974" s="40"/>
      <c r="H974" s="14" t="str">
        <f t="shared" si="36"/>
        <v/>
      </c>
      <c r="I974" s="13" t="s">
        <v>30</v>
      </c>
      <c r="J974" s="13">
        <v>0</v>
      </c>
    </row>
    <row r="975" spans="1:10" s="13" customFormat="1" ht="144" hidden="1" x14ac:dyDescent="0.3">
      <c r="A975" s="15" t="s">
        <v>2208</v>
      </c>
      <c r="B975" s="15" t="s">
        <v>30</v>
      </c>
      <c r="C975" s="15" t="s">
        <v>2209</v>
      </c>
      <c r="D975" s="15" t="s">
        <v>2210</v>
      </c>
      <c r="E975" s="13">
        <v>10</v>
      </c>
      <c r="F975" s="13" t="s">
        <v>2174</v>
      </c>
      <c r="G975" s="40"/>
      <c r="H975" s="14" t="str">
        <f t="shared" si="36"/>
        <v/>
      </c>
      <c r="I975" s="13" t="s">
        <v>30</v>
      </c>
      <c r="J975" s="13">
        <v>0</v>
      </c>
    </row>
    <row r="976" spans="1:10" s="13" customFormat="1" ht="172.8" hidden="1" x14ac:dyDescent="0.3">
      <c r="A976" s="15" t="s">
        <v>2211</v>
      </c>
      <c r="B976" s="15" t="s">
        <v>30</v>
      </c>
      <c r="C976" s="15" t="s">
        <v>2212</v>
      </c>
      <c r="D976" s="15" t="s">
        <v>2213</v>
      </c>
      <c r="E976" s="13">
        <v>10</v>
      </c>
      <c r="F976" s="13" t="s">
        <v>2174</v>
      </c>
      <c r="G976" s="40"/>
      <c r="H976" s="14" t="str">
        <f t="shared" si="36"/>
        <v/>
      </c>
      <c r="I976" s="13" t="s">
        <v>30</v>
      </c>
      <c r="J976" s="13">
        <v>0</v>
      </c>
    </row>
    <row r="977" spans="1:10" s="13" customFormat="1" ht="187.2" hidden="1" x14ac:dyDescent="0.3">
      <c r="A977" s="15" t="s">
        <v>2214</v>
      </c>
      <c r="B977" s="15" t="s">
        <v>30</v>
      </c>
      <c r="C977" s="15" t="s">
        <v>2215</v>
      </c>
      <c r="D977" s="15" t="s">
        <v>2216</v>
      </c>
      <c r="E977" s="13">
        <v>10</v>
      </c>
      <c r="F977" s="13" t="s">
        <v>2174</v>
      </c>
      <c r="G977" s="40"/>
      <c r="H977" s="14" t="str">
        <f t="shared" si="36"/>
        <v/>
      </c>
      <c r="I977" s="13" t="s">
        <v>30</v>
      </c>
      <c r="J977" s="13">
        <v>0</v>
      </c>
    </row>
    <row r="978" spans="1:10" s="13" customFormat="1" ht="187.2" hidden="1" x14ac:dyDescent="0.3">
      <c r="A978" s="15" t="s">
        <v>2217</v>
      </c>
      <c r="B978" s="15" t="s">
        <v>30</v>
      </c>
      <c r="C978" s="15" t="s">
        <v>2218</v>
      </c>
      <c r="D978" s="15" t="s">
        <v>2219</v>
      </c>
      <c r="E978" s="13">
        <v>10</v>
      </c>
      <c r="F978" s="13" t="s">
        <v>2174</v>
      </c>
      <c r="G978" s="40"/>
      <c r="H978" s="14" t="str">
        <f t="shared" si="36"/>
        <v/>
      </c>
      <c r="I978" s="13" t="s">
        <v>30</v>
      </c>
      <c r="J978" s="13">
        <v>0</v>
      </c>
    </row>
    <row r="979" spans="1:10" s="13" customFormat="1" ht="158.4" hidden="1" x14ac:dyDescent="0.3">
      <c r="A979" s="15" t="s">
        <v>2220</v>
      </c>
      <c r="B979" s="15" t="s">
        <v>30</v>
      </c>
      <c r="C979" s="15" t="s">
        <v>2221</v>
      </c>
      <c r="D979" s="15" t="s">
        <v>2222</v>
      </c>
      <c r="E979" s="13">
        <v>10</v>
      </c>
      <c r="F979" s="13" t="s">
        <v>2174</v>
      </c>
      <c r="G979" s="40"/>
      <c r="H979" s="14" t="str">
        <f t="shared" si="36"/>
        <v/>
      </c>
      <c r="I979" s="13" t="s">
        <v>30</v>
      </c>
      <c r="J979" s="13">
        <v>0</v>
      </c>
    </row>
    <row r="980" spans="1:10" s="13" customFormat="1" ht="129.6" hidden="1" x14ac:dyDescent="0.3">
      <c r="A980" s="15" t="s">
        <v>2223</v>
      </c>
      <c r="B980" s="15" t="s">
        <v>30</v>
      </c>
      <c r="C980" s="15" t="s">
        <v>2224</v>
      </c>
      <c r="D980" s="15" t="s">
        <v>2225</v>
      </c>
      <c r="E980" s="13">
        <v>2</v>
      </c>
      <c r="F980" s="13" t="s">
        <v>355</v>
      </c>
      <c r="G980" s="40"/>
      <c r="H980" s="14" t="str">
        <f t="shared" si="36"/>
        <v/>
      </c>
      <c r="I980" s="13" t="s">
        <v>30</v>
      </c>
      <c r="J980" s="13">
        <v>0</v>
      </c>
    </row>
    <row r="981" spans="1:10" s="13" customFormat="1" ht="144" hidden="1" x14ac:dyDescent="0.3">
      <c r="A981" s="15" t="s">
        <v>2226</v>
      </c>
      <c r="B981" s="15" t="s">
        <v>30</v>
      </c>
      <c r="C981" s="15" t="s">
        <v>2227</v>
      </c>
      <c r="D981" s="15" t="s">
        <v>2228</v>
      </c>
      <c r="E981" s="13">
        <v>1</v>
      </c>
      <c r="F981" s="13" t="s">
        <v>2174</v>
      </c>
      <c r="G981" s="40"/>
      <c r="H981" s="14" t="str">
        <f t="shared" si="36"/>
        <v/>
      </c>
      <c r="I981" s="13" t="s">
        <v>30</v>
      </c>
      <c r="J981" s="13">
        <v>0</v>
      </c>
    </row>
    <row r="982" spans="1:10" s="13" customFormat="1" ht="273.60000000000002" hidden="1" x14ac:dyDescent="0.3">
      <c r="A982" s="15" t="s">
        <v>2229</v>
      </c>
      <c r="B982" s="15" t="s">
        <v>30</v>
      </c>
      <c r="C982" s="15" t="s">
        <v>2230</v>
      </c>
      <c r="D982" s="15" t="s">
        <v>2231</v>
      </c>
      <c r="E982" s="13">
        <v>6</v>
      </c>
      <c r="F982" s="13" t="s">
        <v>2174</v>
      </c>
      <c r="G982" s="40"/>
      <c r="H982" s="14" t="str">
        <f t="shared" si="36"/>
        <v/>
      </c>
      <c r="I982" s="13" t="s">
        <v>30</v>
      </c>
      <c r="J982" s="13">
        <v>0</v>
      </c>
    </row>
    <row r="983" spans="1:10" s="13" customFormat="1" ht="187.2" hidden="1" x14ac:dyDescent="0.3">
      <c r="A983" s="15" t="s">
        <v>2232</v>
      </c>
      <c r="B983" s="15" t="s">
        <v>30</v>
      </c>
      <c r="C983" s="15" t="s">
        <v>2233</v>
      </c>
      <c r="D983" s="15" t="s">
        <v>2234</v>
      </c>
      <c r="E983" s="13">
        <v>2</v>
      </c>
      <c r="F983" s="13" t="s">
        <v>2174</v>
      </c>
      <c r="G983" s="40"/>
      <c r="H983" s="14" t="str">
        <f t="shared" si="36"/>
        <v/>
      </c>
      <c r="I983" s="13" t="s">
        <v>30</v>
      </c>
      <c r="J983" s="13">
        <v>0</v>
      </c>
    </row>
    <row r="984" spans="1:10" s="13" customFormat="1" ht="230.4" hidden="1" x14ac:dyDescent="0.3">
      <c r="A984" s="15" t="s">
        <v>2235</v>
      </c>
      <c r="B984" s="15" t="s">
        <v>30</v>
      </c>
      <c r="C984" s="15" t="s">
        <v>2236</v>
      </c>
      <c r="D984" s="15" t="s">
        <v>2237</v>
      </c>
      <c r="E984" s="13">
        <v>7</v>
      </c>
      <c r="F984" s="13" t="s">
        <v>2174</v>
      </c>
      <c r="G984" s="40"/>
      <c r="H984" s="14" t="str">
        <f t="shared" si="36"/>
        <v/>
      </c>
      <c r="I984" s="13" t="s">
        <v>30</v>
      </c>
      <c r="J984" s="13">
        <v>0</v>
      </c>
    </row>
    <row r="985" spans="1:10" s="13" customFormat="1" ht="72" hidden="1" x14ac:dyDescent="0.3">
      <c r="A985" s="15" t="s">
        <v>2238</v>
      </c>
      <c r="B985" s="15" t="s">
        <v>30</v>
      </c>
      <c r="C985" s="15" t="s">
        <v>2239</v>
      </c>
      <c r="D985" s="15" t="s">
        <v>2240</v>
      </c>
      <c r="E985" s="13">
        <v>2</v>
      </c>
      <c r="F985" s="13" t="s">
        <v>355</v>
      </c>
      <c r="G985" s="40"/>
      <c r="H985" s="14" t="str">
        <f t="shared" si="36"/>
        <v/>
      </c>
      <c r="I985" s="13" t="s">
        <v>30</v>
      </c>
      <c r="J985" s="13">
        <v>0</v>
      </c>
    </row>
    <row r="986" spans="1:10" s="13" customFormat="1" ht="72" hidden="1" x14ac:dyDescent="0.3">
      <c r="A986" s="15" t="s">
        <v>2241</v>
      </c>
      <c r="B986" s="15" t="s">
        <v>30</v>
      </c>
      <c r="C986" s="15" t="s">
        <v>2242</v>
      </c>
      <c r="D986" s="15" t="s">
        <v>2243</v>
      </c>
      <c r="E986" s="13">
        <v>2</v>
      </c>
      <c r="F986" s="13" t="s">
        <v>355</v>
      </c>
      <c r="G986" s="40"/>
      <c r="H986" s="14" t="str">
        <f t="shared" si="36"/>
        <v/>
      </c>
      <c r="I986" s="13" t="s">
        <v>30</v>
      </c>
      <c r="J986" s="13">
        <v>0</v>
      </c>
    </row>
    <row r="987" spans="1:10" s="13" customFormat="1" ht="72" hidden="1" x14ac:dyDescent="0.3">
      <c r="A987" s="15" t="s">
        <v>2244</v>
      </c>
      <c r="B987" s="15" t="s">
        <v>30</v>
      </c>
      <c r="C987" s="15" t="s">
        <v>2245</v>
      </c>
      <c r="D987" s="15" t="s">
        <v>2246</v>
      </c>
      <c r="E987" s="13">
        <v>1</v>
      </c>
      <c r="F987" s="13" t="s">
        <v>355</v>
      </c>
      <c r="G987" s="40"/>
      <c r="H987" s="14" t="str">
        <f t="shared" si="36"/>
        <v/>
      </c>
      <c r="I987" s="13" t="s">
        <v>30</v>
      </c>
      <c r="J987" s="13">
        <v>0</v>
      </c>
    </row>
    <row r="988" spans="1:10" s="13" customFormat="1" ht="57.6" hidden="1" x14ac:dyDescent="0.3">
      <c r="A988" s="15" t="s">
        <v>2247</v>
      </c>
      <c r="B988" s="15" t="s">
        <v>30</v>
      </c>
      <c r="C988" s="15" t="s">
        <v>2248</v>
      </c>
      <c r="D988" s="15" t="s">
        <v>2249</v>
      </c>
      <c r="E988" s="13">
        <v>1</v>
      </c>
      <c r="F988" s="13" t="s">
        <v>2174</v>
      </c>
      <c r="G988" s="40"/>
      <c r="H988" s="14" t="str">
        <f t="shared" si="36"/>
        <v/>
      </c>
      <c r="I988" s="13" t="s">
        <v>30</v>
      </c>
      <c r="J988" s="13">
        <v>0</v>
      </c>
    </row>
    <row r="989" spans="1:10" s="13" customFormat="1" ht="43.2" hidden="1" x14ac:dyDescent="0.3">
      <c r="A989" s="15" t="s">
        <v>2250</v>
      </c>
      <c r="B989" s="15" t="s">
        <v>30</v>
      </c>
      <c r="C989" s="15" t="s">
        <v>2251</v>
      </c>
      <c r="D989" s="15" t="s">
        <v>2252</v>
      </c>
      <c r="E989" s="13">
        <v>1</v>
      </c>
      <c r="F989" s="13" t="s">
        <v>2174</v>
      </c>
      <c r="G989" s="40"/>
      <c r="H989" s="14" t="str">
        <f t="shared" si="36"/>
        <v/>
      </c>
      <c r="I989" s="13" t="s">
        <v>30</v>
      </c>
      <c r="J989" s="13">
        <v>0</v>
      </c>
    </row>
    <row r="990" spans="1:10" s="13" customFormat="1" ht="28.8" hidden="1" x14ac:dyDescent="0.3">
      <c r="A990" s="15" t="s">
        <v>2253</v>
      </c>
      <c r="B990" s="15" t="s">
        <v>30</v>
      </c>
      <c r="C990" s="15" t="s">
        <v>2254</v>
      </c>
      <c r="D990" s="15" t="s">
        <v>2255</v>
      </c>
      <c r="E990" s="13">
        <v>1</v>
      </c>
      <c r="F990" s="13" t="s">
        <v>2174</v>
      </c>
      <c r="G990" s="40"/>
      <c r="H990" s="14" t="str">
        <f t="shared" si="36"/>
        <v/>
      </c>
      <c r="I990" s="13" t="s">
        <v>30</v>
      </c>
      <c r="J990" s="13">
        <v>0</v>
      </c>
    </row>
    <row r="991" spans="1:10" s="13" customFormat="1" ht="28.8" hidden="1" x14ac:dyDescent="0.3">
      <c r="A991" s="15" t="s">
        <v>2256</v>
      </c>
      <c r="B991" s="15" t="s">
        <v>30</v>
      </c>
      <c r="C991" s="15" t="s">
        <v>2257</v>
      </c>
      <c r="D991" s="15" t="s">
        <v>2258</v>
      </c>
      <c r="E991" s="13">
        <v>3</v>
      </c>
      <c r="F991" s="13" t="s">
        <v>2174</v>
      </c>
      <c r="G991" s="40"/>
      <c r="H991" s="14" t="str">
        <f t="shared" si="36"/>
        <v/>
      </c>
      <c r="I991" s="13" t="s">
        <v>30</v>
      </c>
      <c r="J991" s="13">
        <v>0</v>
      </c>
    </row>
    <row r="992" spans="1:10" s="13" customFormat="1" ht="28.8" hidden="1" x14ac:dyDescent="0.3">
      <c r="A992" s="15" t="s">
        <v>2259</v>
      </c>
      <c r="B992" s="15" t="s">
        <v>30</v>
      </c>
      <c r="C992" s="15" t="s">
        <v>2260</v>
      </c>
      <c r="D992" s="15" t="s">
        <v>2261</v>
      </c>
      <c r="E992" s="13">
        <v>32</v>
      </c>
      <c r="F992" s="13" t="s">
        <v>2174</v>
      </c>
      <c r="G992" s="40"/>
      <c r="H992" s="14" t="str">
        <f t="shared" si="36"/>
        <v/>
      </c>
      <c r="I992" s="13" t="s">
        <v>30</v>
      </c>
      <c r="J992" s="13">
        <v>0</v>
      </c>
    </row>
    <row r="993" spans="1:10" s="13" customFormat="1" ht="144" hidden="1" x14ac:dyDescent="0.3">
      <c r="A993" s="15" t="s">
        <v>2262</v>
      </c>
      <c r="B993" s="15" t="s">
        <v>30</v>
      </c>
      <c r="C993" s="15" t="s">
        <v>2263</v>
      </c>
      <c r="D993" s="15" t="s">
        <v>2264</v>
      </c>
      <c r="E993" s="13">
        <v>2</v>
      </c>
      <c r="F993" s="13" t="s">
        <v>355</v>
      </c>
      <c r="G993" s="40"/>
      <c r="H993" s="14" t="str">
        <f t="shared" si="36"/>
        <v/>
      </c>
      <c r="I993" s="13" t="s">
        <v>30</v>
      </c>
      <c r="J993" s="13">
        <v>0</v>
      </c>
    </row>
    <row r="994" spans="1:10" s="13" customFormat="1" ht="273.60000000000002" hidden="1" x14ac:dyDescent="0.3">
      <c r="A994" s="15" t="s">
        <v>2265</v>
      </c>
      <c r="B994" s="15" t="s">
        <v>30</v>
      </c>
      <c r="C994" s="15" t="s">
        <v>2263</v>
      </c>
      <c r="D994" s="15" t="s">
        <v>2266</v>
      </c>
      <c r="E994" s="13">
        <v>2</v>
      </c>
      <c r="F994" s="13" t="s">
        <v>355</v>
      </c>
      <c r="G994" s="40"/>
      <c r="H994" s="14" t="str">
        <f t="shared" si="36"/>
        <v/>
      </c>
      <c r="I994" s="13" t="s">
        <v>30</v>
      </c>
      <c r="J994" s="13">
        <v>0</v>
      </c>
    </row>
    <row r="995" spans="1:10" s="13" customFormat="1" ht="129.6" hidden="1" x14ac:dyDescent="0.3">
      <c r="A995" s="15" t="s">
        <v>2267</v>
      </c>
      <c r="B995" s="15" t="s">
        <v>30</v>
      </c>
      <c r="C995" s="15" t="s">
        <v>2263</v>
      </c>
      <c r="D995" s="15" t="s">
        <v>2268</v>
      </c>
      <c r="E995" s="13">
        <v>1</v>
      </c>
      <c r="F995" s="13" t="s">
        <v>355</v>
      </c>
      <c r="G995" s="40"/>
      <c r="H995" s="14" t="str">
        <f t="shared" si="36"/>
        <v/>
      </c>
      <c r="I995" s="13" t="s">
        <v>30</v>
      </c>
      <c r="J995" s="13">
        <v>0</v>
      </c>
    </row>
    <row r="996" spans="1:10" s="13" customFormat="1" ht="43.2" hidden="1" x14ac:dyDescent="0.3">
      <c r="A996" s="15" t="s">
        <v>2269</v>
      </c>
      <c r="B996" s="15" t="s">
        <v>30</v>
      </c>
      <c r="C996" s="15" t="s">
        <v>2270</v>
      </c>
      <c r="D996" s="15" t="s">
        <v>2271</v>
      </c>
      <c r="E996" s="13">
        <v>10</v>
      </c>
      <c r="F996" s="13" t="s">
        <v>355</v>
      </c>
      <c r="G996" s="40"/>
      <c r="H996" s="14" t="str">
        <f t="shared" si="36"/>
        <v/>
      </c>
      <c r="I996" s="13" t="s">
        <v>30</v>
      </c>
      <c r="J996" s="13">
        <v>0</v>
      </c>
    </row>
    <row r="997" spans="1:10" s="13" customFormat="1" ht="72" hidden="1" x14ac:dyDescent="0.3">
      <c r="A997" s="15" t="s">
        <v>2272</v>
      </c>
      <c r="B997" s="15" t="s">
        <v>30</v>
      </c>
      <c r="C997" s="15" t="s">
        <v>2270</v>
      </c>
      <c r="D997" s="15" t="s">
        <v>2273</v>
      </c>
      <c r="E997" s="13">
        <v>1</v>
      </c>
      <c r="F997" s="13" t="s">
        <v>355</v>
      </c>
      <c r="G997" s="40"/>
      <c r="H997" s="14" t="str">
        <f t="shared" si="36"/>
        <v/>
      </c>
      <c r="I997" s="13" t="s">
        <v>30</v>
      </c>
      <c r="J997" s="13">
        <v>0</v>
      </c>
    </row>
    <row r="998" spans="1:10" s="13" customFormat="1" ht="100.8" hidden="1" x14ac:dyDescent="0.3">
      <c r="A998" s="15" t="s">
        <v>2274</v>
      </c>
      <c r="B998" s="15" t="s">
        <v>30</v>
      </c>
      <c r="C998" s="15" t="s">
        <v>2275</v>
      </c>
      <c r="D998" s="15" t="s">
        <v>2276</v>
      </c>
      <c r="E998" s="13">
        <v>3</v>
      </c>
      <c r="F998" s="13" t="s">
        <v>355</v>
      </c>
      <c r="G998" s="40"/>
      <c r="H998" s="14" t="str">
        <f t="shared" si="36"/>
        <v/>
      </c>
      <c r="I998" s="13" t="s">
        <v>30</v>
      </c>
      <c r="J998" s="13">
        <v>0</v>
      </c>
    </row>
    <row r="999" spans="1:10" s="13" customFormat="1" ht="43.2" hidden="1" x14ac:dyDescent="0.3">
      <c r="A999" s="15" t="s">
        <v>2277</v>
      </c>
      <c r="B999" s="15" t="s">
        <v>30</v>
      </c>
      <c r="C999" s="15" t="s">
        <v>2275</v>
      </c>
      <c r="D999" s="15" t="s">
        <v>2278</v>
      </c>
      <c r="E999" s="13">
        <v>1</v>
      </c>
      <c r="F999" s="13" t="s">
        <v>355</v>
      </c>
      <c r="G999" s="40"/>
      <c r="H999" s="14" t="str">
        <f t="shared" si="36"/>
        <v/>
      </c>
      <c r="I999" s="13" t="s">
        <v>30</v>
      </c>
      <c r="J999" s="13">
        <v>0</v>
      </c>
    </row>
    <row r="1000" spans="1:10" s="13" customFormat="1" ht="158.4" hidden="1" x14ac:dyDescent="0.3">
      <c r="A1000" s="15" t="s">
        <v>2279</v>
      </c>
      <c r="B1000" s="15" t="s">
        <v>30</v>
      </c>
      <c r="C1000" s="15" t="s">
        <v>2280</v>
      </c>
      <c r="D1000" s="15" t="s">
        <v>2281</v>
      </c>
      <c r="E1000" s="13">
        <v>3</v>
      </c>
      <c r="F1000" s="13" t="s">
        <v>355</v>
      </c>
      <c r="G1000" s="40"/>
      <c r="H1000" s="14" t="str">
        <f t="shared" si="36"/>
        <v/>
      </c>
      <c r="I1000" s="13" t="s">
        <v>30</v>
      </c>
      <c r="J1000" s="13">
        <v>0</v>
      </c>
    </row>
    <row r="1001" spans="1:10" s="11" customFormat="1" ht="28.8" hidden="1" x14ac:dyDescent="0.3">
      <c r="A1001" s="20" t="s">
        <v>2282</v>
      </c>
      <c r="B1001" s="20"/>
      <c r="C1001" s="20" t="s">
        <v>2283</v>
      </c>
      <c r="D1001" s="20"/>
      <c r="G1001" s="38"/>
      <c r="H1001" s="12">
        <f>SUM(H1002,H1003,H1004,H1005,H1006,H1007,H1008,H1009,H1010,H1011,H1012,H1013,H1014,H1015,H1016,H1017,H1018,H1019,H1020,H1021,H1022,H1023,H1024,H1025,H1026,H1027,H1028,H1029,H1030,H1031,H1032,H1033,H1034,H1035,H1036,H1037,H1038,H1039,H1040,H1041)</f>
        <v>0</v>
      </c>
    </row>
    <row r="1002" spans="1:10" s="13" customFormat="1" ht="144" hidden="1" x14ac:dyDescent="0.3">
      <c r="A1002" s="15" t="s">
        <v>2284</v>
      </c>
      <c r="B1002" s="15" t="s">
        <v>30</v>
      </c>
      <c r="C1002" s="15" t="s">
        <v>2285</v>
      </c>
      <c r="D1002" s="15" t="s">
        <v>2286</v>
      </c>
      <c r="E1002" s="13">
        <v>190</v>
      </c>
      <c r="F1002" s="13" t="s">
        <v>71</v>
      </c>
      <c r="G1002" s="40"/>
      <c r="H1002" s="14" t="str">
        <f t="shared" ref="H1002:H1041" si="37">IF(AND(ISNUMBER(E1002),ISNUMBER(G1002)),ROUND(PRODUCT(PRODUCT(E1002, G1002), 1 - J1002), 2),"")</f>
        <v/>
      </c>
      <c r="I1002" s="13" t="s">
        <v>30</v>
      </c>
      <c r="J1002" s="13">
        <v>0</v>
      </c>
    </row>
    <row r="1003" spans="1:10" s="13" customFormat="1" ht="144" hidden="1" x14ac:dyDescent="0.3">
      <c r="A1003" s="15" t="s">
        <v>2287</v>
      </c>
      <c r="B1003" s="15" t="s">
        <v>30</v>
      </c>
      <c r="C1003" s="15" t="s">
        <v>2288</v>
      </c>
      <c r="D1003" s="15" t="s">
        <v>2289</v>
      </c>
      <c r="E1003" s="13">
        <v>260</v>
      </c>
      <c r="F1003" s="13" t="s">
        <v>71</v>
      </c>
      <c r="G1003" s="40"/>
      <c r="H1003" s="14" t="str">
        <f t="shared" si="37"/>
        <v/>
      </c>
      <c r="I1003" s="13" t="s">
        <v>30</v>
      </c>
      <c r="J1003" s="13">
        <v>0</v>
      </c>
    </row>
    <row r="1004" spans="1:10" s="13" customFormat="1" ht="144" hidden="1" x14ac:dyDescent="0.3">
      <c r="A1004" s="15" t="s">
        <v>2290</v>
      </c>
      <c r="B1004" s="15" t="s">
        <v>30</v>
      </c>
      <c r="C1004" s="15" t="s">
        <v>2291</v>
      </c>
      <c r="D1004" s="15" t="s">
        <v>2292</v>
      </c>
      <c r="E1004" s="13">
        <v>70</v>
      </c>
      <c r="F1004" s="13" t="s">
        <v>71</v>
      </c>
      <c r="G1004" s="40"/>
      <c r="H1004" s="14" t="str">
        <f t="shared" si="37"/>
        <v/>
      </c>
      <c r="I1004" s="13" t="s">
        <v>30</v>
      </c>
      <c r="J1004" s="13">
        <v>0</v>
      </c>
    </row>
    <row r="1005" spans="1:10" s="13" customFormat="1" ht="144" hidden="1" x14ac:dyDescent="0.3">
      <c r="A1005" s="15" t="s">
        <v>2293</v>
      </c>
      <c r="B1005" s="15" t="s">
        <v>30</v>
      </c>
      <c r="C1005" s="15" t="s">
        <v>2294</v>
      </c>
      <c r="D1005" s="15" t="s">
        <v>2295</v>
      </c>
      <c r="E1005" s="13">
        <v>130</v>
      </c>
      <c r="F1005" s="13" t="s">
        <v>71</v>
      </c>
      <c r="G1005" s="40"/>
      <c r="H1005" s="14" t="str">
        <f t="shared" si="37"/>
        <v/>
      </c>
      <c r="I1005" s="13" t="s">
        <v>30</v>
      </c>
      <c r="J1005" s="13">
        <v>0</v>
      </c>
    </row>
    <row r="1006" spans="1:10" s="13" customFormat="1" ht="144" hidden="1" x14ac:dyDescent="0.3">
      <c r="A1006" s="15" t="s">
        <v>2296</v>
      </c>
      <c r="B1006" s="15" t="s">
        <v>30</v>
      </c>
      <c r="C1006" s="15" t="s">
        <v>2297</v>
      </c>
      <c r="D1006" s="15" t="s">
        <v>2298</v>
      </c>
      <c r="E1006" s="13">
        <v>65</v>
      </c>
      <c r="F1006" s="13" t="s">
        <v>71</v>
      </c>
      <c r="G1006" s="40"/>
      <c r="H1006" s="14" t="str">
        <f t="shared" si="37"/>
        <v/>
      </c>
      <c r="I1006" s="13" t="s">
        <v>30</v>
      </c>
      <c r="J1006" s="13">
        <v>0</v>
      </c>
    </row>
    <row r="1007" spans="1:10" s="13" customFormat="1" ht="144" hidden="1" x14ac:dyDescent="0.3">
      <c r="A1007" s="15" t="s">
        <v>2299</v>
      </c>
      <c r="B1007" s="15" t="s">
        <v>30</v>
      </c>
      <c r="C1007" s="15" t="s">
        <v>2300</v>
      </c>
      <c r="D1007" s="15" t="s">
        <v>2301</v>
      </c>
      <c r="E1007" s="13">
        <v>10</v>
      </c>
      <c r="F1007" s="13" t="s">
        <v>71</v>
      </c>
      <c r="G1007" s="40"/>
      <c r="H1007" s="14" t="str">
        <f t="shared" si="37"/>
        <v/>
      </c>
      <c r="I1007" s="13" t="s">
        <v>30</v>
      </c>
      <c r="J1007" s="13">
        <v>0</v>
      </c>
    </row>
    <row r="1008" spans="1:10" s="13" customFormat="1" ht="187.2" hidden="1" x14ac:dyDescent="0.3">
      <c r="A1008" s="15" t="s">
        <v>2302</v>
      </c>
      <c r="B1008" s="15" t="s">
        <v>30</v>
      </c>
      <c r="C1008" s="15" t="s">
        <v>2303</v>
      </c>
      <c r="D1008" s="15" t="s">
        <v>2304</v>
      </c>
      <c r="E1008" s="13">
        <v>1</v>
      </c>
      <c r="F1008" s="13" t="s">
        <v>355</v>
      </c>
      <c r="G1008" s="40"/>
      <c r="H1008" s="14" t="str">
        <f t="shared" si="37"/>
        <v/>
      </c>
      <c r="I1008" s="13" t="s">
        <v>30</v>
      </c>
      <c r="J1008" s="13">
        <v>0</v>
      </c>
    </row>
    <row r="1009" spans="1:10" s="13" customFormat="1" ht="187.2" hidden="1" x14ac:dyDescent="0.3">
      <c r="A1009" s="15" t="s">
        <v>2305</v>
      </c>
      <c r="B1009" s="15" t="s">
        <v>30</v>
      </c>
      <c r="C1009" s="15" t="s">
        <v>2306</v>
      </c>
      <c r="D1009" s="15" t="s">
        <v>2307</v>
      </c>
      <c r="E1009" s="13">
        <v>1</v>
      </c>
      <c r="F1009" s="13" t="s">
        <v>355</v>
      </c>
      <c r="G1009" s="40"/>
      <c r="H1009" s="14" t="str">
        <f t="shared" si="37"/>
        <v/>
      </c>
      <c r="I1009" s="13" t="s">
        <v>30</v>
      </c>
      <c r="J1009" s="13">
        <v>0</v>
      </c>
    </row>
    <row r="1010" spans="1:10" s="13" customFormat="1" ht="158.4" hidden="1" x14ac:dyDescent="0.3">
      <c r="A1010" s="15" t="s">
        <v>2308</v>
      </c>
      <c r="B1010" s="15" t="s">
        <v>30</v>
      </c>
      <c r="C1010" s="15" t="s">
        <v>2309</v>
      </c>
      <c r="D1010" s="15" t="s">
        <v>2310</v>
      </c>
      <c r="E1010" s="13">
        <v>3</v>
      </c>
      <c r="F1010" s="13" t="s">
        <v>355</v>
      </c>
      <c r="G1010" s="40"/>
      <c r="H1010" s="14" t="str">
        <f t="shared" si="37"/>
        <v/>
      </c>
      <c r="I1010" s="13" t="s">
        <v>30</v>
      </c>
      <c r="J1010" s="13">
        <v>0</v>
      </c>
    </row>
    <row r="1011" spans="1:10" s="13" customFormat="1" ht="100.8" hidden="1" x14ac:dyDescent="0.3">
      <c r="A1011" s="15" t="s">
        <v>2311</v>
      </c>
      <c r="B1011" s="15" t="s">
        <v>30</v>
      </c>
      <c r="C1011" s="15" t="s">
        <v>2312</v>
      </c>
      <c r="D1011" s="15" t="s">
        <v>2313</v>
      </c>
      <c r="E1011" s="13">
        <v>1</v>
      </c>
      <c r="F1011" s="13" t="s">
        <v>355</v>
      </c>
      <c r="G1011" s="40"/>
      <c r="H1011" s="14" t="str">
        <f t="shared" si="37"/>
        <v/>
      </c>
      <c r="I1011" s="13" t="s">
        <v>30</v>
      </c>
      <c r="J1011" s="13">
        <v>0</v>
      </c>
    </row>
    <row r="1012" spans="1:10" s="13" customFormat="1" ht="100.8" hidden="1" x14ac:dyDescent="0.3">
      <c r="A1012" s="15" t="s">
        <v>2314</v>
      </c>
      <c r="B1012" s="15" t="s">
        <v>30</v>
      </c>
      <c r="C1012" s="15" t="s">
        <v>2315</v>
      </c>
      <c r="D1012" s="15" t="s">
        <v>2316</v>
      </c>
      <c r="E1012" s="13">
        <v>1</v>
      </c>
      <c r="F1012" s="13" t="s">
        <v>355</v>
      </c>
      <c r="G1012" s="40"/>
      <c r="H1012" s="14" t="str">
        <f t="shared" si="37"/>
        <v/>
      </c>
      <c r="I1012" s="13" t="s">
        <v>30</v>
      </c>
      <c r="J1012" s="13">
        <v>0</v>
      </c>
    </row>
    <row r="1013" spans="1:10" s="13" customFormat="1" ht="115.2" hidden="1" x14ac:dyDescent="0.3">
      <c r="A1013" s="15" t="s">
        <v>2317</v>
      </c>
      <c r="B1013" s="15" t="s">
        <v>30</v>
      </c>
      <c r="C1013" s="15" t="s">
        <v>2318</v>
      </c>
      <c r="D1013" s="15" t="s">
        <v>2319</v>
      </c>
      <c r="E1013" s="13">
        <v>1</v>
      </c>
      <c r="F1013" s="13" t="s">
        <v>355</v>
      </c>
      <c r="G1013" s="40"/>
      <c r="H1013" s="14" t="str">
        <f t="shared" si="37"/>
        <v/>
      </c>
      <c r="I1013" s="13" t="s">
        <v>30</v>
      </c>
      <c r="J1013" s="13">
        <v>0</v>
      </c>
    </row>
    <row r="1014" spans="1:10" s="13" customFormat="1" ht="115.2" hidden="1" x14ac:dyDescent="0.3">
      <c r="A1014" s="15" t="s">
        <v>2320</v>
      </c>
      <c r="B1014" s="15" t="s">
        <v>30</v>
      </c>
      <c r="C1014" s="15" t="s">
        <v>2318</v>
      </c>
      <c r="D1014" s="15" t="s">
        <v>2321</v>
      </c>
      <c r="E1014" s="13">
        <v>1</v>
      </c>
      <c r="F1014" s="13" t="s">
        <v>355</v>
      </c>
      <c r="G1014" s="40"/>
      <c r="H1014" s="14" t="str">
        <f t="shared" si="37"/>
        <v/>
      </c>
      <c r="I1014" s="13" t="s">
        <v>30</v>
      </c>
      <c r="J1014" s="13">
        <v>0</v>
      </c>
    </row>
    <row r="1015" spans="1:10" s="13" customFormat="1" ht="115.2" hidden="1" x14ac:dyDescent="0.3">
      <c r="A1015" s="15" t="s">
        <v>2322</v>
      </c>
      <c r="B1015" s="15" t="s">
        <v>30</v>
      </c>
      <c r="C1015" s="15" t="s">
        <v>2318</v>
      </c>
      <c r="D1015" s="15" t="s">
        <v>2323</v>
      </c>
      <c r="E1015" s="13">
        <v>2</v>
      </c>
      <c r="F1015" s="13" t="s">
        <v>355</v>
      </c>
      <c r="G1015" s="40"/>
      <c r="H1015" s="14" t="str">
        <f t="shared" si="37"/>
        <v/>
      </c>
      <c r="I1015" s="13" t="s">
        <v>30</v>
      </c>
      <c r="J1015" s="13">
        <v>0</v>
      </c>
    </row>
    <row r="1016" spans="1:10" s="13" customFormat="1" ht="115.2" hidden="1" x14ac:dyDescent="0.3">
      <c r="A1016" s="15" t="s">
        <v>2324</v>
      </c>
      <c r="B1016" s="15" t="s">
        <v>30</v>
      </c>
      <c r="C1016" s="15" t="s">
        <v>2318</v>
      </c>
      <c r="D1016" s="15" t="s">
        <v>2325</v>
      </c>
      <c r="E1016" s="13">
        <v>1</v>
      </c>
      <c r="F1016" s="13" t="s">
        <v>355</v>
      </c>
      <c r="G1016" s="40"/>
      <c r="H1016" s="14" t="str">
        <f t="shared" si="37"/>
        <v/>
      </c>
      <c r="I1016" s="13" t="s">
        <v>30</v>
      </c>
      <c r="J1016" s="13">
        <v>0</v>
      </c>
    </row>
    <row r="1017" spans="1:10" s="13" customFormat="1" ht="115.2" hidden="1" x14ac:dyDescent="0.3">
      <c r="A1017" s="15" t="s">
        <v>2326</v>
      </c>
      <c r="B1017" s="15" t="s">
        <v>30</v>
      </c>
      <c r="C1017" s="15" t="s">
        <v>2318</v>
      </c>
      <c r="D1017" s="15" t="s">
        <v>2327</v>
      </c>
      <c r="E1017" s="13">
        <v>1</v>
      </c>
      <c r="F1017" s="13" t="s">
        <v>355</v>
      </c>
      <c r="G1017" s="40"/>
      <c r="H1017" s="14" t="str">
        <f t="shared" si="37"/>
        <v/>
      </c>
      <c r="I1017" s="13" t="s">
        <v>30</v>
      </c>
      <c r="J1017" s="13">
        <v>0</v>
      </c>
    </row>
    <row r="1018" spans="1:10" s="13" customFormat="1" ht="115.2" hidden="1" x14ac:dyDescent="0.3">
      <c r="A1018" s="15" t="s">
        <v>2328</v>
      </c>
      <c r="B1018" s="15" t="s">
        <v>30</v>
      </c>
      <c r="C1018" s="15" t="s">
        <v>2318</v>
      </c>
      <c r="D1018" s="15" t="s">
        <v>2329</v>
      </c>
      <c r="E1018" s="13">
        <v>2</v>
      </c>
      <c r="F1018" s="13" t="s">
        <v>355</v>
      </c>
      <c r="G1018" s="40"/>
      <c r="H1018" s="14" t="str">
        <f t="shared" si="37"/>
        <v/>
      </c>
      <c r="I1018" s="13" t="s">
        <v>30</v>
      </c>
      <c r="J1018" s="13">
        <v>0</v>
      </c>
    </row>
    <row r="1019" spans="1:10" s="13" customFormat="1" ht="115.2" hidden="1" x14ac:dyDescent="0.3">
      <c r="A1019" s="15" t="s">
        <v>2330</v>
      </c>
      <c r="B1019" s="15" t="s">
        <v>30</v>
      </c>
      <c r="C1019" s="15" t="s">
        <v>2318</v>
      </c>
      <c r="D1019" s="15" t="s">
        <v>2331</v>
      </c>
      <c r="E1019" s="13">
        <v>2</v>
      </c>
      <c r="F1019" s="13" t="s">
        <v>355</v>
      </c>
      <c r="G1019" s="40"/>
      <c r="H1019" s="14" t="str">
        <f t="shared" si="37"/>
        <v/>
      </c>
      <c r="I1019" s="13" t="s">
        <v>30</v>
      </c>
      <c r="J1019" s="13">
        <v>0</v>
      </c>
    </row>
    <row r="1020" spans="1:10" s="13" customFormat="1" ht="115.2" hidden="1" x14ac:dyDescent="0.3">
      <c r="A1020" s="15" t="s">
        <v>2332</v>
      </c>
      <c r="B1020" s="15" t="s">
        <v>30</v>
      </c>
      <c r="C1020" s="15" t="s">
        <v>2318</v>
      </c>
      <c r="D1020" s="15" t="s">
        <v>2333</v>
      </c>
      <c r="E1020" s="13">
        <v>1</v>
      </c>
      <c r="F1020" s="13" t="s">
        <v>355</v>
      </c>
      <c r="G1020" s="40"/>
      <c r="H1020" s="14" t="str">
        <f t="shared" si="37"/>
        <v/>
      </c>
      <c r="I1020" s="13" t="s">
        <v>30</v>
      </c>
      <c r="J1020" s="13">
        <v>0</v>
      </c>
    </row>
    <row r="1021" spans="1:10" s="13" customFormat="1" ht="115.2" hidden="1" x14ac:dyDescent="0.3">
      <c r="A1021" s="15" t="s">
        <v>2334</v>
      </c>
      <c r="B1021" s="15" t="s">
        <v>30</v>
      </c>
      <c r="C1021" s="15" t="s">
        <v>2318</v>
      </c>
      <c r="D1021" s="15" t="s">
        <v>2335</v>
      </c>
      <c r="E1021" s="13">
        <v>2</v>
      </c>
      <c r="F1021" s="13" t="s">
        <v>355</v>
      </c>
      <c r="G1021" s="40"/>
      <c r="H1021" s="14" t="str">
        <f t="shared" si="37"/>
        <v/>
      </c>
      <c r="I1021" s="13" t="s">
        <v>30</v>
      </c>
      <c r="J1021" s="13">
        <v>0</v>
      </c>
    </row>
    <row r="1022" spans="1:10" s="13" customFormat="1" ht="115.2" hidden="1" x14ac:dyDescent="0.3">
      <c r="A1022" s="15" t="s">
        <v>2336</v>
      </c>
      <c r="B1022" s="15" t="s">
        <v>30</v>
      </c>
      <c r="C1022" s="15" t="s">
        <v>2337</v>
      </c>
      <c r="D1022" s="15" t="s">
        <v>2338</v>
      </c>
      <c r="E1022" s="13">
        <v>3</v>
      </c>
      <c r="G1022" s="40"/>
      <c r="H1022" s="14" t="str">
        <f t="shared" si="37"/>
        <v/>
      </c>
      <c r="I1022" s="13" t="s">
        <v>30</v>
      </c>
      <c r="J1022" s="13">
        <v>0</v>
      </c>
    </row>
    <row r="1023" spans="1:10" s="13" customFormat="1" ht="115.2" hidden="1" x14ac:dyDescent="0.3">
      <c r="A1023" s="15" t="s">
        <v>2339</v>
      </c>
      <c r="B1023" s="15" t="s">
        <v>30</v>
      </c>
      <c r="C1023" s="15" t="s">
        <v>2337</v>
      </c>
      <c r="D1023" s="15" t="s">
        <v>2340</v>
      </c>
      <c r="E1023" s="13">
        <v>6</v>
      </c>
      <c r="G1023" s="40"/>
      <c r="H1023" s="14" t="str">
        <f t="shared" si="37"/>
        <v/>
      </c>
      <c r="I1023" s="13" t="s">
        <v>30</v>
      </c>
      <c r="J1023" s="13">
        <v>0</v>
      </c>
    </row>
    <row r="1024" spans="1:10" s="13" customFormat="1" ht="43.2" hidden="1" x14ac:dyDescent="0.3">
      <c r="A1024" s="15" t="s">
        <v>2341</v>
      </c>
      <c r="B1024" s="15" t="s">
        <v>30</v>
      </c>
      <c r="C1024" s="15" t="s">
        <v>2342</v>
      </c>
      <c r="D1024" s="15" t="s">
        <v>2343</v>
      </c>
      <c r="E1024" s="13">
        <v>3</v>
      </c>
      <c r="G1024" s="40"/>
      <c r="H1024" s="14" t="str">
        <f t="shared" si="37"/>
        <v/>
      </c>
      <c r="I1024" s="13" t="s">
        <v>30</v>
      </c>
      <c r="J1024" s="13">
        <v>0</v>
      </c>
    </row>
    <row r="1025" spans="1:10" s="13" customFormat="1" ht="72" hidden="1" x14ac:dyDescent="0.3">
      <c r="A1025" s="15" t="s">
        <v>2344</v>
      </c>
      <c r="B1025" s="15" t="s">
        <v>30</v>
      </c>
      <c r="C1025" s="15" t="s">
        <v>2345</v>
      </c>
      <c r="D1025" s="15" t="s">
        <v>2346</v>
      </c>
      <c r="E1025" s="13">
        <v>1</v>
      </c>
      <c r="F1025" s="13" t="s">
        <v>355</v>
      </c>
      <c r="G1025" s="40"/>
      <c r="H1025" s="14" t="str">
        <f t="shared" si="37"/>
        <v/>
      </c>
      <c r="I1025" s="13" t="s">
        <v>30</v>
      </c>
      <c r="J1025" s="13">
        <v>0</v>
      </c>
    </row>
    <row r="1026" spans="1:10" s="13" customFormat="1" ht="72" hidden="1" x14ac:dyDescent="0.3">
      <c r="A1026" s="15" t="s">
        <v>2347</v>
      </c>
      <c r="B1026" s="15" t="s">
        <v>30</v>
      </c>
      <c r="C1026" s="15" t="s">
        <v>2345</v>
      </c>
      <c r="D1026" s="15" t="s">
        <v>2348</v>
      </c>
      <c r="E1026" s="13">
        <v>2</v>
      </c>
      <c r="F1026" s="13" t="s">
        <v>355</v>
      </c>
      <c r="G1026" s="40"/>
      <c r="H1026" s="14" t="str">
        <f t="shared" si="37"/>
        <v/>
      </c>
      <c r="I1026" s="13" t="s">
        <v>30</v>
      </c>
      <c r="J1026" s="13">
        <v>0</v>
      </c>
    </row>
    <row r="1027" spans="1:10" s="13" customFormat="1" ht="57.6" hidden="1" x14ac:dyDescent="0.3">
      <c r="A1027" s="15" t="s">
        <v>2349</v>
      </c>
      <c r="B1027" s="15" t="s">
        <v>30</v>
      </c>
      <c r="C1027" s="15" t="s">
        <v>2350</v>
      </c>
      <c r="D1027" s="15" t="s">
        <v>2351</v>
      </c>
      <c r="E1027" s="13">
        <v>1</v>
      </c>
      <c r="F1027" s="13" t="s">
        <v>355</v>
      </c>
      <c r="G1027" s="40"/>
      <c r="H1027" s="14" t="str">
        <f t="shared" si="37"/>
        <v/>
      </c>
      <c r="I1027" s="13" t="s">
        <v>30</v>
      </c>
      <c r="J1027" s="13">
        <v>0</v>
      </c>
    </row>
    <row r="1028" spans="1:10" s="13" customFormat="1" ht="57.6" hidden="1" x14ac:dyDescent="0.3">
      <c r="A1028" s="15" t="s">
        <v>2352</v>
      </c>
      <c r="B1028" s="15" t="s">
        <v>30</v>
      </c>
      <c r="C1028" s="15" t="s">
        <v>2350</v>
      </c>
      <c r="D1028" s="15" t="s">
        <v>2351</v>
      </c>
      <c r="E1028" s="13">
        <v>2</v>
      </c>
      <c r="F1028" s="13" t="s">
        <v>355</v>
      </c>
      <c r="G1028" s="40"/>
      <c r="H1028" s="14" t="str">
        <f t="shared" si="37"/>
        <v/>
      </c>
      <c r="I1028" s="13" t="s">
        <v>30</v>
      </c>
      <c r="J1028" s="13">
        <v>0</v>
      </c>
    </row>
    <row r="1029" spans="1:10" s="13" customFormat="1" ht="72" hidden="1" x14ac:dyDescent="0.3">
      <c r="A1029" s="15" t="s">
        <v>2353</v>
      </c>
      <c r="B1029" s="15" t="s">
        <v>30</v>
      </c>
      <c r="C1029" s="15" t="s">
        <v>2354</v>
      </c>
      <c r="D1029" s="15" t="s">
        <v>2355</v>
      </c>
      <c r="E1029" s="13">
        <v>2</v>
      </c>
      <c r="F1029" s="13" t="s">
        <v>355</v>
      </c>
      <c r="G1029" s="40"/>
      <c r="H1029" s="14" t="str">
        <f t="shared" si="37"/>
        <v/>
      </c>
      <c r="I1029" s="13" t="s">
        <v>30</v>
      </c>
      <c r="J1029" s="13">
        <v>0</v>
      </c>
    </row>
    <row r="1030" spans="1:10" s="13" customFormat="1" ht="72" hidden="1" x14ac:dyDescent="0.3">
      <c r="A1030" s="15" t="s">
        <v>2356</v>
      </c>
      <c r="B1030" s="15" t="s">
        <v>30</v>
      </c>
      <c r="C1030" s="15" t="s">
        <v>2354</v>
      </c>
      <c r="D1030" s="15" t="s">
        <v>2357</v>
      </c>
      <c r="E1030" s="13">
        <v>2</v>
      </c>
      <c r="F1030" s="13" t="s">
        <v>355</v>
      </c>
      <c r="G1030" s="40"/>
      <c r="H1030" s="14" t="str">
        <f t="shared" si="37"/>
        <v/>
      </c>
      <c r="I1030" s="13" t="s">
        <v>30</v>
      </c>
      <c r="J1030" s="13">
        <v>0</v>
      </c>
    </row>
    <row r="1031" spans="1:10" s="13" customFormat="1" ht="86.4" hidden="1" x14ac:dyDescent="0.3">
      <c r="A1031" s="15" t="s">
        <v>2358</v>
      </c>
      <c r="B1031" s="15" t="s">
        <v>30</v>
      </c>
      <c r="C1031" s="15" t="s">
        <v>2318</v>
      </c>
      <c r="D1031" s="15" t="s">
        <v>2359</v>
      </c>
      <c r="E1031" s="13">
        <v>3</v>
      </c>
      <c r="F1031" s="13" t="s">
        <v>355</v>
      </c>
      <c r="G1031" s="40"/>
      <c r="H1031" s="14" t="str">
        <f t="shared" si="37"/>
        <v/>
      </c>
      <c r="I1031" s="13" t="s">
        <v>30</v>
      </c>
      <c r="J1031" s="13">
        <v>0</v>
      </c>
    </row>
    <row r="1032" spans="1:10" s="13" customFormat="1" ht="86.4" hidden="1" x14ac:dyDescent="0.3">
      <c r="A1032" s="15" t="s">
        <v>2360</v>
      </c>
      <c r="B1032" s="15" t="s">
        <v>30</v>
      </c>
      <c r="C1032" s="15" t="s">
        <v>2318</v>
      </c>
      <c r="D1032" s="15" t="s">
        <v>2361</v>
      </c>
      <c r="E1032" s="13">
        <v>3</v>
      </c>
      <c r="F1032" s="13" t="s">
        <v>355</v>
      </c>
      <c r="G1032" s="40"/>
      <c r="H1032" s="14" t="str">
        <f t="shared" si="37"/>
        <v/>
      </c>
      <c r="I1032" s="13" t="s">
        <v>30</v>
      </c>
      <c r="J1032" s="13">
        <v>0</v>
      </c>
    </row>
    <row r="1033" spans="1:10" s="13" customFormat="1" ht="86.4" hidden="1" x14ac:dyDescent="0.3">
      <c r="A1033" s="15" t="s">
        <v>2362</v>
      </c>
      <c r="B1033" s="15" t="s">
        <v>30</v>
      </c>
      <c r="C1033" s="15" t="s">
        <v>2318</v>
      </c>
      <c r="D1033" s="15" t="s">
        <v>2361</v>
      </c>
      <c r="E1033" s="13">
        <v>3</v>
      </c>
      <c r="F1033" s="13" t="s">
        <v>355</v>
      </c>
      <c r="G1033" s="40"/>
      <c r="H1033" s="14" t="str">
        <f t="shared" si="37"/>
        <v/>
      </c>
      <c r="I1033" s="13" t="s">
        <v>30</v>
      </c>
      <c r="J1033" s="13">
        <v>0</v>
      </c>
    </row>
    <row r="1034" spans="1:10" s="13" customFormat="1" ht="86.4" hidden="1" x14ac:dyDescent="0.3">
      <c r="A1034" s="15" t="s">
        <v>2363</v>
      </c>
      <c r="B1034" s="15" t="s">
        <v>30</v>
      </c>
      <c r="C1034" s="15" t="s">
        <v>2318</v>
      </c>
      <c r="D1034" s="15" t="s">
        <v>2364</v>
      </c>
      <c r="E1034" s="13">
        <v>3</v>
      </c>
      <c r="F1034" s="13" t="s">
        <v>355</v>
      </c>
      <c r="G1034" s="40"/>
      <c r="H1034" s="14" t="str">
        <f t="shared" si="37"/>
        <v/>
      </c>
      <c r="I1034" s="13" t="s">
        <v>30</v>
      </c>
      <c r="J1034" s="13">
        <v>0</v>
      </c>
    </row>
    <row r="1035" spans="1:10" s="13" customFormat="1" ht="86.4" hidden="1" x14ac:dyDescent="0.3">
      <c r="A1035" s="15" t="s">
        <v>2365</v>
      </c>
      <c r="B1035" s="15" t="s">
        <v>30</v>
      </c>
      <c r="C1035" s="15" t="s">
        <v>2318</v>
      </c>
      <c r="D1035" s="15" t="s">
        <v>2364</v>
      </c>
      <c r="E1035" s="13">
        <v>3</v>
      </c>
      <c r="F1035" s="13" t="s">
        <v>355</v>
      </c>
      <c r="G1035" s="40"/>
      <c r="H1035" s="14" t="str">
        <f t="shared" si="37"/>
        <v/>
      </c>
      <c r="I1035" s="13" t="s">
        <v>30</v>
      </c>
      <c r="J1035" s="13">
        <v>0</v>
      </c>
    </row>
    <row r="1036" spans="1:10" s="13" customFormat="1" ht="86.4" hidden="1" x14ac:dyDescent="0.3">
      <c r="A1036" s="15" t="s">
        <v>2366</v>
      </c>
      <c r="B1036" s="15" t="s">
        <v>30</v>
      </c>
      <c r="C1036" s="15" t="s">
        <v>2318</v>
      </c>
      <c r="D1036" s="15" t="s">
        <v>2367</v>
      </c>
      <c r="E1036" s="13">
        <v>3</v>
      </c>
      <c r="F1036" s="13" t="s">
        <v>355</v>
      </c>
      <c r="G1036" s="40"/>
      <c r="H1036" s="14" t="str">
        <f t="shared" si="37"/>
        <v/>
      </c>
      <c r="I1036" s="13" t="s">
        <v>30</v>
      </c>
      <c r="J1036" s="13">
        <v>0</v>
      </c>
    </row>
    <row r="1037" spans="1:10" s="13" customFormat="1" ht="86.4" hidden="1" x14ac:dyDescent="0.3">
      <c r="A1037" s="15" t="s">
        <v>2368</v>
      </c>
      <c r="B1037" s="15" t="s">
        <v>30</v>
      </c>
      <c r="C1037" s="15" t="s">
        <v>2318</v>
      </c>
      <c r="D1037" s="15" t="s">
        <v>2369</v>
      </c>
      <c r="E1037" s="13">
        <v>3</v>
      </c>
      <c r="F1037" s="13" t="s">
        <v>355</v>
      </c>
      <c r="G1037" s="40"/>
      <c r="H1037" s="14" t="str">
        <f t="shared" si="37"/>
        <v/>
      </c>
      <c r="I1037" s="13" t="s">
        <v>30</v>
      </c>
      <c r="J1037" s="13">
        <v>0</v>
      </c>
    </row>
    <row r="1038" spans="1:10" s="13" customFormat="1" ht="86.4" hidden="1" x14ac:dyDescent="0.3">
      <c r="A1038" s="15" t="s">
        <v>2370</v>
      </c>
      <c r="B1038" s="15" t="s">
        <v>30</v>
      </c>
      <c r="C1038" s="15" t="s">
        <v>2318</v>
      </c>
      <c r="D1038" s="15" t="s">
        <v>2371</v>
      </c>
      <c r="E1038" s="13">
        <v>3</v>
      </c>
      <c r="F1038" s="13" t="s">
        <v>355</v>
      </c>
      <c r="G1038" s="40"/>
      <c r="H1038" s="14" t="str">
        <f t="shared" si="37"/>
        <v/>
      </c>
      <c r="I1038" s="13" t="s">
        <v>30</v>
      </c>
      <c r="J1038" s="13">
        <v>0</v>
      </c>
    </row>
    <row r="1039" spans="1:10" s="13" customFormat="1" ht="86.4" hidden="1" x14ac:dyDescent="0.3">
      <c r="A1039" s="15" t="s">
        <v>2372</v>
      </c>
      <c r="B1039" s="15" t="s">
        <v>30</v>
      </c>
      <c r="C1039" s="15" t="s">
        <v>2318</v>
      </c>
      <c r="D1039" s="15" t="s">
        <v>2373</v>
      </c>
      <c r="E1039" s="13">
        <v>3</v>
      </c>
      <c r="F1039" s="13" t="s">
        <v>355</v>
      </c>
      <c r="G1039" s="40"/>
      <c r="H1039" s="14" t="str">
        <f t="shared" si="37"/>
        <v/>
      </c>
      <c r="I1039" s="13" t="s">
        <v>30</v>
      </c>
      <c r="J1039" s="13">
        <v>0</v>
      </c>
    </row>
    <row r="1040" spans="1:10" s="13" customFormat="1" ht="86.4" hidden="1" x14ac:dyDescent="0.3">
      <c r="A1040" s="15" t="s">
        <v>2374</v>
      </c>
      <c r="B1040" s="15" t="s">
        <v>30</v>
      </c>
      <c r="C1040" s="15" t="s">
        <v>2318</v>
      </c>
      <c r="D1040" s="15" t="s">
        <v>2375</v>
      </c>
      <c r="E1040" s="13">
        <v>3</v>
      </c>
      <c r="F1040" s="13" t="s">
        <v>355</v>
      </c>
      <c r="G1040" s="40"/>
      <c r="H1040" s="14" t="str">
        <f t="shared" si="37"/>
        <v/>
      </c>
      <c r="I1040" s="13" t="s">
        <v>30</v>
      </c>
      <c r="J1040" s="13">
        <v>0</v>
      </c>
    </row>
    <row r="1041" spans="1:10" s="13" customFormat="1" ht="115.2" hidden="1" x14ac:dyDescent="0.3">
      <c r="A1041" s="15" t="s">
        <v>2376</v>
      </c>
      <c r="B1041" s="15" t="s">
        <v>30</v>
      </c>
      <c r="C1041" s="15" t="s">
        <v>2337</v>
      </c>
      <c r="D1041" s="15" t="s">
        <v>2377</v>
      </c>
      <c r="E1041" s="13">
        <v>3</v>
      </c>
      <c r="F1041" s="13" t="s">
        <v>355</v>
      </c>
      <c r="G1041" s="40"/>
      <c r="H1041" s="14" t="str">
        <f t="shared" si="37"/>
        <v/>
      </c>
      <c r="I1041" s="13" t="s">
        <v>30</v>
      </c>
      <c r="J1041" s="13">
        <v>0</v>
      </c>
    </row>
    <row r="1042" spans="1:10" s="11" customFormat="1" ht="28.8" hidden="1" x14ac:dyDescent="0.3">
      <c r="A1042" s="20" t="s">
        <v>2378</v>
      </c>
      <c r="B1042" s="20"/>
      <c r="C1042" s="20" t="s">
        <v>2379</v>
      </c>
      <c r="D1042" s="20"/>
      <c r="G1042" s="38"/>
      <c r="H1042" s="12">
        <f>SUM(H1043,H1044,H1045,H1046,H1047,H1048,H1049,H1050,H1051,H1052,H1053)</f>
        <v>0</v>
      </c>
    </row>
    <row r="1043" spans="1:10" s="13" customFormat="1" ht="316.8" hidden="1" x14ac:dyDescent="0.3">
      <c r="A1043" s="15" t="s">
        <v>2380</v>
      </c>
      <c r="B1043" s="15" t="s">
        <v>30</v>
      </c>
      <c r="C1043" s="15" t="s">
        <v>2381</v>
      </c>
      <c r="D1043" s="15" t="s">
        <v>2382</v>
      </c>
      <c r="E1043" s="13">
        <v>20</v>
      </c>
      <c r="F1043" s="13" t="s">
        <v>71</v>
      </c>
      <c r="G1043" s="40"/>
      <c r="H1043" s="14" t="str">
        <f t="shared" ref="H1043:H1053" si="38">IF(AND(ISNUMBER(E1043),ISNUMBER(G1043)),ROUND(PRODUCT(PRODUCT(E1043, G1043), 1 - J1043), 2),"")</f>
        <v/>
      </c>
      <c r="I1043" s="13" t="s">
        <v>30</v>
      </c>
      <c r="J1043" s="13">
        <v>0</v>
      </c>
    </row>
    <row r="1044" spans="1:10" s="13" customFormat="1" ht="316.8" hidden="1" x14ac:dyDescent="0.3">
      <c r="A1044" s="15" t="s">
        <v>2383</v>
      </c>
      <c r="B1044" s="15" t="s">
        <v>30</v>
      </c>
      <c r="C1044" s="15" t="s">
        <v>2384</v>
      </c>
      <c r="D1044" s="15" t="s">
        <v>2385</v>
      </c>
      <c r="E1044" s="13">
        <v>20</v>
      </c>
      <c r="F1044" s="13" t="s">
        <v>71</v>
      </c>
      <c r="G1044" s="40"/>
      <c r="H1044" s="14" t="str">
        <f t="shared" si="38"/>
        <v/>
      </c>
      <c r="I1044" s="13" t="s">
        <v>30</v>
      </c>
      <c r="J1044" s="13">
        <v>0</v>
      </c>
    </row>
    <row r="1045" spans="1:10" s="13" customFormat="1" ht="316.8" hidden="1" x14ac:dyDescent="0.3">
      <c r="A1045" s="15" t="s">
        <v>2386</v>
      </c>
      <c r="B1045" s="15" t="s">
        <v>30</v>
      </c>
      <c r="C1045" s="15" t="s">
        <v>2387</v>
      </c>
      <c r="D1045" s="15" t="s">
        <v>2388</v>
      </c>
      <c r="E1045" s="13">
        <v>65</v>
      </c>
      <c r="F1045" s="13" t="s">
        <v>71</v>
      </c>
      <c r="G1045" s="40"/>
      <c r="H1045" s="14" t="str">
        <f t="shared" si="38"/>
        <v/>
      </c>
      <c r="I1045" s="13" t="s">
        <v>30</v>
      </c>
      <c r="J1045" s="13">
        <v>0</v>
      </c>
    </row>
    <row r="1046" spans="1:10" s="13" customFormat="1" ht="316.8" hidden="1" x14ac:dyDescent="0.3">
      <c r="A1046" s="15" t="s">
        <v>2389</v>
      </c>
      <c r="B1046" s="15" t="s">
        <v>30</v>
      </c>
      <c r="C1046" s="15" t="s">
        <v>2390</v>
      </c>
      <c r="D1046" s="15" t="s">
        <v>2391</v>
      </c>
      <c r="E1046" s="13">
        <v>15</v>
      </c>
      <c r="F1046" s="13" t="s">
        <v>71</v>
      </c>
      <c r="G1046" s="40"/>
      <c r="H1046" s="14" t="str">
        <f t="shared" si="38"/>
        <v/>
      </c>
      <c r="I1046" s="13" t="s">
        <v>30</v>
      </c>
      <c r="J1046" s="13">
        <v>0</v>
      </c>
    </row>
    <row r="1047" spans="1:10" s="13" customFormat="1" ht="316.8" hidden="1" x14ac:dyDescent="0.3">
      <c r="A1047" s="15" t="s">
        <v>2392</v>
      </c>
      <c r="B1047" s="15" t="s">
        <v>30</v>
      </c>
      <c r="C1047" s="15" t="s">
        <v>2393</v>
      </c>
      <c r="D1047" s="15" t="s">
        <v>2394</v>
      </c>
      <c r="E1047" s="13">
        <v>120</v>
      </c>
      <c r="F1047" s="13" t="s">
        <v>71</v>
      </c>
      <c r="G1047" s="40"/>
      <c r="H1047" s="14" t="str">
        <f t="shared" si="38"/>
        <v/>
      </c>
      <c r="I1047" s="13" t="s">
        <v>30</v>
      </c>
      <c r="J1047" s="13">
        <v>0</v>
      </c>
    </row>
    <row r="1048" spans="1:10" s="13" customFormat="1" ht="316.8" hidden="1" x14ac:dyDescent="0.3">
      <c r="A1048" s="15" t="s">
        <v>2395</v>
      </c>
      <c r="B1048" s="15" t="s">
        <v>30</v>
      </c>
      <c r="C1048" s="15" t="s">
        <v>2396</v>
      </c>
      <c r="D1048" s="15" t="s">
        <v>2397</v>
      </c>
      <c r="E1048" s="13">
        <v>1</v>
      </c>
      <c r="F1048" s="13" t="s">
        <v>355</v>
      </c>
      <c r="G1048" s="40"/>
      <c r="H1048" s="14" t="str">
        <f t="shared" si="38"/>
        <v/>
      </c>
      <c r="I1048" s="13" t="s">
        <v>30</v>
      </c>
      <c r="J1048" s="13">
        <v>0</v>
      </c>
    </row>
    <row r="1049" spans="1:10" s="13" customFormat="1" ht="374.4" hidden="1" x14ac:dyDescent="0.3">
      <c r="A1049" s="15" t="s">
        <v>2398</v>
      </c>
      <c r="B1049" s="15" t="s">
        <v>30</v>
      </c>
      <c r="C1049" s="15" t="s">
        <v>2399</v>
      </c>
      <c r="D1049" s="15" t="s">
        <v>2400</v>
      </c>
      <c r="E1049" s="13">
        <v>7</v>
      </c>
      <c r="F1049" s="13" t="s">
        <v>355</v>
      </c>
      <c r="G1049" s="40"/>
      <c r="H1049" s="14" t="str">
        <f t="shared" si="38"/>
        <v/>
      </c>
      <c r="I1049" s="13" t="s">
        <v>30</v>
      </c>
      <c r="J1049" s="13">
        <v>0</v>
      </c>
    </row>
    <row r="1050" spans="1:10" s="13" customFormat="1" ht="403.2" hidden="1" x14ac:dyDescent="0.3">
      <c r="A1050" s="15" t="s">
        <v>2401</v>
      </c>
      <c r="B1050" s="15" t="s">
        <v>30</v>
      </c>
      <c r="C1050" s="15" t="s">
        <v>2402</v>
      </c>
      <c r="D1050" s="15" t="s">
        <v>2403</v>
      </c>
      <c r="E1050" s="13">
        <v>6</v>
      </c>
      <c r="F1050" s="13" t="s">
        <v>355</v>
      </c>
      <c r="G1050" s="40"/>
      <c r="H1050" s="14" t="str">
        <f t="shared" si="38"/>
        <v/>
      </c>
      <c r="I1050" s="13" t="s">
        <v>30</v>
      </c>
      <c r="J1050" s="13">
        <v>0</v>
      </c>
    </row>
    <row r="1051" spans="1:10" s="13" customFormat="1" ht="374.4" hidden="1" x14ac:dyDescent="0.3">
      <c r="A1051" s="15" t="s">
        <v>2404</v>
      </c>
      <c r="B1051" s="15" t="s">
        <v>30</v>
      </c>
      <c r="C1051" s="15" t="s">
        <v>2405</v>
      </c>
      <c r="D1051" s="15" t="s">
        <v>2406</v>
      </c>
      <c r="E1051" s="13">
        <v>1</v>
      </c>
      <c r="F1051" s="13" t="s">
        <v>355</v>
      </c>
      <c r="G1051" s="40"/>
      <c r="H1051" s="14" t="str">
        <f t="shared" si="38"/>
        <v/>
      </c>
      <c r="I1051" s="13" t="s">
        <v>30</v>
      </c>
      <c r="J1051" s="13">
        <v>0</v>
      </c>
    </row>
    <row r="1052" spans="1:10" s="13" customFormat="1" ht="28.8" hidden="1" x14ac:dyDescent="0.3">
      <c r="A1052" s="15" t="s">
        <v>2407</v>
      </c>
      <c r="B1052" s="15" t="s">
        <v>30</v>
      </c>
      <c r="C1052" s="15" t="s">
        <v>2408</v>
      </c>
      <c r="D1052" s="15" t="s">
        <v>2409</v>
      </c>
      <c r="E1052" s="13">
        <v>2</v>
      </c>
      <c r="F1052" s="13" t="s">
        <v>355</v>
      </c>
      <c r="G1052" s="40"/>
      <c r="H1052" s="14" t="str">
        <f t="shared" si="38"/>
        <v/>
      </c>
      <c r="I1052" s="13" t="s">
        <v>30</v>
      </c>
      <c r="J1052" s="13">
        <v>0</v>
      </c>
    </row>
    <row r="1053" spans="1:10" s="13" customFormat="1" ht="43.2" hidden="1" x14ac:dyDescent="0.3">
      <c r="A1053" s="15" t="s">
        <v>2410</v>
      </c>
      <c r="B1053" s="15" t="s">
        <v>30</v>
      </c>
      <c r="C1053" s="15" t="s">
        <v>2411</v>
      </c>
      <c r="D1053" s="15" t="s">
        <v>2412</v>
      </c>
      <c r="E1053" s="13">
        <v>3</v>
      </c>
      <c r="F1053" s="13" t="s">
        <v>355</v>
      </c>
      <c r="G1053" s="40"/>
      <c r="H1053" s="14" t="str">
        <f t="shared" si="38"/>
        <v/>
      </c>
      <c r="I1053" s="13" t="s">
        <v>30</v>
      </c>
      <c r="J1053" s="13">
        <v>0</v>
      </c>
    </row>
    <row r="1054" spans="1:10" s="11" customFormat="1" hidden="1" x14ac:dyDescent="0.3">
      <c r="A1054" s="20" t="s">
        <v>2413</v>
      </c>
      <c r="B1054" s="20"/>
      <c r="C1054" s="20" t="s">
        <v>2414</v>
      </c>
      <c r="D1054" s="20"/>
      <c r="G1054" s="38"/>
      <c r="H1054" s="12">
        <f>SUM(H1055)</f>
        <v>0</v>
      </c>
    </row>
    <row r="1055" spans="1:10" s="13" customFormat="1" ht="244.8" hidden="1" x14ac:dyDescent="0.3">
      <c r="A1055" s="15" t="s">
        <v>2415</v>
      </c>
      <c r="B1055" s="15" t="s">
        <v>30</v>
      </c>
      <c r="C1055" s="15" t="s">
        <v>2416</v>
      </c>
      <c r="D1055" s="15" t="s">
        <v>2417</v>
      </c>
      <c r="E1055" s="13">
        <v>1</v>
      </c>
      <c r="F1055" s="13" t="s">
        <v>551</v>
      </c>
      <c r="G1055" s="40"/>
      <c r="H1055" s="14" t="str">
        <f>IF(AND(ISNUMBER(E1055),ISNUMBER(G1055)),ROUND(PRODUCT(PRODUCT(E1055, G1055), 1 - J1055), 2),"")</f>
        <v/>
      </c>
      <c r="I1055" s="13" t="s">
        <v>30</v>
      </c>
      <c r="J1055" s="13">
        <v>0</v>
      </c>
    </row>
    <row r="1056" spans="1:10" s="11" customFormat="1" hidden="1" x14ac:dyDescent="0.3">
      <c r="A1056" s="20" t="s">
        <v>2418</v>
      </c>
      <c r="B1056" s="20"/>
      <c r="C1056" s="20" t="s">
        <v>2419</v>
      </c>
      <c r="D1056" s="20"/>
      <c r="G1056" s="38"/>
      <c r="H1056" s="12">
        <f>SUM(H1057,H1058,H1059,H1060,H1061,H1062,H1063,H1064,H1065,H1066)</f>
        <v>0</v>
      </c>
    </row>
    <row r="1057" spans="1:10" s="13" customFormat="1" ht="345.6" hidden="1" x14ac:dyDescent="0.3">
      <c r="A1057" s="15" t="s">
        <v>2420</v>
      </c>
      <c r="B1057" s="15" t="s">
        <v>30</v>
      </c>
      <c r="C1057" s="15" t="s">
        <v>2421</v>
      </c>
      <c r="D1057" s="15" t="s">
        <v>2422</v>
      </c>
      <c r="E1057" s="13">
        <v>10</v>
      </c>
      <c r="F1057" s="13" t="s">
        <v>71</v>
      </c>
      <c r="G1057" s="40"/>
      <c r="H1057" s="14" t="str">
        <f t="shared" ref="H1057:H1066" si="39">IF(AND(ISNUMBER(E1057),ISNUMBER(G1057)),ROUND(PRODUCT(PRODUCT(E1057, G1057), 1 - J1057), 2),"")</f>
        <v/>
      </c>
      <c r="I1057" s="13" t="s">
        <v>30</v>
      </c>
      <c r="J1057" s="13">
        <v>0</v>
      </c>
    </row>
    <row r="1058" spans="1:10" s="13" customFormat="1" ht="331.2" hidden="1" x14ac:dyDescent="0.3">
      <c r="A1058" s="15" t="s">
        <v>2423</v>
      </c>
      <c r="B1058" s="15" t="s">
        <v>30</v>
      </c>
      <c r="C1058" s="15" t="s">
        <v>2424</v>
      </c>
      <c r="D1058" s="15" t="s">
        <v>2425</v>
      </c>
      <c r="E1058" s="13">
        <v>95</v>
      </c>
      <c r="F1058" s="13" t="s">
        <v>71</v>
      </c>
      <c r="G1058" s="40"/>
      <c r="H1058" s="14" t="str">
        <f t="shared" si="39"/>
        <v/>
      </c>
      <c r="I1058" s="13" t="s">
        <v>30</v>
      </c>
      <c r="J1058" s="13">
        <v>0</v>
      </c>
    </row>
    <row r="1059" spans="1:10" s="13" customFormat="1" ht="331.2" hidden="1" x14ac:dyDescent="0.3">
      <c r="A1059" s="15" t="s">
        <v>2426</v>
      </c>
      <c r="B1059" s="15" t="s">
        <v>30</v>
      </c>
      <c r="C1059" s="15" t="s">
        <v>2427</v>
      </c>
      <c r="D1059" s="15" t="s">
        <v>2428</v>
      </c>
      <c r="E1059" s="13">
        <v>55</v>
      </c>
      <c r="F1059" s="13" t="s">
        <v>71</v>
      </c>
      <c r="G1059" s="40"/>
      <c r="H1059" s="14" t="str">
        <f t="shared" si="39"/>
        <v/>
      </c>
      <c r="I1059" s="13" t="s">
        <v>30</v>
      </c>
      <c r="J1059" s="13">
        <v>0</v>
      </c>
    </row>
    <row r="1060" spans="1:10" s="13" customFormat="1" ht="331.2" hidden="1" x14ac:dyDescent="0.3">
      <c r="A1060" s="15" t="s">
        <v>2429</v>
      </c>
      <c r="B1060" s="15" t="s">
        <v>30</v>
      </c>
      <c r="C1060" s="15" t="s">
        <v>2430</v>
      </c>
      <c r="D1060" s="15" t="s">
        <v>2431</v>
      </c>
      <c r="E1060" s="13">
        <v>40</v>
      </c>
      <c r="F1060" s="13" t="s">
        <v>71</v>
      </c>
      <c r="G1060" s="40"/>
      <c r="H1060" s="14" t="str">
        <f t="shared" si="39"/>
        <v/>
      </c>
      <c r="I1060" s="13" t="s">
        <v>30</v>
      </c>
      <c r="J1060" s="13">
        <v>0</v>
      </c>
    </row>
    <row r="1061" spans="1:10" s="13" customFormat="1" ht="331.2" hidden="1" x14ac:dyDescent="0.3">
      <c r="A1061" s="15" t="s">
        <v>2432</v>
      </c>
      <c r="B1061" s="15" t="s">
        <v>30</v>
      </c>
      <c r="C1061" s="15" t="s">
        <v>2433</v>
      </c>
      <c r="D1061" s="15" t="s">
        <v>2434</v>
      </c>
      <c r="E1061" s="13">
        <v>10</v>
      </c>
      <c r="F1061" s="13" t="s">
        <v>71</v>
      </c>
      <c r="G1061" s="40"/>
      <c r="H1061" s="14" t="str">
        <f t="shared" si="39"/>
        <v/>
      </c>
      <c r="I1061" s="13" t="s">
        <v>30</v>
      </c>
      <c r="J1061" s="13">
        <v>0</v>
      </c>
    </row>
    <row r="1062" spans="1:10" s="13" customFormat="1" ht="331.2" hidden="1" x14ac:dyDescent="0.3">
      <c r="A1062" s="15" t="s">
        <v>2435</v>
      </c>
      <c r="B1062" s="15" t="s">
        <v>30</v>
      </c>
      <c r="C1062" s="15" t="s">
        <v>2436</v>
      </c>
      <c r="D1062" s="15" t="s">
        <v>2437</v>
      </c>
      <c r="E1062" s="13">
        <v>90</v>
      </c>
      <c r="F1062" s="13" t="s">
        <v>71</v>
      </c>
      <c r="G1062" s="40"/>
      <c r="H1062" s="14" t="str">
        <f t="shared" si="39"/>
        <v/>
      </c>
      <c r="I1062" s="13" t="s">
        <v>30</v>
      </c>
      <c r="J1062" s="13">
        <v>0</v>
      </c>
    </row>
    <row r="1063" spans="1:10" s="13" customFormat="1" ht="331.2" hidden="1" x14ac:dyDescent="0.3">
      <c r="A1063" s="15" t="s">
        <v>2438</v>
      </c>
      <c r="B1063" s="15" t="s">
        <v>30</v>
      </c>
      <c r="C1063" s="15" t="s">
        <v>2439</v>
      </c>
      <c r="D1063" s="15" t="s">
        <v>2440</v>
      </c>
      <c r="E1063" s="13">
        <v>210</v>
      </c>
      <c r="F1063" s="13" t="s">
        <v>71</v>
      </c>
      <c r="G1063" s="40"/>
      <c r="H1063" s="14" t="str">
        <f t="shared" si="39"/>
        <v/>
      </c>
      <c r="I1063" s="13" t="s">
        <v>30</v>
      </c>
      <c r="J1063" s="13">
        <v>0</v>
      </c>
    </row>
    <row r="1064" spans="1:10" s="13" customFormat="1" ht="374.4" hidden="1" x14ac:dyDescent="0.3">
      <c r="A1064" s="15" t="s">
        <v>2441</v>
      </c>
      <c r="B1064" s="15" t="s">
        <v>30</v>
      </c>
      <c r="C1064" s="15" t="s">
        <v>2442</v>
      </c>
      <c r="D1064" s="15" t="s">
        <v>2443</v>
      </c>
      <c r="E1064" s="13">
        <v>25</v>
      </c>
      <c r="F1064" s="13" t="s">
        <v>71</v>
      </c>
      <c r="G1064" s="40"/>
      <c r="H1064" s="14" t="str">
        <f t="shared" si="39"/>
        <v/>
      </c>
      <c r="I1064" s="13" t="s">
        <v>30</v>
      </c>
      <c r="J1064" s="13">
        <v>0</v>
      </c>
    </row>
    <row r="1065" spans="1:10" s="13" customFormat="1" ht="409.6" hidden="1" x14ac:dyDescent="0.3">
      <c r="A1065" s="15" t="s">
        <v>2444</v>
      </c>
      <c r="B1065" s="15" t="s">
        <v>30</v>
      </c>
      <c r="C1065" s="15" t="s">
        <v>2445</v>
      </c>
      <c r="D1065" s="15" t="s">
        <v>2446</v>
      </c>
      <c r="E1065" s="13">
        <v>130</v>
      </c>
      <c r="F1065" s="13" t="s">
        <v>71</v>
      </c>
      <c r="G1065" s="40"/>
      <c r="H1065" s="14" t="str">
        <f t="shared" si="39"/>
        <v/>
      </c>
      <c r="I1065" s="13" t="s">
        <v>30</v>
      </c>
      <c r="J1065" s="13">
        <v>0</v>
      </c>
    </row>
    <row r="1066" spans="1:10" s="13" customFormat="1" ht="409.6" hidden="1" x14ac:dyDescent="0.3">
      <c r="A1066" s="15" t="s">
        <v>2447</v>
      </c>
      <c r="B1066" s="15" t="s">
        <v>30</v>
      </c>
      <c r="C1066" s="15" t="s">
        <v>2448</v>
      </c>
      <c r="D1066" s="15" t="s">
        <v>2449</v>
      </c>
      <c r="E1066" s="13">
        <v>62</v>
      </c>
      <c r="F1066" s="13" t="s">
        <v>71</v>
      </c>
      <c r="G1066" s="40"/>
      <c r="H1066" s="14" t="str">
        <f t="shared" si="39"/>
        <v/>
      </c>
      <c r="I1066" s="13" t="s">
        <v>30</v>
      </c>
      <c r="J1066" s="13">
        <v>0</v>
      </c>
    </row>
    <row r="1067" spans="1:10" s="11" customFormat="1" ht="43.2" hidden="1" x14ac:dyDescent="0.3">
      <c r="A1067" s="20" t="s">
        <v>2450</v>
      </c>
      <c r="B1067" s="20"/>
      <c r="C1067" s="20" t="s">
        <v>2115</v>
      </c>
      <c r="D1067" s="20"/>
      <c r="G1067" s="38"/>
      <c r="H1067" s="12">
        <v>0</v>
      </c>
    </row>
    <row r="1068" spans="1:10" s="11" customFormat="1" hidden="1" x14ac:dyDescent="0.3">
      <c r="A1068" s="20" t="s">
        <v>2451</v>
      </c>
      <c r="B1068" s="20"/>
      <c r="C1068" s="20" t="s">
        <v>2452</v>
      </c>
      <c r="D1068" s="20"/>
      <c r="G1068" s="38"/>
      <c r="H1068" s="12">
        <v>0</v>
      </c>
    </row>
    <row r="1069" spans="1:10" s="11" customFormat="1" hidden="1" x14ac:dyDescent="0.3">
      <c r="A1069" s="20" t="s">
        <v>2453</v>
      </c>
      <c r="B1069" s="20"/>
      <c r="C1069" s="20" t="s">
        <v>810</v>
      </c>
      <c r="D1069" s="20"/>
      <c r="G1069" s="38"/>
      <c r="H1069" s="12">
        <f>SUM(H1070,H1071,H1072,H1073,H1074,H1075,H1076,H1077,H1078,H1079,H1080,H1081,H1082,H1083,H1084)</f>
        <v>0</v>
      </c>
    </row>
    <row r="1070" spans="1:10" s="13" customFormat="1" ht="409.6" hidden="1" x14ac:dyDescent="0.3">
      <c r="A1070" s="15" t="s">
        <v>2454</v>
      </c>
      <c r="B1070" s="15" t="s">
        <v>30</v>
      </c>
      <c r="C1070" s="15" t="s">
        <v>2455</v>
      </c>
      <c r="D1070" s="15" t="s">
        <v>2456</v>
      </c>
      <c r="E1070" s="13">
        <v>1</v>
      </c>
      <c r="F1070" s="13" t="s">
        <v>384</v>
      </c>
      <c r="G1070" s="40"/>
      <c r="H1070" s="14" t="str">
        <f t="shared" ref="H1070:H1084" si="40">IF(AND(ISNUMBER(E1070),ISNUMBER(G1070)),ROUND(PRODUCT(PRODUCT(E1070, G1070), 1 - J1070), 2),"")</f>
        <v/>
      </c>
      <c r="I1070" s="13" t="s">
        <v>30</v>
      </c>
      <c r="J1070" s="13">
        <v>0</v>
      </c>
    </row>
    <row r="1071" spans="1:10" s="13" customFormat="1" ht="57.6" hidden="1" x14ac:dyDescent="0.3">
      <c r="A1071" s="15" t="s">
        <v>2457</v>
      </c>
      <c r="B1071" s="15" t="s">
        <v>30</v>
      </c>
      <c r="C1071" s="15" t="s">
        <v>2458</v>
      </c>
      <c r="D1071" s="15" t="s">
        <v>2459</v>
      </c>
      <c r="E1071" s="13">
        <v>1</v>
      </c>
      <c r="F1071" s="13" t="s">
        <v>384</v>
      </c>
      <c r="G1071" s="40"/>
      <c r="H1071" s="14" t="str">
        <f t="shared" si="40"/>
        <v/>
      </c>
      <c r="I1071" s="13" t="s">
        <v>30</v>
      </c>
      <c r="J1071" s="13">
        <v>0</v>
      </c>
    </row>
    <row r="1072" spans="1:10" s="13" customFormat="1" ht="43.2" hidden="1" x14ac:dyDescent="0.3">
      <c r="A1072" s="15" t="s">
        <v>2460</v>
      </c>
      <c r="B1072" s="15" t="s">
        <v>30</v>
      </c>
      <c r="C1072" s="15" t="s">
        <v>2461</v>
      </c>
      <c r="D1072" s="15" t="s">
        <v>2462</v>
      </c>
      <c r="E1072" s="13">
        <v>1</v>
      </c>
      <c r="F1072" s="13" t="s">
        <v>384</v>
      </c>
      <c r="G1072" s="40"/>
      <c r="H1072" s="14" t="str">
        <f t="shared" si="40"/>
        <v/>
      </c>
      <c r="I1072" s="13" t="s">
        <v>30</v>
      </c>
      <c r="J1072" s="13">
        <v>0</v>
      </c>
    </row>
    <row r="1073" spans="1:10" s="13" customFormat="1" ht="100.8" hidden="1" x14ac:dyDescent="0.3">
      <c r="A1073" s="15" t="s">
        <v>2463</v>
      </c>
      <c r="B1073" s="15" t="s">
        <v>30</v>
      </c>
      <c r="C1073" s="15" t="s">
        <v>2464</v>
      </c>
      <c r="D1073" s="15" t="s">
        <v>2465</v>
      </c>
      <c r="E1073" s="13">
        <v>1</v>
      </c>
      <c r="F1073" s="13" t="s">
        <v>384</v>
      </c>
      <c r="G1073" s="40"/>
      <c r="H1073" s="14" t="str">
        <f t="shared" si="40"/>
        <v/>
      </c>
      <c r="I1073" s="13" t="s">
        <v>30</v>
      </c>
      <c r="J1073" s="13">
        <v>0</v>
      </c>
    </row>
    <row r="1074" spans="1:10" s="13" customFormat="1" ht="86.4" hidden="1" x14ac:dyDescent="0.3">
      <c r="A1074" s="15" t="s">
        <v>2466</v>
      </c>
      <c r="B1074" s="15" t="s">
        <v>30</v>
      </c>
      <c r="C1074" s="15" t="s">
        <v>2467</v>
      </c>
      <c r="D1074" s="15" t="s">
        <v>2468</v>
      </c>
      <c r="E1074" s="13">
        <v>1</v>
      </c>
      <c r="F1074" s="13" t="s">
        <v>355</v>
      </c>
      <c r="G1074" s="40"/>
      <c r="H1074" s="14" t="str">
        <f t="shared" si="40"/>
        <v/>
      </c>
      <c r="I1074" s="13" t="s">
        <v>30</v>
      </c>
      <c r="J1074" s="13">
        <v>0</v>
      </c>
    </row>
    <row r="1075" spans="1:10" s="13" customFormat="1" ht="43.2" hidden="1" x14ac:dyDescent="0.3">
      <c r="A1075" s="15" t="s">
        <v>2469</v>
      </c>
      <c r="B1075" s="15" t="s">
        <v>30</v>
      </c>
      <c r="C1075" s="15" t="s">
        <v>2470</v>
      </c>
      <c r="D1075" s="15" t="s">
        <v>2471</v>
      </c>
      <c r="E1075" s="13">
        <v>1</v>
      </c>
      <c r="F1075" s="13" t="s">
        <v>384</v>
      </c>
      <c r="G1075" s="40"/>
      <c r="H1075" s="14" t="str">
        <f t="shared" si="40"/>
        <v/>
      </c>
      <c r="I1075" s="13" t="s">
        <v>30</v>
      </c>
      <c r="J1075" s="13">
        <v>0</v>
      </c>
    </row>
    <row r="1076" spans="1:10" s="13" customFormat="1" ht="100.8" hidden="1" x14ac:dyDescent="0.3">
      <c r="A1076" s="15" t="s">
        <v>2472</v>
      </c>
      <c r="B1076" s="15" t="s">
        <v>30</v>
      </c>
      <c r="C1076" s="15" t="s">
        <v>2473</v>
      </c>
      <c r="D1076" s="15" t="s">
        <v>2474</v>
      </c>
      <c r="E1076" s="13">
        <v>1</v>
      </c>
      <c r="F1076" s="13" t="s">
        <v>551</v>
      </c>
      <c r="G1076" s="40"/>
      <c r="H1076" s="14" t="str">
        <f t="shared" si="40"/>
        <v/>
      </c>
      <c r="I1076" s="13" t="s">
        <v>30</v>
      </c>
      <c r="J1076" s="13">
        <v>0</v>
      </c>
    </row>
    <row r="1077" spans="1:10" s="13" customFormat="1" ht="72" hidden="1" x14ac:dyDescent="0.3">
      <c r="A1077" s="15" t="s">
        <v>2475</v>
      </c>
      <c r="B1077" s="15" t="s">
        <v>30</v>
      </c>
      <c r="C1077" s="15" t="s">
        <v>2476</v>
      </c>
      <c r="D1077" s="15" t="s">
        <v>2477</v>
      </c>
      <c r="E1077" s="13">
        <v>1</v>
      </c>
      <c r="F1077" s="13" t="s">
        <v>551</v>
      </c>
      <c r="G1077" s="40"/>
      <c r="H1077" s="14" t="str">
        <f t="shared" si="40"/>
        <v/>
      </c>
      <c r="I1077" s="13" t="s">
        <v>30</v>
      </c>
      <c r="J1077" s="13">
        <v>0</v>
      </c>
    </row>
    <row r="1078" spans="1:10" s="13" customFormat="1" ht="72" hidden="1" x14ac:dyDescent="0.3">
      <c r="A1078" s="15" t="s">
        <v>2478</v>
      </c>
      <c r="B1078" s="15" t="s">
        <v>30</v>
      </c>
      <c r="C1078" s="15" t="s">
        <v>2479</v>
      </c>
      <c r="D1078" s="15" t="s">
        <v>2480</v>
      </c>
      <c r="E1078" s="13">
        <v>1</v>
      </c>
      <c r="F1078" s="13" t="s">
        <v>551</v>
      </c>
      <c r="G1078" s="40"/>
      <c r="H1078" s="14" t="str">
        <f t="shared" si="40"/>
        <v/>
      </c>
      <c r="I1078" s="13" t="s">
        <v>30</v>
      </c>
      <c r="J1078" s="13">
        <v>0</v>
      </c>
    </row>
    <row r="1079" spans="1:10" s="13" customFormat="1" ht="72" hidden="1" x14ac:dyDescent="0.3">
      <c r="A1079" s="15" t="s">
        <v>2481</v>
      </c>
      <c r="B1079" s="15" t="s">
        <v>30</v>
      </c>
      <c r="C1079" s="15" t="s">
        <v>2482</v>
      </c>
      <c r="D1079" s="15" t="s">
        <v>2483</v>
      </c>
      <c r="E1079" s="13">
        <v>1</v>
      </c>
      <c r="F1079" s="13" t="s">
        <v>551</v>
      </c>
      <c r="G1079" s="40"/>
      <c r="H1079" s="14" t="str">
        <f t="shared" si="40"/>
        <v/>
      </c>
      <c r="I1079" s="13" t="s">
        <v>30</v>
      </c>
      <c r="J1079" s="13">
        <v>0</v>
      </c>
    </row>
    <row r="1080" spans="1:10" s="13" customFormat="1" ht="57.6" hidden="1" x14ac:dyDescent="0.3">
      <c r="A1080" s="15" t="s">
        <v>2484</v>
      </c>
      <c r="B1080" s="15" t="s">
        <v>30</v>
      </c>
      <c r="C1080" s="15" t="s">
        <v>2485</v>
      </c>
      <c r="D1080" s="15" t="s">
        <v>2486</v>
      </c>
      <c r="E1080" s="13">
        <v>1</v>
      </c>
      <c r="F1080" s="13" t="s">
        <v>551</v>
      </c>
      <c r="G1080" s="40"/>
      <c r="H1080" s="14" t="str">
        <f t="shared" si="40"/>
        <v/>
      </c>
      <c r="I1080" s="13" t="s">
        <v>30</v>
      </c>
      <c r="J1080" s="13">
        <v>0</v>
      </c>
    </row>
    <row r="1081" spans="1:10" s="13" customFormat="1" ht="57.6" hidden="1" x14ac:dyDescent="0.3">
      <c r="A1081" s="15" t="s">
        <v>2487</v>
      </c>
      <c r="B1081" s="15" t="s">
        <v>30</v>
      </c>
      <c r="C1081" s="15" t="s">
        <v>2488</v>
      </c>
      <c r="D1081" s="15" t="s">
        <v>2489</v>
      </c>
      <c r="E1081" s="13">
        <v>1</v>
      </c>
      <c r="F1081" s="13" t="s">
        <v>551</v>
      </c>
      <c r="G1081" s="40"/>
      <c r="H1081" s="14" t="str">
        <f t="shared" si="40"/>
        <v/>
      </c>
      <c r="I1081" s="13" t="s">
        <v>30</v>
      </c>
      <c r="J1081" s="13">
        <v>0</v>
      </c>
    </row>
    <row r="1082" spans="1:10" s="13" customFormat="1" ht="273.60000000000002" hidden="1" x14ac:dyDescent="0.3">
      <c r="A1082" s="15" t="s">
        <v>2490</v>
      </c>
      <c r="B1082" s="15" t="s">
        <v>30</v>
      </c>
      <c r="C1082" s="15" t="s">
        <v>2491</v>
      </c>
      <c r="D1082" s="15" t="s">
        <v>2492</v>
      </c>
      <c r="E1082" s="13">
        <v>1</v>
      </c>
      <c r="F1082" s="13" t="s">
        <v>384</v>
      </c>
      <c r="G1082" s="40"/>
      <c r="H1082" s="14" t="str">
        <f t="shared" si="40"/>
        <v/>
      </c>
      <c r="I1082" s="13" t="s">
        <v>30</v>
      </c>
      <c r="J1082" s="13">
        <v>0</v>
      </c>
    </row>
    <row r="1083" spans="1:10" s="13" customFormat="1" ht="72" hidden="1" x14ac:dyDescent="0.3">
      <c r="A1083" s="15" t="s">
        <v>2493</v>
      </c>
      <c r="B1083" s="15" t="s">
        <v>30</v>
      </c>
      <c r="C1083" s="15" t="s">
        <v>2494</v>
      </c>
      <c r="D1083" s="15" t="s">
        <v>2495</v>
      </c>
      <c r="E1083" s="13">
        <v>1</v>
      </c>
      <c r="F1083" s="13" t="s">
        <v>2174</v>
      </c>
      <c r="G1083" s="40"/>
      <c r="H1083" s="14" t="str">
        <f t="shared" si="40"/>
        <v/>
      </c>
      <c r="I1083" s="13" t="s">
        <v>30</v>
      </c>
      <c r="J1083" s="13">
        <v>0</v>
      </c>
    </row>
    <row r="1084" spans="1:10" s="13" customFormat="1" ht="72" hidden="1" x14ac:dyDescent="0.3">
      <c r="A1084" s="15" t="s">
        <v>2496</v>
      </c>
      <c r="B1084" s="15" t="s">
        <v>30</v>
      </c>
      <c r="C1084" s="15" t="s">
        <v>2497</v>
      </c>
      <c r="D1084" s="15" t="s">
        <v>2498</v>
      </c>
      <c r="E1084" s="13">
        <v>1</v>
      </c>
      <c r="F1084" s="13" t="s">
        <v>384</v>
      </c>
      <c r="G1084" s="40"/>
      <c r="H1084" s="14" t="str">
        <f t="shared" si="40"/>
        <v/>
      </c>
      <c r="I1084" s="13" t="s">
        <v>30</v>
      </c>
      <c r="J1084" s="13">
        <v>0</v>
      </c>
    </row>
    <row r="1085" spans="1:10" s="11" customFormat="1" hidden="1" x14ac:dyDescent="0.3">
      <c r="A1085" s="20" t="s">
        <v>2499</v>
      </c>
      <c r="B1085" s="20"/>
      <c r="C1085" s="20" t="s">
        <v>812</v>
      </c>
      <c r="D1085" s="20"/>
      <c r="G1085" s="38"/>
      <c r="H1085" s="12">
        <v>0</v>
      </c>
    </row>
    <row r="1086" spans="1:10" s="11" customFormat="1" ht="28.8" hidden="1" x14ac:dyDescent="0.3">
      <c r="A1086" s="20" t="s">
        <v>2500</v>
      </c>
      <c r="B1086" s="20"/>
      <c r="C1086" s="20" t="s">
        <v>2501</v>
      </c>
      <c r="D1086" s="20"/>
      <c r="G1086" s="38"/>
      <c r="H1086" s="12">
        <f>SUM(H1087,H1088,H1089,H1092,H1093,H1098,H1099,H1100,H1101)</f>
        <v>0</v>
      </c>
    </row>
    <row r="1087" spans="1:10" s="11" customFormat="1" hidden="1" x14ac:dyDescent="0.3">
      <c r="A1087" s="20" t="s">
        <v>2502</v>
      </c>
      <c r="B1087" s="20"/>
      <c r="C1087" s="20" t="s">
        <v>2095</v>
      </c>
      <c r="D1087" s="20"/>
      <c r="G1087" s="38"/>
      <c r="H1087" s="12">
        <v>0</v>
      </c>
    </row>
    <row r="1088" spans="1:10" s="11" customFormat="1" ht="28.8" hidden="1" x14ac:dyDescent="0.3">
      <c r="A1088" s="20" t="s">
        <v>2503</v>
      </c>
      <c r="B1088" s="20"/>
      <c r="C1088" s="20" t="s">
        <v>2504</v>
      </c>
      <c r="D1088" s="20"/>
      <c r="G1088" s="38"/>
      <c r="H1088" s="12">
        <v>0</v>
      </c>
    </row>
    <row r="1089" spans="1:10" s="11" customFormat="1" ht="28.8" hidden="1" x14ac:dyDescent="0.3">
      <c r="A1089" s="20" t="s">
        <v>2505</v>
      </c>
      <c r="B1089" s="20"/>
      <c r="C1089" s="20" t="s">
        <v>2506</v>
      </c>
      <c r="D1089" s="20"/>
      <c r="G1089" s="38"/>
      <c r="H1089" s="12">
        <f>SUM(H1090,H1091)</f>
        <v>0</v>
      </c>
    </row>
    <row r="1090" spans="1:10" s="13" customFormat="1" ht="259.2" hidden="1" x14ac:dyDescent="0.3">
      <c r="A1090" s="15" t="s">
        <v>2507</v>
      </c>
      <c r="B1090" s="15" t="s">
        <v>30</v>
      </c>
      <c r="C1090" s="15" t="s">
        <v>2508</v>
      </c>
      <c r="D1090" s="15" t="s">
        <v>2509</v>
      </c>
      <c r="E1090" s="13">
        <v>210</v>
      </c>
      <c r="F1090" s="13" t="s">
        <v>643</v>
      </c>
      <c r="G1090" s="40"/>
      <c r="H1090" s="14" t="str">
        <f>IF(AND(ISNUMBER(E1090),ISNUMBER(G1090)),ROUND(PRODUCT(PRODUCT(E1090, G1090), 1 - J1090), 2),"")</f>
        <v/>
      </c>
      <c r="I1090" s="13" t="s">
        <v>30</v>
      </c>
      <c r="J1090" s="13">
        <v>0</v>
      </c>
    </row>
    <row r="1091" spans="1:10" s="13" customFormat="1" ht="259.2" hidden="1" x14ac:dyDescent="0.3">
      <c r="A1091" s="15" t="s">
        <v>2510</v>
      </c>
      <c r="B1091" s="15" t="s">
        <v>30</v>
      </c>
      <c r="C1091" s="15" t="s">
        <v>2511</v>
      </c>
      <c r="D1091" s="15" t="s">
        <v>2509</v>
      </c>
      <c r="E1091" s="13">
        <v>120</v>
      </c>
      <c r="F1091" s="13" t="s">
        <v>643</v>
      </c>
      <c r="G1091" s="40"/>
      <c r="H1091" s="14" t="str">
        <f>IF(AND(ISNUMBER(E1091),ISNUMBER(G1091)),ROUND(PRODUCT(PRODUCT(E1091, G1091), 1 - J1091), 2),"")</f>
        <v/>
      </c>
      <c r="I1091" s="13" t="s">
        <v>30</v>
      </c>
      <c r="J1091" s="13">
        <v>0</v>
      </c>
    </row>
    <row r="1092" spans="1:10" s="11" customFormat="1" ht="28.8" hidden="1" x14ac:dyDescent="0.3">
      <c r="A1092" s="20" t="s">
        <v>2512</v>
      </c>
      <c r="B1092" s="20"/>
      <c r="C1092" s="20" t="s">
        <v>2513</v>
      </c>
      <c r="D1092" s="20"/>
      <c r="G1092" s="38"/>
      <c r="H1092" s="12">
        <v>0</v>
      </c>
    </row>
    <row r="1093" spans="1:10" s="11" customFormat="1" hidden="1" x14ac:dyDescent="0.3">
      <c r="A1093" s="20" t="s">
        <v>2514</v>
      </c>
      <c r="B1093" s="20"/>
      <c r="C1093" s="20" t="s">
        <v>2515</v>
      </c>
      <c r="D1093" s="20"/>
      <c r="G1093" s="38"/>
      <c r="H1093" s="12">
        <f>SUM(H1094,H1095,H1096,H1097)</f>
        <v>0</v>
      </c>
    </row>
    <row r="1094" spans="1:10" s="13" customFormat="1" ht="409.6" hidden="1" x14ac:dyDescent="0.3">
      <c r="A1094" s="15" t="s">
        <v>2516</v>
      </c>
      <c r="B1094" s="15" t="s">
        <v>30</v>
      </c>
      <c r="C1094" s="15" t="s">
        <v>2517</v>
      </c>
      <c r="D1094" s="15" t="s">
        <v>2518</v>
      </c>
      <c r="E1094" s="13">
        <v>5</v>
      </c>
      <c r="F1094" s="13" t="s">
        <v>60</v>
      </c>
      <c r="G1094" s="40"/>
      <c r="H1094" s="14" t="str">
        <f>IF(AND(ISNUMBER(E1094),ISNUMBER(G1094)),ROUND(PRODUCT(PRODUCT(E1094, G1094), 1 - J1094), 2),"")</f>
        <v/>
      </c>
      <c r="I1094" s="13" t="s">
        <v>30</v>
      </c>
      <c r="J1094" s="13">
        <v>0</v>
      </c>
    </row>
    <row r="1095" spans="1:10" s="13" customFormat="1" ht="409.6" hidden="1" x14ac:dyDescent="0.3">
      <c r="A1095" s="15" t="s">
        <v>2519</v>
      </c>
      <c r="B1095" s="15" t="s">
        <v>30</v>
      </c>
      <c r="C1095" s="15" t="s">
        <v>2517</v>
      </c>
      <c r="D1095" s="15" t="s">
        <v>2520</v>
      </c>
      <c r="E1095" s="13">
        <v>12</v>
      </c>
      <c r="F1095" s="13" t="s">
        <v>60</v>
      </c>
      <c r="G1095" s="40"/>
      <c r="H1095" s="14" t="str">
        <f>IF(AND(ISNUMBER(E1095),ISNUMBER(G1095)),ROUND(PRODUCT(PRODUCT(E1095, G1095), 1 - J1095), 2),"")</f>
        <v/>
      </c>
      <c r="I1095" s="13" t="s">
        <v>30</v>
      </c>
      <c r="J1095" s="13">
        <v>0</v>
      </c>
    </row>
    <row r="1096" spans="1:10" s="13" customFormat="1" ht="259.2" hidden="1" x14ac:dyDescent="0.3">
      <c r="A1096" s="15" t="s">
        <v>2521</v>
      </c>
      <c r="B1096" s="15" t="s">
        <v>30</v>
      </c>
      <c r="C1096" s="15" t="s">
        <v>2511</v>
      </c>
      <c r="D1096" s="15" t="s">
        <v>2509</v>
      </c>
      <c r="E1096" s="13">
        <v>120</v>
      </c>
      <c r="F1096" s="13" t="s">
        <v>643</v>
      </c>
      <c r="G1096" s="40"/>
      <c r="H1096" s="14" t="str">
        <f>IF(AND(ISNUMBER(E1096),ISNUMBER(G1096)),ROUND(PRODUCT(PRODUCT(E1096, G1096), 1 - J1096), 2),"")</f>
        <v/>
      </c>
      <c r="I1096" s="13" t="s">
        <v>30</v>
      </c>
      <c r="J1096" s="13">
        <v>0</v>
      </c>
    </row>
    <row r="1097" spans="1:10" s="13" customFormat="1" ht="259.2" hidden="1" x14ac:dyDescent="0.3">
      <c r="A1097" s="15" t="s">
        <v>2522</v>
      </c>
      <c r="B1097" s="15" t="s">
        <v>30</v>
      </c>
      <c r="C1097" s="15" t="s">
        <v>2508</v>
      </c>
      <c r="D1097" s="15" t="s">
        <v>2509</v>
      </c>
      <c r="E1097" s="13">
        <v>155</v>
      </c>
      <c r="F1097" s="13" t="s">
        <v>643</v>
      </c>
      <c r="G1097" s="40"/>
      <c r="H1097" s="14" t="str">
        <f>IF(AND(ISNUMBER(E1097),ISNUMBER(G1097)),ROUND(PRODUCT(PRODUCT(E1097, G1097), 1 - J1097), 2),"")</f>
        <v/>
      </c>
      <c r="I1097" s="13" t="s">
        <v>30</v>
      </c>
      <c r="J1097" s="13">
        <v>0</v>
      </c>
    </row>
    <row r="1098" spans="1:10" s="11" customFormat="1" ht="43.2" hidden="1" x14ac:dyDescent="0.3">
      <c r="A1098" s="20" t="s">
        <v>2523</v>
      </c>
      <c r="B1098" s="20"/>
      <c r="C1098" s="20" t="s">
        <v>2115</v>
      </c>
      <c r="D1098" s="20"/>
      <c r="G1098" s="38"/>
      <c r="H1098" s="12">
        <v>0</v>
      </c>
    </row>
    <row r="1099" spans="1:10" s="11" customFormat="1" hidden="1" x14ac:dyDescent="0.3">
      <c r="A1099" s="20" t="s">
        <v>2524</v>
      </c>
      <c r="B1099" s="20"/>
      <c r="C1099" s="20" t="s">
        <v>2117</v>
      </c>
      <c r="D1099" s="20"/>
      <c r="G1099" s="38"/>
      <c r="H1099" s="12">
        <v>0</v>
      </c>
    </row>
    <row r="1100" spans="1:10" s="11" customFormat="1" hidden="1" x14ac:dyDescent="0.3">
      <c r="A1100" s="20" t="s">
        <v>2525</v>
      </c>
      <c r="B1100" s="20"/>
      <c r="C1100" s="20" t="s">
        <v>810</v>
      </c>
      <c r="D1100" s="20"/>
      <c r="G1100" s="38"/>
      <c r="H1100" s="12">
        <v>0</v>
      </c>
    </row>
    <row r="1101" spans="1:10" s="11" customFormat="1" hidden="1" x14ac:dyDescent="0.3">
      <c r="A1101" s="20" t="s">
        <v>2526</v>
      </c>
      <c r="B1101" s="20"/>
      <c r="C1101" s="20" t="s">
        <v>812</v>
      </c>
      <c r="D1101" s="20"/>
      <c r="G1101" s="38"/>
      <c r="H1101" s="12">
        <v>0</v>
      </c>
    </row>
    <row r="1102" spans="1:10" s="11" customFormat="1" hidden="1" x14ac:dyDescent="0.3">
      <c r="A1102" s="20" t="s">
        <v>2527</v>
      </c>
      <c r="B1102" s="20"/>
      <c r="C1102" s="20" t="s">
        <v>2528</v>
      </c>
      <c r="D1102" s="20"/>
      <c r="G1102" s="38"/>
      <c r="H1102" s="12">
        <f>SUM(H1103,H1104,H1105,H1106,H1107,H1108,H1109)</f>
        <v>0</v>
      </c>
    </row>
    <row r="1103" spans="1:10" s="11" customFormat="1" hidden="1" x14ac:dyDescent="0.3">
      <c r="A1103" s="20" t="s">
        <v>2529</v>
      </c>
      <c r="B1103" s="20"/>
      <c r="C1103" s="20" t="s">
        <v>2095</v>
      </c>
      <c r="D1103" s="20"/>
      <c r="G1103" s="38"/>
      <c r="H1103" s="12">
        <v>0</v>
      </c>
    </row>
    <row r="1104" spans="1:10" s="11" customFormat="1" hidden="1" x14ac:dyDescent="0.3">
      <c r="A1104" s="20" t="s">
        <v>2530</v>
      </c>
      <c r="B1104" s="20"/>
      <c r="C1104" s="20" t="s">
        <v>2531</v>
      </c>
      <c r="D1104" s="20"/>
      <c r="G1104" s="38"/>
      <c r="H1104" s="12">
        <v>0</v>
      </c>
    </row>
    <row r="1105" spans="1:8" s="11" customFormat="1" ht="43.2" hidden="1" x14ac:dyDescent="0.3">
      <c r="A1105" s="20" t="s">
        <v>2532</v>
      </c>
      <c r="B1105" s="20"/>
      <c r="C1105" s="20" t="s">
        <v>2533</v>
      </c>
      <c r="D1105" s="20"/>
      <c r="G1105" s="38"/>
      <c r="H1105" s="12">
        <v>0</v>
      </c>
    </row>
    <row r="1106" spans="1:8" s="11" customFormat="1" ht="43.2" hidden="1" x14ac:dyDescent="0.3">
      <c r="A1106" s="20" t="s">
        <v>2534</v>
      </c>
      <c r="B1106" s="20"/>
      <c r="C1106" s="20" t="s">
        <v>2535</v>
      </c>
      <c r="D1106" s="20"/>
      <c r="G1106" s="38"/>
      <c r="H1106" s="12">
        <v>0</v>
      </c>
    </row>
    <row r="1107" spans="1:8" s="11" customFormat="1" ht="28.8" hidden="1" x14ac:dyDescent="0.3">
      <c r="A1107" s="20" t="s">
        <v>2536</v>
      </c>
      <c r="B1107" s="20"/>
      <c r="C1107" s="20" t="s">
        <v>2537</v>
      </c>
      <c r="D1107" s="20"/>
      <c r="G1107" s="38"/>
      <c r="H1107" s="12">
        <v>0</v>
      </c>
    </row>
    <row r="1108" spans="1:8" s="11" customFormat="1" hidden="1" x14ac:dyDescent="0.3">
      <c r="A1108" s="20" t="s">
        <v>2538</v>
      </c>
      <c r="B1108" s="20"/>
      <c r="C1108" s="20" t="s">
        <v>2452</v>
      </c>
      <c r="D1108" s="20"/>
      <c r="G1108" s="38"/>
      <c r="H1108" s="12">
        <v>0</v>
      </c>
    </row>
    <row r="1109" spans="1:8" s="11" customFormat="1" hidden="1" x14ac:dyDescent="0.3">
      <c r="A1109" s="20" t="s">
        <v>2539</v>
      </c>
      <c r="B1109" s="20"/>
      <c r="C1109" s="20" t="s">
        <v>812</v>
      </c>
      <c r="D1109" s="20"/>
      <c r="G1109" s="38"/>
      <c r="H1109" s="12">
        <v>0</v>
      </c>
    </row>
    <row r="1110" spans="1:8" s="11" customFormat="1" ht="28.8" hidden="1" x14ac:dyDescent="0.3">
      <c r="A1110" s="20" t="s">
        <v>2540</v>
      </c>
      <c r="B1110" s="20"/>
      <c r="C1110" s="20" t="s">
        <v>2541</v>
      </c>
      <c r="D1110" s="20"/>
      <c r="G1110" s="38"/>
      <c r="H1110" s="12">
        <f>SUM(H1111,H1112,H1113,H1114,H1115,H1116)</f>
        <v>0</v>
      </c>
    </row>
    <row r="1111" spans="1:8" s="11" customFormat="1" hidden="1" x14ac:dyDescent="0.3">
      <c r="A1111" s="20" t="s">
        <v>2542</v>
      </c>
      <c r="B1111" s="20"/>
      <c r="C1111" s="20" t="s">
        <v>2095</v>
      </c>
      <c r="D1111" s="20"/>
      <c r="G1111" s="38"/>
      <c r="H1111" s="12">
        <v>0</v>
      </c>
    </row>
    <row r="1112" spans="1:8" s="11" customFormat="1" ht="28.8" hidden="1" x14ac:dyDescent="0.3">
      <c r="A1112" s="20" t="s">
        <v>2543</v>
      </c>
      <c r="B1112" s="20"/>
      <c r="C1112" s="20" t="s">
        <v>2544</v>
      </c>
      <c r="D1112" s="20"/>
      <c r="G1112" s="38"/>
      <c r="H1112" s="12">
        <v>0</v>
      </c>
    </row>
    <row r="1113" spans="1:8" s="11" customFormat="1" ht="43.2" hidden="1" x14ac:dyDescent="0.3">
      <c r="A1113" s="20" t="s">
        <v>2545</v>
      </c>
      <c r="B1113" s="20"/>
      <c r="C1113" s="20" t="s">
        <v>2546</v>
      </c>
      <c r="D1113" s="20"/>
      <c r="G1113" s="38"/>
      <c r="H1113" s="12">
        <v>0</v>
      </c>
    </row>
    <row r="1114" spans="1:8" s="11" customFormat="1" hidden="1" x14ac:dyDescent="0.3">
      <c r="A1114" s="20" t="s">
        <v>2547</v>
      </c>
      <c r="B1114" s="20"/>
      <c r="C1114" s="20" t="s">
        <v>2548</v>
      </c>
      <c r="D1114" s="20"/>
      <c r="G1114" s="38"/>
      <c r="H1114" s="12">
        <v>0</v>
      </c>
    </row>
    <row r="1115" spans="1:8" s="11" customFormat="1" hidden="1" x14ac:dyDescent="0.3">
      <c r="A1115" s="20" t="s">
        <v>2549</v>
      </c>
      <c r="B1115" s="20"/>
      <c r="C1115" s="20" t="s">
        <v>2452</v>
      </c>
      <c r="D1115" s="20"/>
      <c r="G1115" s="38"/>
      <c r="H1115" s="12">
        <v>0</v>
      </c>
    </row>
    <row r="1116" spans="1:8" s="11" customFormat="1" hidden="1" x14ac:dyDescent="0.3">
      <c r="A1116" s="20" t="s">
        <v>2550</v>
      </c>
      <c r="B1116" s="20"/>
      <c r="C1116" s="20" t="s">
        <v>810</v>
      </c>
      <c r="D1116" s="20"/>
      <c r="G1116" s="38"/>
      <c r="H1116" s="12">
        <v>0</v>
      </c>
    </row>
    <row r="1117" spans="1:8" s="11" customFormat="1" hidden="1" x14ac:dyDescent="0.3">
      <c r="A1117" s="20" t="s">
        <v>2551</v>
      </c>
      <c r="B1117" s="20"/>
      <c r="C1117" s="20" t="s">
        <v>2552</v>
      </c>
      <c r="D1117" s="20"/>
      <c r="G1117" s="38"/>
      <c r="H1117" s="12">
        <f>SUM(H1118,H1119,H1120,H1121,H1122,H1123,H1124,H1125,H1126)</f>
        <v>0</v>
      </c>
    </row>
    <row r="1118" spans="1:8" s="11" customFormat="1" hidden="1" x14ac:dyDescent="0.3">
      <c r="A1118" s="20" t="s">
        <v>2553</v>
      </c>
      <c r="B1118" s="20"/>
      <c r="C1118" s="20" t="s">
        <v>2554</v>
      </c>
      <c r="D1118" s="20"/>
      <c r="G1118" s="38"/>
      <c r="H1118" s="12">
        <v>0</v>
      </c>
    </row>
    <row r="1119" spans="1:8" s="11" customFormat="1" hidden="1" x14ac:dyDescent="0.3">
      <c r="A1119" s="20" t="s">
        <v>2555</v>
      </c>
      <c r="B1119" s="20"/>
      <c r="C1119" s="20" t="s">
        <v>2556</v>
      </c>
      <c r="D1119" s="20"/>
      <c r="G1119" s="38"/>
      <c r="H1119" s="12">
        <v>0</v>
      </c>
    </row>
    <row r="1120" spans="1:8" s="11" customFormat="1" ht="28.8" hidden="1" x14ac:dyDescent="0.3">
      <c r="A1120" s="20" t="s">
        <v>2557</v>
      </c>
      <c r="B1120" s="20"/>
      <c r="C1120" s="20" t="s">
        <v>2558</v>
      </c>
      <c r="D1120" s="20"/>
      <c r="G1120" s="38"/>
      <c r="H1120" s="12">
        <v>0</v>
      </c>
    </row>
    <row r="1121" spans="1:8" s="11" customFormat="1" ht="28.8" hidden="1" x14ac:dyDescent="0.3">
      <c r="A1121" s="20" t="s">
        <v>2559</v>
      </c>
      <c r="B1121" s="20"/>
      <c r="C1121" s="20" t="s">
        <v>2560</v>
      </c>
      <c r="D1121" s="20"/>
      <c r="G1121" s="38"/>
      <c r="H1121" s="12">
        <v>0</v>
      </c>
    </row>
    <row r="1122" spans="1:8" s="11" customFormat="1" ht="28.8" hidden="1" x14ac:dyDescent="0.3">
      <c r="A1122" s="20" t="s">
        <v>2561</v>
      </c>
      <c r="B1122" s="20"/>
      <c r="C1122" s="20" t="s">
        <v>2562</v>
      </c>
      <c r="D1122" s="20"/>
      <c r="G1122" s="38"/>
      <c r="H1122" s="12">
        <v>0</v>
      </c>
    </row>
    <row r="1123" spans="1:8" s="11" customFormat="1" hidden="1" x14ac:dyDescent="0.3">
      <c r="A1123" s="20" t="s">
        <v>2563</v>
      </c>
      <c r="B1123" s="20"/>
      <c r="C1123" s="20" t="s">
        <v>2564</v>
      </c>
      <c r="D1123" s="20"/>
      <c r="G1123" s="38"/>
      <c r="H1123" s="12">
        <v>0</v>
      </c>
    </row>
    <row r="1124" spans="1:8" s="11" customFormat="1" ht="28.8" hidden="1" x14ac:dyDescent="0.3">
      <c r="A1124" s="20" t="s">
        <v>2565</v>
      </c>
      <c r="B1124" s="20"/>
      <c r="C1124" s="20" t="s">
        <v>2566</v>
      </c>
      <c r="D1124" s="20"/>
      <c r="G1124" s="38"/>
      <c r="H1124" s="12">
        <v>0</v>
      </c>
    </row>
    <row r="1125" spans="1:8" s="11" customFormat="1" hidden="1" x14ac:dyDescent="0.3">
      <c r="A1125" s="20" t="s">
        <v>2567</v>
      </c>
      <c r="B1125" s="20"/>
      <c r="C1125" s="20" t="s">
        <v>2568</v>
      </c>
      <c r="D1125" s="20"/>
      <c r="G1125" s="38"/>
      <c r="H1125" s="12">
        <v>0</v>
      </c>
    </row>
    <row r="1126" spans="1:8" s="11" customFormat="1" ht="28.8" hidden="1" x14ac:dyDescent="0.3">
      <c r="A1126" s="20" t="s">
        <v>2569</v>
      </c>
      <c r="B1126" s="20"/>
      <c r="C1126" s="20" t="s">
        <v>2570</v>
      </c>
      <c r="D1126" s="20"/>
      <c r="G1126" s="38"/>
      <c r="H1126" s="12">
        <v>0</v>
      </c>
    </row>
    <row r="1127" spans="1:8" s="11" customFormat="1" hidden="1" x14ac:dyDescent="0.3">
      <c r="A1127" s="20" t="s">
        <v>2571</v>
      </c>
      <c r="B1127" s="20"/>
      <c r="C1127" s="20" t="s">
        <v>2572</v>
      </c>
      <c r="D1127" s="20"/>
      <c r="G1127" s="38"/>
      <c r="H1127" s="12">
        <f>SUM(H1128,H1129,H1130,H1131,H1132,H1133,H1134,H1135,H1136,H1137,H1138,H1139,H1140,H1141,H1142,H1143,H1144,H1145,H1146,H1147,H1148)</f>
        <v>0</v>
      </c>
    </row>
    <row r="1128" spans="1:8" s="11" customFormat="1" hidden="1" x14ac:dyDescent="0.3">
      <c r="A1128" s="20" t="s">
        <v>2573</v>
      </c>
      <c r="B1128" s="20"/>
      <c r="C1128" s="20" t="s">
        <v>2095</v>
      </c>
      <c r="D1128" s="20"/>
      <c r="G1128" s="38"/>
      <c r="H1128" s="12">
        <v>0</v>
      </c>
    </row>
    <row r="1129" spans="1:8" s="11" customFormat="1" hidden="1" x14ac:dyDescent="0.3">
      <c r="A1129" s="20" t="s">
        <v>2574</v>
      </c>
      <c r="B1129" s="20"/>
      <c r="C1129" s="20" t="s">
        <v>2575</v>
      </c>
      <c r="D1129" s="20"/>
      <c r="G1129" s="38"/>
      <c r="H1129" s="12">
        <v>0</v>
      </c>
    </row>
    <row r="1130" spans="1:8" s="11" customFormat="1" hidden="1" x14ac:dyDescent="0.3">
      <c r="A1130" s="20" t="s">
        <v>2576</v>
      </c>
      <c r="B1130" s="20"/>
      <c r="C1130" s="20" t="s">
        <v>2577</v>
      </c>
      <c r="D1130" s="20"/>
      <c r="G1130" s="38"/>
      <c r="H1130" s="12">
        <v>0</v>
      </c>
    </row>
    <row r="1131" spans="1:8" s="11" customFormat="1" ht="28.8" hidden="1" x14ac:dyDescent="0.3">
      <c r="A1131" s="20" t="s">
        <v>2578</v>
      </c>
      <c r="B1131" s="20"/>
      <c r="C1131" s="20" t="s">
        <v>2579</v>
      </c>
      <c r="D1131" s="20"/>
      <c r="G1131" s="38"/>
      <c r="H1131" s="12">
        <v>0</v>
      </c>
    </row>
    <row r="1132" spans="1:8" s="11" customFormat="1" hidden="1" x14ac:dyDescent="0.3">
      <c r="A1132" s="20" t="s">
        <v>2580</v>
      </c>
      <c r="B1132" s="20"/>
      <c r="C1132" s="20" t="s">
        <v>2581</v>
      </c>
      <c r="D1132" s="20"/>
      <c r="G1132" s="38"/>
      <c r="H1132" s="12">
        <v>0</v>
      </c>
    </row>
    <row r="1133" spans="1:8" s="11" customFormat="1" ht="28.8" hidden="1" x14ac:dyDescent="0.3">
      <c r="A1133" s="20" t="s">
        <v>2582</v>
      </c>
      <c r="B1133" s="20"/>
      <c r="C1133" s="20" t="s">
        <v>2583</v>
      </c>
      <c r="D1133" s="20"/>
      <c r="G1133" s="38"/>
      <c r="H1133" s="12">
        <v>0</v>
      </c>
    </row>
    <row r="1134" spans="1:8" s="11" customFormat="1" hidden="1" x14ac:dyDescent="0.3">
      <c r="A1134" s="20" t="s">
        <v>2584</v>
      </c>
      <c r="B1134" s="20"/>
      <c r="C1134" s="20" t="s">
        <v>2585</v>
      </c>
      <c r="D1134" s="20"/>
      <c r="G1134" s="38"/>
      <c r="H1134" s="12">
        <v>0</v>
      </c>
    </row>
    <row r="1135" spans="1:8" s="11" customFormat="1" hidden="1" x14ac:dyDescent="0.3">
      <c r="A1135" s="20" t="s">
        <v>2586</v>
      </c>
      <c r="B1135" s="20"/>
      <c r="C1135" s="20" t="s">
        <v>2587</v>
      </c>
      <c r="D1135" s="20"/>
      <c r="G1135" s="38"/>
      <c r="H1135" s="12">
        <v>0</v>
      </c>
    </row>
    <row r="1136" spans="1:8" s="11" customFormat="1" ht="28.8" hidden="1" x14ac:dyDescent="0.3">
      <c r="A1136" s="20" t="s">
        <v>2588</v>
      </c>
      <c r="B1136" s="20"/>
      <c r="C1136" s="20" t="s">
        <v>2589</v>
      </c>
      <c r="D1136" s="20"/>
      <c r="G1136" s="38"/>
      <c r="H1136" s="12">
        <v>0</v>
      </c>
    </row>
    <row r="1137" spans="1:8" s="11" customFormat="1" hidden="1" x14ac:dyDescent="0.3">
      <c r="A1137" s="20" t="s">
        <v>2590</v>
      </c>
      <c r="B1137" s="20"/>
      <c r="C1137" s="20" t="s">
        <v>2591</v>
      </c>
      <c r="D1137" s="20"/>
      <c r="G1137" s="38"/>
      <c r="H1137" s="12">
        <v>0</v>
      </c>
    </row>
    <row r="1138" spans="1:8" s="11" customFormat="1" hidden="1" x14ac:dyDescent="0.3">
      <c r="A1138" s="20" t="s">
        <v>2592</v>
      </c>
      <c r="B1138" s="20"/>
      <c r="C1138" s="20" t="s">
        <v>2593</v>
      </c>
      <c r="D1138" s="20"/>
      <c r="G1138" s="38"/>
      <c r="H1138" s="12">
        <v>0</v>
      </c>
    </row>
    <row r="1139" spans="1:8" s="11" customFormat="1" hidden="1" x14ac:dyDescent="0.3">
      <c r="A1139" s="20" t="s">
        <v>2594</v>
      </c>
      <c r="B1139" s="20"/>
      <c r="C1139" s="20" t="s">
        <v>2595</v>
      </c>
      <c r="D1139" s="20"/>
      <c r="G1139" s="38"/>
      <c r="H1139" s="12">
        <v>0</v>
      </c>
    </row>
    <row r="1140" spans="1:8" s="11" customFormat="1" ht="43.2" hidden="1" x14ac:dyDescent="0.3">
      <c r="A1140" s="20" t="s">
        <v>2596</v>
      </c>
      <c r="B1140" s="20"/>
      <c r="C1140" s="20" t="s">
        <v>2597</v>
      </c>
      <c r="D1140" s="20"/>
      <c r="G1140" s="38"/>
      <c r="H1140" s="12">
        <v>0</v>
      </c>
    </row>
    <row r="1141" spans="1:8" s="11" customFormat="1" hidden="1" x14ac:dyDescent="0.3">
      <c r="A1141" s="20" t="s">
        <v>2598</v>
      </c>
      <c r="B1141" s="20"/>
      <c r="C1141" s="20" t="s">
        <v>2599</v>
      </c>
      <c r="D1141" s="20"/>
      <c r="G1141" s="38"/>
      <c r="H1141" s="12">
        <v>0</v>
      </c>
    </row>
    <row r="1142" spans="1:8" s="11" customFormat="1" ht="28.8" hidden="1" x14ac:dyDescent="0.3">
      <c r="A1142" s="20" t="s">
        <v>2600</v>
      </c>
      <c r="B1142" s="20"/>
      <c r="C1142" s="20" t="s">
        <v>2601</v>
      </c>
      <c r="D1142" s="20"/>
      <c r="G1142" s="38"/>
      <c r="H1142" s="12">
        <v>0</v>
      </c>
    </row>
    <row r="1143" spans="1:8" s="11" customFormat="1" hidden="1" x14ac:dyDescent="0.3">
      <c r="A1143" s="20" t="s">
        <v>2602</v>
      </c>
      <c r="B1143" s="20"/>
      <c r="C1143" s="20" t="s">
        <v>2603</v>
      </c>
      <c r="D1143" s="20"/>
      <c r="G1143" s="38"/>
      <c r="H1143" s="12">
        <v>0</v>
      </c>
    </row>
    <row r="1144" spans="1:8" s="11" customFormat="1" ht="43.2" hidden="1" x14ac:dyDescent="0.3">
      <c r="A1144" s="20" t="s">
        <v>2604</v>
      </c>
      <c r="B1144" s="20"/>
      <c r="C1144" s="20" t="s">
        <v>2605</v>
      </c>
      <c r="D1144" s="20"/>
      <c r="G1144" s="38"/>
      <c r="H1144" s="12">
        <v>0</v>
      </c>
    </row>
    <row r="1145" spans="1:8" s="11" customFormat="1" ht="28.8" hidden="1" x14ac:dyDescent="0.3">
      <c r="A1145" s="20" t="s">
        <v>2606</v>
      </c>
      <c r="B1145" s="20"/>
      <c r="C1145" s="20" t="s">
        <v>2607</v>
      </c>
      <c r="D1145" s="20"/>
      <c r="G1145" s="38"/>
      <c r="H1145" s="12">
        <v>0</v>
      </c>
    </row>
    <row r="1146" spans="1:8" s="11" customFormat="1" hidden="1" x14ac:dyDescent="0.3">
      <c r="A1146" s="20" t="s">
        <v>2608</v>
      </c>
      <c r="B1146" s="20"/>
      <c r="C1146" s="20" t="s">
        <v>2452</v>
      </c>
      <c r="D1146" s="20"/>
      <c r="G1146" s="38"/>
      <c r="H1146" s="12">
        <v>0</v>
      </c>
    </row>
    <row r="1147" spans="1:8" s="11" customFormat="1" hidden="1" x14ac:dyDescent="0.3">
      <c r="A1147" s="20" t="s">
        <v>2609</v>
      </c>
      <c r="B1147" s="20"/>
      <c r="C1147" s="20" t="s">
        <v>810</v>
      </c>
      <c r="D1147" s="20"/>
      <c r="G1147" s="38"/>
      <c r="H1147" s="12">
        <v>0</v>
      </c>
    </row>
    <row r="1148" spans="1:8" s="11" customFormat="1" hidden="1" x14ac:dyDescent="0.3">
      <c r="A1148" s="20" t="s">
        <v>2610</v>
      </c>
      <c r="B1148" s="20"/>
      <c r="C1148" s="20" t="s">
        <v>812</v>
      </c>
      <c r="D1148" s="20"/>
      <c r="G1148" s="38"/>
      <c r="H1148" s="12">
        <v>0</v>
      </c>
    </row>
    <row r="1149" spans="1:8" s="11" customFormat="1" ht="57.6" hidden="1" x14ac:dyDescent="0.3">
      <c r="A1149" s="20" t="s">
        <v>2611</v>
      </c>
      <c r="B1149" s="20"/>
      <c r="C1149" s="20" t="s">
        <v>2612</v>
      </c>
      <c r="D1149" s="20"/>
      <c r="G1149" s="38"/>
      <c r="H1149" s="12">
        <f>SUM(H1150,H1151,H1152,H1153,H1154,H1155,H1156,H1157)</f>
        <v>0</v>
      </c>
    </row>
    <row r="1150" spans="1:8" s="11" customFormat="1" hidden="1" x14ac:dyDescent="0.3">
      <c r="A1150" s="20" t="s">
        <v>2613</v>
      </c>
      <c r="B1150" s="20"/>
      <c r="C1150" s="20" t="s">
        <v>2614</v>
      </c>
      <c r="D1150" s="20"/>
      <c r="G1150" s="38"/>
      <c r="H1150" s="12">
        <v>0</v>
      </c>
    </row>
    <row r="1151" spans="1:8" s="11" customFormat="1" ht="28.8" hidden="1" x14ac:dyDescent="0.3">
      <c r="A1151" s="20" t="s">
        <v>2615</v>
      </c>
      <c r="B1151" s="20"/>
      <c r="C1151" s="20" t="s">
        <v>2616</v>
      </c>
      <c r="D1151" s="20"/>
      <c r="G1151" s="38"/>
      <c r="H1151" s="12">
        <v>0</v>
      </c>
    </row>
    <row r="1152" spans="1:8" s="11" customFormat="1" hidden="1" x14ac:dyDescent="0.3">
      <c r="A1152" s="20" t="s">
        <v>2617</v>
      </c>
      <c r="B1152" s="20"/>
      <c r="C1152" s="20" t="s">
        <v>2618</v>
      </c>
      <c r="D1152" s="20"/>
      <c r="G1152" s="38"/>
      <c r="H1152" s="12">
        <v>0</v>
      </c>
    </row>
    <row r="1153" spans="1:10" s="11" customFormat="1" ht="28.8" hidden="1" x14ac:dyDescent="0.3">
      <c r="A1153" s="20" t="s">
        <v>2619</v>
      </c>
      <c r="B1153" s="20"/>
      <c r="C1153" s="20" t="s">
        <v>2620</v>
      </c>
      <c r="D1153" s="20"/>
      <c r="G1153" s="38"/>
      <c r="H1153" s="12">
        <v>0</v>
      </c>
    </row>
    <row r="1154" spans="1:10" s="11" customFormat="1" hidden="1" x14ac:dyDescent="0.3">
      <c r="A1154" s="20" t="s">
        <v>2621</v>
      </c>
      <c r="B1154" s="20"/>
      <c r="C1154" s="20" t="s">
        <v>2622</v>
      </c>
      <c r="D1154" s="20"/>
      <c r="G1154" s="38"/>
      <c r="H1154" s="12">
        <v>0</v>
      </c>
    </row>
    <row r="1155" spans="1:10" s="11" customFormat="1" hidden="1" x14ac:dyDescent="0.3">
      <c r="A1155" s="20" t="s">
        <v>2623</v>
      </c>
      <c r="B1155" s="20"/>
      <c r="C1155" s="20" t="s">
        <v>2624</v>
      </c>
      <c r="D1155" s="20"/>
      <c r="G1155" s="38"/>
      <c r="H1155" s="12">
        <v>0</v>
      </c>
    </row>
    <row r="1156" spans="1:10" s="11" customFormat="1" hidden="1" x14ac:dyDescent="0.3">
      <c r="A1156" s="20" t="s">
        <v>2625</v>
      </c>
      <c r="B1156" s="20"/>
      <c r="C1156" s="20" t="s">
        <v>2626</v>
      </c>
      <c r="D1156" s="20"/>
      <c r="G1156" s="38"/>
      <c r="H1156" s="12">
        <v>0</v>
      </c>
    </row>
    <row r="1157" spans="1:10" s="11" customFormat="1" ht="43.2" hidden="1" x14ac:dyDescent="0.3">
      <c r="A1157" s="20" t="s">
        <v>2627</v>
      </c>
      <c r="B1157" s="20"/>
      <c r="C1157" s="20" t="s">
        <v>2115</v>
      </c>
      <c r="D1157" s="20"/>
      <c r="G1157" s="38"/>
      <c r="H1157" s="12">
        <v>0</v>
      </c>
    </row>
    <row r="1158" spans="1:10" s="11" customFormat="1" hidden="1" x14ac:dyDescent="0.3">
      <c r="A1158" s="20" t="s">
        <v>2628</v>
      </c>
      <c r="B1158" s="20"/>
      <c r="C1158" s="20" t="s">
        <v>2629</v>
      </c>
      <c r="D1158" s="20"/>
      <c r="G1158" s="38"/>
      <c r="H1158" s="12">
        <v>0</v>
      </c>
    </row>
    <row r="1159" spans="1:10" s="11" customFormat="1" hidden="1" x14ac:dyDescent="0.3">
      <c r="A1159" s="20" t="s">
        <v>2630</v>
      </c>
      <c r="B1159" s="20"/>
      <c r="C1159" s="20" t="s">
        <v>2631</v>
      </c>
      <c r="D1159" s="20"/>
      <c r="G1159" s="38"/>
      <c r="H1159" s="12">
        <f>SUM(H1160,H1163,H1170,H1171,H1172,H1176,H1179,H1183)</f>
        <v>0</v>
      </c>
    </row>
    <row r="1160" spans="1:10" s="11" customFormat="1" hidden="1" x14ac:dyDescent="0.3">
      <c r="A1160" s="20" t="s">
        <v>2632</v>
      </c>
      <c r="B1160" s="20"/>
      <c r="C1160" s="20" t="s">
        <v>83</v>
      </c>
      <c r="D1160" s="20"/>
      <c r="G1160" s="38"/>
      <c r="H1160" s="12">
        <v>0</v>
      </c>
    </row>
    <row r="1161" spans="1:10" s="13" customFormat="1" ht="409.6" hidden="1" x14ac:dyDescent="0.3">
      <c r="A1161" s="15"/>
      <c r="B1161" s="15"/>
      <c r="C1161" s="15" t="s">
        <v>28</v>
      </c>
      <c r="D1161" s="15" t="s">
        <v>2633</v>
      </c>
      <c r="G1161" s="39"/>
      <c r="I1161" s="13" t="s">
        <v>30</v>
      </c>
    </row>
    <row r="1162" spans="1:10" s="13" customFormat="1" ht="100.8" hidden="1" x14ac:dyDescent="0.3">
      <c r="A1162" s="15"/>
      <c r="B1162" s="15"/>
      <c r="C1162" s="15" t="s">
        <v>2634</v>
      </c>
      <c r="D1162" s="15" t="s">
        <v>2635</v>
      </c>
      <c r="G1162" s="39"/>
      <c r="I1162" s="13" t="s">
        <v>30</v>
      </c>
    </row>
    <row r="1163" spans="1:10" s="11" customFormat="1" hidden="1" x14ac:dyDescent="0.3">
      <c r="A1163" s="20" t="s">
        <v>2636</v>
      </c>
      <c r="B1163" s="20"/>
      <c r="C1163" s="20" t="s">
        <v>2637</v>
      </c>
      <c r="D1163" s="20"/>
      <c r="G1163" s="38"/>
      <c r="H1163" s="12">
        <f>SUM(H1164,H1165,H1166,H1167,H1168,H1169)</f>
        <v>0</v>
      </c>
    </row>
    <row r="1164" spans="1:10" s="13" customFormat="1" ht="230.4" hidden="1" x14ac:dyDescent="0.3">
      <c r="A1164" s="15" t="s">
        <v>2638</v>
      </c>
      <c r="B1164" s="15" t="s">
        <v>30</v>
      </c>
      <c r="C1164" s="15" t="s">
        <v>2639</v>
      </c>
      <c r="D1164" s="15" t="s">
        <v>2640</v>
      </c>
      <c r="E1164" s="13">
        <v>521</v>
      </c>
      <c r="F1164" s="13" t="s">
        <v>71</v>
      </c>
      <c r="G1164" s="40"/>
      <c r="H1164" s="14" t="str">
        <f t="shared" ref="H1164:H1169" si="41">IF(AND(ISNUMBER(E1164),ISNUMBER(G1164)),ROUND(PRODUCT(PRODUCT(E1164, G1164), 1 - J1164), 2),"")</f>
        <v/>
      </c>
      <c r="I1164" s="13" t="s">
        <v>30</v>
      </c>
      <c r="J1164" s="13">
        <v>0</v>
      </c>
    </row>
    <row r="1165" spans="1:10" s="13" customFormat="1" ht="57.6" hidden="1" x14ac:dyDescent="0.3">
      <c r="A1165" s="15" t="s">
        <v>2641</v>
      </c>
      <c r="B1165" s="15" t="s">
        <v>30</v>
      </c>
      <c r="C1165" s="15" t="s">
        <v>2642</v>
      </c>
      <c r="D1165" s="15" t="s">
        <v>2643</v>
      </c>
      <c r="E1165" s="13">
        <v>24</v>
      </c>
      <c r="F1165" s="13" t="s">
        <v>60</v>
      </c>
      <c r="G1165" s="40"/>
      <c r="H1165" s="14" t="str">
        <f t="shared" si="41"/>
        <v/>
      </c>
      <c r="I1165" s="13" t="s">
        <v>30</v>
      </c>
      <c r="J1165" s="13">
        <v>0</v>
      </c>
    </row>
    <row r="1166" spans="1:10" s="13" customFormat="1" ht="230.4" hidden="1" x14ac:dyDescent="0.3">
      <c r="A1166" s="15" t="s">
        <v>2644</v>
      </c>
      <c r="B1166" s="15" t="s">
        <v>30</v>
      </c>
      <c r="C1166" s="15" t="s">
        <v>2645</v>
      </c>
      <c r="D1166" s="15" t="s">
        <v>2646</v>
      </c>
      <c r="E1166" s="13">
        <v>107.59</v>
      </c>
      <c r="F1166" s="13" t="s">
        <v>71</v>
      </c>
      <c r="G1166" s="40"/>
      <c r="H1166" s="14" t="str">
        <f t="shared" si="41"/>
        <v/>
      </c>
      <c r="I1166" s="13" t="s">
        <v>30</v>
      </c>
      <c r="J1166" s="13">
        <v>0</v>
      </c>
    </row>
    <row r="1167" spans="1:10" s="13" customFormat="1" ht="216" hidden="1" x14ac:dyDescent="0.3">
      <c r="A1167" s="15" t="s">
        <v>2647</v>
      </c>
      <c r="B1167" s="15" t="s">
        <v>30</v>
      </c>
      <c r="C1167" s="15" t="s">
        <v>2648</v>
      </c>
      <c r="D1167" s="15" t="s">
        <v>2649</v>
      </c>
      <c r="E1167" s="13">
        <v>543</v>
      </c>
      <c r="F1167" s="13" t="s">
        <v>71</v>
      </c>
      <c r="G1167" s="40"/>
      <c r="H1167" s="14" t="str">
        <f t="shared" si="41"/>
        <v/>
      </c>
      <c r="I1167" s="13" t="s">
        <v>30</v>
      </c>
      <c r="J1167" s="13">
        <v>0</v>
      </c>
    </row>
    <row r="1168" spans="1:10" s="13" customFormat="1" ht="86.4" hidden="1" x14ac:dyDescent="0.3">
      <c r="A1168" s="15" t="s">
        <v>2650</v>
      </c>
      <c r="B1168" s="15" t="s">
        <v>30</v>
      </c>
      <c r="C1168" s="15" t="s">
        <v>2651</v>
      </c>
      <c r="D1168" s="15" t="s">
        <v>2652</v>
      </c>
      <c r="E1168" s="13">
        <v>18.399999999999999</v>
      </c>
      <c r="F1168" s="13" t="s">
        <v>71</v>
      </c>
      <c r="G1168" s="40"/>
      <c r="H1168" s="14" t="str">
        <f t="shared" si="41"/>
        <v/>
      </c>
      <c r="I1168" s="13" t="s">
        <v>30</v>
      </c>
      <c r="J1168" s="13">
        <v>0</v>
      </c>
    </row>
    <row r="1169" spans="1:10" s="13" customFormat="1" ht="57.6" hidden="1" x14ac:dyDescent="0.3">
      <c r="A1169" s="15" t="s">
        <v>2653</v>
      </c>
      <c r="B1169" s="15" t="s">
        <v>30</v>
      </c>
      <c r="C1169" s="15" t="s">
        <v>2654</v>
      </c>
      <c r="D1169" s="15" t="s">
        <v>2655</v>
      </c>
      <c r="E1169" s="13">
        <v>2</v>
      </c>
      <c r="F1169" s="13" t="s">
        <v>60</v>
      </c>
      <c r="G1169" s="40"/>
      <c r="H1169" s="14" t="str">
        <f t="shared" si="41"/>
        <v/>
      </c>
      <c r="I1169" s="13" t="s">
        <v>30</v>
      </c>
      <c r="J1169" s="13">
        <v>0</v>
      </c>
    </row>
    <row r="1170" spans="1:10" s="11" customFormat="1" hidden="1" x14ac:dyDescent="0.3">
      <c r="A1170" s="20" t="s">
        <v>2656</v>
      </c>
      <c r="B1170" s="20"/>
      <c r="C1170" s="20" t="s">
        <v>2657</v>
      </c>
      <c r="D1170" s="20"/>
      <c r="G1170" s="38"/>
      <c r="H1170" s="12">
        <v>0</v>
      </c>
    </row>
    <row r="1171" spans="1:10" s="11" customFormat="1" hidden="1" x14ac:dyDescent="0.3">
      <c r="A1171" s="20" t="s">
        <v>2658</v>
      </c>
      <c r="B1171" s="20"/>
      <c r="C1171" s="20" t="s">
        <v>2659</v>
      </c>
      <c r="D1171" s="20"/>
      <c r="G1171" s="38"/>
      <c r="H1171" s="12">
        <v>0</v>
      </c>
    </row>
    <row r="1172" spans="1:10" s="11" customFormat="1" hidden="1" x14ac:dyDescent="0.3">
      <c r="A1172" s="20" t="s">
        <v>2660</v>
      </c>
      <c r="B1172" s="20"/>
      <c r="C1172" s="20" t="s">
        <v>2661</v>
      </c>
      <c r="D1172" s="20"/>
      <c r="G1172" s="38"/>
      <c r="H1172" s="12">
        <f>SUM(H1173,H1174,H1175)</f>
        <v>0</v>
      </c>
    </row>
    <row r="1173" spans="1:10" s="13" customFormat="1" ht="409.6" hidden="1" x14ac:dyDescent="0.3">
      <c r="A1173" s="15" t="s">
        <v>2662</v>
      </c>
      <c r="B1173" s="15" t="s">
        <v>30</v>
      </c>
      <c r="C1173" s="15" t="s">
        <v>2663</v>
      </c>
      <c r="D1173" s="15" t="s">
        <v>2664</v>
      </c>
      <c r="E1173" s="13">
        <v>27</v>
      </c>
      <c r="F1173" s="13" t="s">
        <v>60</v>
      </c>
      <c r="G1173" s="40"/>
      <c r="H1173" s="14" t="str">
        <f>IF(AND(ISNUMBER(E1173),ISNUMBER(G1173)),ROUND(PRODUCT(PRODUCT(E1173, G1173), 1 - J1173), 2),"")</f>
        <v/>
      </c>
      <c r="I1173" s="13" t="s">
        <v>30</v>
      </c>
      <c r="J1173" s="13">
        <v>0</v>
      </c>
    </row>
    <row r="1174" spans="1:10" s="13" customFormat="1" ht="158.4" hidden="1" x14ac:dyDescent="0.3">
      <c r="A1174" s="15" t="s">
        <v>2665</v>
      </c>
      <c r="B1174" s="15" t="s">
        <v>30</v>
      </c>
      <c r="C1174" s="15" t="s">
        <v>2666</v>
      </c>
      <c r="D1174" s="15" t="s">
        <v>2667</v>
      </c>
      <c r="E1174" s="13">
        <v>15.44</v>
      </c>
      <c r="F1174" s="13" t="s">
        <v>71</v>
      </c>
      <c r="G1174" s="40"/>
      <c r="H1174" s="14" t="str">
        <f>IF(AND(ISNUMBER(E1174),ISNUMBER(G1174)),ROUND(PRODUCT(PRODUCT(E1174, G1174), 1 - J1174), 2),"")</f>
        <v/>
      </c>
      <c r="I1174" s="13" t="s">
        <v>30</v>
      </c>
      <c r="J1174" s="13">
        <v>0</v>
      </c>
    </row>
    <row r="1175" spans="1:10" s="13" customFormat="1" ht="158.4" hidden="1" x14ac:dyDescent="0.3">
      <c r="A1175" s="15" t="s">
        <v>2668</v>
      </c>
      <c r="B1175" s="15" t="s">
        <v>30</v>
      </c>
      <c r="C1175" s="15" t="s">
        <v>2669</v>
      </c>
      <c r="D1175" s="15" t="s">
        <v>2670</v>
      </c>
      <c r="E1175" s="13">
        <v>17.16</v>
      </c>
      <c r="F1175" s="13" t="s">
        <v>71</v>
      </c>
      <c r="G1175" s="40"/>
      <c r="H1175" s="14" t="str">
        <f>IF(AND(ISNUMBER(E1175),ISNUMBER(G1175)),ROUND(PRODUCT(PRODUCT(E1175, G1175), 1 - J1175), 2),"")</f>
        <v/>
      </c>
      <c r="I1175" s="13" t="s">
        <v>30</v>
      </c>
      <c r="J1175" s="13">
        <v>0</v>
      </c>
    </row>
    <row r="1176" spans="1:10" s="11" customFormat="1" hidden="1" x14ac:dyDescent="0.3">
      <c r="A1176" s="20" t="s">
        <v>2671</v>
      </c>
      <c r="B1176" s="20"/>
      <c r="C1176" s="20" t="s">
        <v>2672</v>
      </c>
      <c r="D1176" s="20"/>
      <c r="G1176" s="38"/>
      <c r="H1176" s="12">
        <f>SUM(H1177,H1178)</f>
        <v>0</v>
      </c>
    </row>
    <row r="1177" spans="1:10" s="13" customFormat="1" ht="158.4" hidden="1" x14ac:dyDescent="0.3">
      <c r="A1177" s="15" t="s">
        <v>2673</v>
      </c>
      <c r="B1177" s="15" t="s">
        <v>30</v>
      </c>
      <c r="C1177" s="15" t="s">
        <v>2674</v>
      </c>
      <c r="D1177" s="15" t="s">
        <v>2675</v>
      </c>
      <c r="E1177" s="13">
        <v>310.77999999999997</v>
      </c>
      <c r="F1177" s="13" t="s">
        <v>100</v>
      </c>
      <c r="G1177" s="40"/>
      <c r="H1177" s="14" t="str">
        <f>IF(AND(ISNUMBER(E1177),ISNUMBER(G1177)),ROUND(PRODUCT(PRODUCT(E1177, G1177), 1 - J1177), 2),"")</f>
        <v/>
      </c>
      <c r="I1177" s="13" t="s">
        <v>30</v>
      </c>
      <c r="J1177" s="13">
        <v>0</v>
      </c>
    </row>
    <row r="1178" spans="1:10" s="13" customFormat="1" ht="172.8" hidden="1" x14ac:dyDescent="0.3">
      <c r="A1178" s="15" t="s">
        <v>2676</v>
      </c>
      <c r="B1178" s="15" t="s">
        <v>30</v>
      </c>
      <c r="C1178" s="15" t="s">
        <v>2677</v>
      </c>
      <c r="D1178" s="15" t="s">
        <v>2678</v>
      </c>
      <c r="E1178" s="13">
        <v>81.430000000000007</v>
      </c>
      <c r="F1178" s="13" t="s">
        <v>100</v>
      </c>
      <c r="G1178" s="40"/>
      <c r="H1178" s="14" t="str">
        <f>IF(AND(ISNUMBER(E1178),ISNUMBER(G1178)),ROUND(PRODUCT(PRODUCT(E1178, G1178), 1 - J1178), 2),"")</f>
        <v/>
      </c>
      <c r="I1178" s="13" t="s">
        <v>30</v>
      </c>
      <c r="J1178" s="13">
        <v>0</v>
      </c>
    </row>
    <row r="1179" spans="1:10" s="11" customFormat="1" hidden="1" x14ac:dyDescent="0.3">
      <c r="A1179" s="20" t="s">
        <v>2679</v>
      </c>
      <c r="B1179" s="20"/>
      <c r="C1179" s="20" t="s">
        <v>2680</v>
      </c>
      <c r="D1179" s="20"/>
      <c r="G1179" s="38"/>
      <c r="H1179" s="12">
        <f>SUM(H1180,H1181,H1182)</f>
        <v>0</v>
      </c>
    </row>
    <row r="1180" spans="1:10" s="13" customFormat="1" ht="201.6" hidden="1" x14ac:dyDescent="0.3">
      <c r="A1180" s="15" t="s">
        <v>2681</v>
      </c>
      <c r="B1180" s="15" t="s">
        <v>30</v>
      </c>
      <c r="C1180" s="15" t="s">
        <v>2682</v>
      </c>
      <c r="D1180" s="15" t="s">
        <v>2683</v>
      </c>
      <c r="E1180" s="13">
        <v>5673.66</v>
      </c>
      <c r="F1180" s="13" t="s">
        <v>100</v>
      </c>
      <c r="G1180" s="40"/>
      <c r="H1180" s="14" t="str">
        <f>IF(AND(ISNUMBER(E1180),ISNUMBER(G1180)),ROUND(PRODUCT(PRODUCT(E1180, G1180), 1 - J1180), 2),"")</f>
        <v/>
      </c>
      <c r="I1180" s="13" t="s">
        <v>30</v>
      </c>
      <c r="J1180" s="13">
        <v>0</v>
      </c>
    </row>
    <row r="1181" spans="1:10" s="13" customFormat="1" ht="201.6" hidden="1" x14ac:dyDescent="0.3">
      <c r="A1181" s="15" t="s">
        <v>2684</v>
      </c>
      <c r="B1181" s="15" t="s">
        <v>30</v>
      </c>
      <c r="C1181" s="15" t="s">
        <v>2682</v>
      </c>
      <c r="D1181" s="15" t="s">
        <v>2683</v>
      </c>
      <c r="E1181" s="13">
        <v>78</v>
      </c>
      <c r="F1181" s="13" t="s">
        <v>100</v>
      </c>
      <c r="G1181" s="40"/>
      <c r="H1181" s="14" t="str">
        <f>IF(AND(ISNUMBER(E1181),ISNUMBER(G1181)),ROUND(PRODUCT(PRODUCT(E1181, G1181), 1 - J1181), 2),"")</f>
        <v/>
      </c>
      <c r="I1181" s="13" t="s">
        <v>30</v>
      </c>
      <c r="J1181" s="13">
        <v>0</v>
      </c>
    </row>
    <row r="1182" spans="1:10" s="13" customFormat="1" ht="201.6" hidden="1" x14ac:dyDescent="0.3">
      <c r="A1182" s="15" t="s">
        <v>2685</v>
      </c>
      <c r="B1182" s="15" t="s">
        <v>30</v>
      </c>
      <c r="C1182" s="15" t="s">
        <v>2686</v>
      </c>
      <c r="D1182" s="15" t="s">
        <v>2687</v>
      </c>
      <c r="E1182" s="13">
        <v>114.8</v>
      </c>
      <c r="F1182" s="13" t="s">
        <v>100</v>
      </c>
      <c r="G1182" s="40"/>
      <c r="H1182" s="14" t="str">
        <f>IF(AND(ISNUMBER(E1182),ISNUMBER(G1182)),ROUND(PRODUCT(PRODUCT(E1182, G1182), 1 - J1182), 2),"")</f>
        <v/>
      </c>
      <c r="I1182" s="13" t="s">
        <v>30</v>
      </c>
      <c r="J1182" s="13">
        <v>0</v>
      </c>
    </row>
    <row r="1183" spans="1:10" s="11" customFormat="1" hidden="1" x14ac:dyDescent="0.3">
      <c r="A1183" s="20" t="s">
        <v>2688</v>
      </c>
      <c r="B1183" s="20"/>
      <c r="C1183" s="20" t="s">
        <v>79</v>
      </c>
      <c r="D1183" s="20"/>
      <c r="G1183" s="38"/>
      <c r="H1183" s="12">
        <v>0</v>
      </c>
    </row>
    <row r="1184" spans="1:10" s="11" customFormat="1" hidden="1" x14ac:dyDescent="0.3">
      <c r="A1184" s="20" t="s">
        <v>2689</v>
      </c>
      <c r="B1184" s="20"/>
      <c r="C1184" s="20" t="s">
        <v>2690</v>
      </c>
      <c r="D1184" s="20"/>
      <c r="G1184" s="38"/>
      <c r="H1184" s="12">
        <f>SUM(H1185,H1188,H1192,H1193,H1194,H1195,H1196,H1198,H1199)</f>
        <v>0</v>
      </c>
    </row>
    <row r="1185" spans="1:10" s="11" customFormat="1" hidden="1" x14ac:dyDescent="0.3">
      <c r="A1185" s="20" t="s">
        <v>2691</v>
      </c>
      <c r="B1185" s="20"/>
      <c r="C1185" s="20" t="s">
        <v>83</v>
      </c>
      <c r="D1185" s="20"/>
      <c r="G1185" s="38"/>
      <c r="H1185" s="12">
        <v>0</v>
      </c>
    </row>
    <row r="1186" spans="1:10" s="13" customFormat="1" ht="409.6" hidden="1" x14ac:dyDescent="0.3">
      <c r="A1186" s="15"/>
      <c r="B1186" s="15"/>
      <c r="C1186" s="15" t="s">
        <v>28</v>
      </c>
      <c r="D1186" s="15" t="s">
        <v>29</v>
      </c>
      <c r="G1186" s="39"/>
      <c r="I1186" s="13" t="s">
        <v>30</v>
      </c>
    </row>
    <row r="1187" spans="1:10" s="13" customFormat="1" ht="144" hidden="1" x14ac:dyDescent="0.3">
      <c r="A1187" s="15"/>
      <c r="B1187" s="15"/>
      <c r="C1187" s="15" t="s">
        <v>2692</v>
      </c>
      <c r="D1187" s="15" t="s">
        <v>2693</v>
      </c>
      <c r="G1187" s="39"/>
      <c r="I1187" s="13" t="s">
        <v>30</v>
      </c>
    </row>
    <row r="1188" spans="1:10" s="11" customFormat="1" hidden="1" x14ac:dyDescent="0.3">
      <c r="A1188" s="20" t="s">
        <v>2694</v>
      </c>
      <c r="B1188" s="20"/>
      <c r="C1188" s="20" t="s">
        <v>2695</v>
      </c>
      <c r="D1188" s="20"/>
      <c r="G1188" s="38"/>
      <c r="H1188" s="12">
        <f>SUM(H1189,H1190,H1191)</f>
        <v>0</v>
      </c>
    </row>
    <row r="1189" spans="1:10" s="13" customFormat="1" ht="129.6" hidden="1" x14ac:dyDescent="0.3">
      <c r="A1189" s="15" t="s">
        <v>2696</v>
      </c>
      <c r="B1189" s="15" t="s">
        <v>30</v>
      </c>
      <c r="C1189" s="15" t="s">
        <v>2697</v>
      </c>
      <c r="D1189" s="15" t="s">
        <v>2698</v>
      </c>
      <c r="E1189" s="13">
        <v>2888</v>
      </c>
      <c r="F1189" s="13" t="s">
        <v>100</v>
      </c>
      <c r="G1189" s="40"/>
      <c r="H1189" s="14" t="str">
        <f>IF(AND(ISNUMBER(E1189),ISNUMBER(G1189)),ROUND(PRODUCT(PRODUCT(E1189, G1189), 1 - J1189), 2),"")</f>
        <v/>
      </c>
      <c r="I1189" s="13" t="s">
        <v>30</v>
      </c>
      <c r="J1189" s="13">
        <v>0</v>
      </c>
    </row>
    <row r="1190" spans="1:10" s="13" customFormat="1" ht="72" hidden="1" x14ac:dyDescent="0.3">
      <c r="A1190" s="15" t="s">
        <v>2699</v>
      </c>
      <c r="B1190" s="15" t="s">
        <v>30</v>
      </c>
      <c r="C1190" s="15" t="s">
        <v>2700</v>
      </c>
      <c r="D1190" s="15" t="s">
        <v>2701</v>
      </c>
      <c r="E1190" s="13">
        <v>517</v>
      </c>
      <c r="F1190" s="13" t="s">
        <v>100</v>
      </c>
      <c r="G1190" s="40"/>
      <c r="H1190" s="14" t="str">
        <f>IF(AND(ISNUMBER(E1190),ISNUMBER(G1190)),ROUND(PRODUCT(PRODUCT(E1190, G1190), 1 - J1190), 2),"")</f>
        <v/>
      </c>
      <c r="I1190" s="13" t="s">
        <v>30</v>
      </c>
      <c r="J1190" s="13">
        <v>0</v>
      </c>
    </row>
    <row r="1191" spans="1:10" s="13" customFormat="1" ht="86.4" hidden="1" x14ac:dyDescent="0.3">
      <c r="A1191" s="15" t="s">
        <v>2702</v>
      </c>
      <c r="B1191" s="15" t="s">
        <v>30</v>
      </c>
      <c r="C1191" s="15" t="s">
        <v>2703</v>
      </c>
      <c r="D1191" s="15" t="s">
        <v>2704</v>
      </c>
      <c r="E1191" s="13">
        <v>100</v>
      </c>
      <c r="F1191" s="13" t="s">
        <v>100</v>
      </c>
      <c r="G1191" s="40"/>
      <c r="H1191" s="14" t="str">
        <f>IF(AND(ISNUMBER(E1191),ISNUMBER(G1191)),ROUND(PRODUCT(PRODUCT(E1191, G1191), 1 - J1191), 2),"")</f>
        <v/>
      </c>
      <c r="I1191" s="13" t="s">
        <v>30</v>
      </c>
      <c r="J1191" s="13">
        <v>0</v>
      </c>
    </row>
    <row r="1192" spans="1:10" s="11" customFormat="1" hidden="1" x14ac:dyDescent="0.3">
      <c r="A1192" s="20" t="s">
        <v>2705</v>
      </c>
      <c r="B1192" s="20"/>
      <c r="C1192" s="20" t="s">
        <v>2706</v>
      </c>
      <c r="D1192" s="20"/>
      <c r="G1192" s="38"/>
      <c r="H1192" s="12">
        <v>0</v>
      </c>
    </row>
    <row r="1193" spans="1:10" s="11" customFormat="1" hidden="1" x14ac:dyDescent="0.3">
      <c r="A1193" s="20" t="s">
        <v>2707</v>
      </c>
      <c r="B1193" s="20"/>
      <c r="C1193" s="20" t="s">
        <v>2708</v>
      </c>
      <c r="D1193" s="20"/>
      <c r="G1193" s="38"/>
      <c r="H1193" s="12">
        <v>0</v>
      </c>
    </row>
    <row r="1194" spans="1:10" s="11" customFormat="1" hidden="1" x14ac:dyDescent="0.3">
      <c r="A1194" s="20" t="s">
        <v>2709</v>
      </c>
      <c r="B1194" s="20"/>
      <c r="C1194" s="20" t="s">
        <v>2710</v>
      </c>
      <c r="D1194" s="20"/>
      <c r="G1194" s="38"/>
      <c r="H1194" s="12">
        <v>0</v>
      </c>
    </row>
    <row r="1195" spans="1:10" s="11" customFormat="1" hidden="1" x14ac:dyDescent="0.3">
      <c r="A1195" s="20" t="s">
        <v>2711</v>
      </c>
      <c r="B1195" s="20"/>
      <c r="C1195" s="20" t="s">
        <v>2712</v>
      </c>
      <c r="D1195" s="20"/>
      <c r="G1195" s="38"/>
      <c r="H1195" s="12">
        <v>0</v>
      </c>
    </row>
    <row r="1196" spans="1:10" s="11" customFormat="1" hidden="1" x14ac:dyDescent="0.3">
      <c r="A1196" s="20" t="s">
        <v>2713</v>
      </c>
      <c r="B1196" s="20"/>
      <c r="C1196" s="20" t="s">
        <v>2714</v>
      </c>
      <c r="D1196" s="20"/>
      <c r="G1196" s="38"/>
      <c r="H1196" s="12">
        <f>SUM(H1197)</f>
        <v>0</v>
      </c>
    </row>
    <row r="1197" spans="1:10" s="13" customFormat="1" ht="43.2" hidden="1" x14ac:dyDescent="0.3">
      <c r="A1197" s="15" t="s">
        <v>2715</v>
      </c>
      <c r="B1197" s="15" t="s">
        <v>30</v>
      </c>
      <c r="C1197" s="15" t="s">
        <v>2716</v>
      </c>
      <c r="D1197" s="15" t="s">
        <v>2717</v>
      </c>
      <c r="E1197" s="13">
        <v>2888</v>
      </c>
      <c r="F1197" s="13" t="s">
        <v>100</v>
      </c>
      <c r="G1197" s="40"/>
      <c r="H1197" s="14" t="str">
        <f>IF(AND(ISNUMBER(E1197),ISNUMBER(G1197)),ROUND(PRODUCT(PRODUCT(E1197, G1197), 1 - J1197), 2),"")</f>
        <v/>
      </c>
      <c r="I1197" s="13" t="s">
        <v>30</v>
      </c>
      <c r="J1197" s="13">
        <v>0</v>
      </c>
    </row>
    <row r="1198" spans="1:10" s="11" customFormat="1" hidden="1" x14ac:dyDescent="0.3">
      <c r="A1198" s="20" t="s">
        <v>2718</v>
      </c>
      <c r="B1198" s="20"/>
      <c r="C1198" s="20" t="s">
        <v>79</v>
      </c>
      <c r="D1198" s="20"/>
      <c r="G1198" s="38"/>
      <c r="H1198" s="12">
        <v>0</v>
      </c>
    </row>
    <row r="1199" spans="1:10" s="11" customFormat="1" hidden="1" x14ac:dyDescent="0.3">
      <c r="A1199" s="20" t="s">
        <v>2719</v>
      </c>
      <c r="B1199" s="20"/>
      <c r="C1199" s="20" t="s">
        <v>812</v>
      </c>
      <c r="D1199" s="20"/>
      <c r="G1199" s="38"/>
      <c r="H1199" s="12">
        <v>0</v>
      </c>
    </row>
    <row r="1200" spans="1:10" s="11" customFormat="1" hidden="1" x14ac:dyDescent="0.3">
      <c r="A1200" s="20" t="s">
        <v>2720</v>
      </c>
      <c r="B1200" s="20"/>
      <c r="C1200" s="20" t="s">
        <v>2721</v>
      </c>
      <c r="D1200" s="20"/>
      <c r="G1200" s="38"/>
      <c r="H1200" s="12">
        <f>SUM(H1201,H1202,H1203,H1204,H1205)</f>
        <v>0</v>
      </c>
    </row>
    <row r="1201" spans="1:10" s="11" customFormat="1" hidden="1" x14ac:dyDescent="0.3">
      <c r="A1201" s="20" t="s">
        <v>2722</v>
      </c>
      <c r="B1201" s="20"/>
      <c r="C1201" s="20" t="s">
        <v>83</v>
      </c>
      <c r="D1201" s="20"/>
      <c r="G1201" s="38"/>
      <c r="H1201" s="12">
        <v>0</v>
      </c>
    </row>
    <row r="1202" spans="1:10" s="11" customFormat="1" hidden="1" x14ac:dyDescent="0.3">
      <c r="A1202" s="20" t="s">
        <v>2723</v>
      </c>
      <c r="B1202" s="20"/>
      <c r="C1202" s="20" t="s">
        <v>2724</v>
      </c>
      <c r="D1202" s="20"/>
      <c r="G1202" s="38"/>
      <c r="H1202" s="12">
        <v>0</v>
      </c>
    </row>
    <row r="1203" spans="1:10" s="11" customFormat="1" hidden="1" x14ac:dyDescent="0.3">
      <c r="A1203" s="20" t="s">
        <v>2725</v>
      </c>
      <c r="B1203" s="20"/>
      <c r="C1203" s="20" t="s">
        <v>2726</v>
      </c>
      <c r="D1203" s="20"/>
      <c r="G1203" s="38"/>
      <c r="H1203" s="12">
        <v>0</v>
      </c>
    </row>
    <row r="1204" spans="1:10" s="11" customFormat="1" hidden="1" x14ac:dyDescent="0.3">
      <c r="A1204" s="20" t="s">
        <v>2727</v>
      </c>
      <c r="B1204" s="20"/>
      <c r="C1204" s="20" t="s">
        <v>1873</v>
      </c>
      <c r="D1204" s="20"/>
      <c r="G1204" s="38"/>
      <c r="H1204" s="12">
        <v>0</v>
      </c>
    </row>
    <row r="1205" spans="1:10" s="11" customFormat="1" hidden="1" x14ac:dyDescent="0.3">
      <c r="A1205" s="20" t="s">
        <v>2728</v>
      </c>
      <c r="B1205" s="20"/>
      <c r="C1205" s="20" t="s">
        <v>79</v>
      </c>
      <c r="D1205" s="20"/>
      <c r="G1205" s="38"/>
      <c r="H1205" s="12">
        <v>0</v>
      </c>
    </row>
    <row r="1206" spans="1:10" s="11" customFormat="1" hidden="1" x14ac:dyDescent="0.3">
      <c r="A1206" s="20" t="s">
        <v>2729</v>
      </c>
      <c r="B1206" s="20"/>
      <c r="C1206" s="20" t="s">
        <v>2730</v>
      </c>
      <c r="D1206" s="20"/>
      <c r="G1206" s="38"/>
      <c r="H1206" s="12">
        <f>SUM(H1207,H1210,H1213,H1215,H1217,H1219)</f>
        <v>0</v>
      </c>
    </row>
    <row r="1207" spans="1:10" s="11" customFormat="1" hidden="1" x14ac:dyDescent="0.3">
      <c r="A1207" s="20" t="s">
        <v>2731</v>
      </c>
      <c r="B1207" s="20"/>
      <c r="C1207" s="20" t="s">
        <v>83</v>
      </c>
      <c r="D1207" s="20"/>
      <c r="G1207" s="38"/>
      <c r="H1207" s="12">
        <v>0</v>
      </c>
    </row>
    <row r="1208" spans="1:10" s="13" customFormat="1" ht="409.6" hidden="1" x14ac:dyDescent="0.3">
      <c r="A1208" s="15"/>
      <c r="B1208" s="15"/>
      <c r="C1208" s="15" t="s">
        <v>28</v>
      </c>
      <c r="D1208" s="15" t="s">
        <v>29</v>
      </c>
      <c r="G1208" s="39"/>
      <c r="I1208" s="13" t="s">
        <v>30</v>
      </c>
    </row>
    <row r="1209" spans="1:10" s="13" customFormat="1" ht="144" hidden="1" x14ac:dyDescent="0.3">
      <c r="A1209" s="15"/>
      <c r="B1209" s="15"/>
      <c r="C1209" s="15" t="s">
        <v>2732</v>
      </c>
      <c r="D1209" s="15" t="s">
        <v>2733</v>
      </c>
      <c r="G1209" s="39"/>
      <c r="I1209" s="13" t="s">
        <v>30</v>
      </c>
    </row>
    <row r="1210" spans="1:10" s="11" customFormat="1" hidden="1" x14ac:dyDescent="0.3">
      <c r="A1210" s="20" t="s">
        <v>2734</v>
      </c>
      <c r="B1210" s="20"/>
      <c r="C1210" s="20" t="s">
        <v>2735</v>
      </c>
      <c r="D1210" s="20"/>
      <c r="G1210" s="38"/>
      <c r="H1210" s="12">
        <f>SUM(H1211,H1212)</f>
        <v>0</v>
      </c>
    </row>
    <row r="1211" spans="1:10" s="13" customFormat="1" ht="360" hidden="1" x14ac:dyDescent="0.3">
      <c r="A1211" s="15" t="s">
        <v>2736</v>
      </c>
      <c r="B1211" s="15" t="s">
        <v>30</v>
      </c>
      <c r="C1211" s="15" t="s">
        <v>2737</v>
      </c>
      <c r="D1211" s="15" t="s">
        <v>2738</v>
      </c>
      <c r="E1211" s="13">
        <v>2</v>
      </c>
      <c r="F1211" s="13" t="s">
        <v>60</v>
      </c>
      <c r="G1211" s="40"/>
      <c r="H1211" s="14" t="str">
        <f>IF(AND(ISNUMBER(E1211),ISNUMBER(G1211)),ROUND(PRODUCT(PRODUCT(E1211, G1211), 1 - J1211), 2),"")</f>
        <v/>
      </c>
      <c r="I1211" s="13" t="s">
        <v>30</v>
      </c>
      <c r="J1211" s="13">
        <v>0</v>
      </c>
    </row>
    <row r="1212" spans="1:10" s="13" customFormat="1" ht="187.2" hidden="1" x14ac:dyDescent="0.3">
      <c r="A1212" s="15" t="s">
        <v>2739</v>
      </c>
      <c r="B1212" s="15" t="s">
        <v>30</v>
      </c>
      <c r="C1212" s="15" t="s">
        <v>2740</v>
      </c>
      <c r="D1212" s="15" t="s">
        <v>2741</v>
      </c>
      <c r="E1212" s="13">
        <v>1800</v>
      </c>
      <c r="F1212" s="13" t="s">
        <v>400</v>
      </c>
      <c r="G1212" s="40"/>
      <c r="H1212" s="14" t="str">
        <f>IF(AND(ISNUMBER(E1212),ISNUMBER(G1212)),ROUND(PRODUCT(PRODUCT(E1212, G1212), 1 - J1212), 2),"")</f>
        <v/>
      </c>
      <c r="I1212" s="13" t="s">
        <v>30</v>
      </c>
      <c r="J1212" s="13">
        <v>0</v>
      </c>
    </row>
    <row r="1213" spans="1:10" s="11" customFormat="1" hidden="1" x14ac:dyDescent="0.3">
      <c r="A1213" s="20" t="s">
        <v>2742</v>
      </c>
      <c r="B1213" s="20"/>
      <c r="C1213" s="20" t="s">
        <v>2743</v>
      </c>
      <c r="D1213" s="20"/>
      <c r="G1213" s="38"/>
      <c r="H1213" s="12">
        <f>SUM(H1214)</f>
        <v>0</v>
      </c>
    </row>
    <row r="1214" spans="1:10" s="13" customFormat="1" ht="158.4" hidden="1" x14ac:dyDescent="0.3">
      <c r="A1214" s="15" t="s">
        <v>2744</v>
      </c>
      <c r="B1214" s="15" t="s">
        <v>30</v>
      </c>
      <c r="C1214" s="15" t="s">
        <v>2745</v>
      </c>
      <c r="D1214" s="15" t="s">
        <v>2746</v>
      </c>
      <c r="E1214" s="13">
        <v>5</v>
      </c>
      <c r="F1214" s="13" t="s">
        <v>60</v>
      </c>
      <c r="G1214" s="40"/>
      <c r="H1214" s="14" t="str">
        <f>IF(AND(ISNUMBER(E1214),ISNUMBER(G1214)),ROUND(PRODUCT(PRODUCT(E1214, G1214), 1 - J1214), 2),"")</f>
        <v/>
      </c>
      <c r="I1214" s="13" t="s">
        <v>30</v>
      </c>
      <c r="J1214" s="13">
        <v>0</v>
      </c>
    </row>
    <row r="1215" spans="1:10" s="11" customFormat="1" hidden="1" x14ac:dyDescent="0.3">
      <c r="A1215" s="20" t="s">
        <v>2747</v>
      </c>
      <c r="B1215" s="20"/>
      <c r="C1215" s="20" t="s">
        <v>2748</v>
      </c>
      <c r="D1215" s="20"/>
      <c r="G1215" s="38"/>
      <c r="H1215" s="12">
        <f>SUM(H1216)</f>
        <v>0</v>
      </c>
    </row>
    <row r="1216" spans="1:10" s="13" customFormat="1" ht="409.6" hidden="1" x14ac:dyDescent="0.3">
      <c r="A1216" s="15" t="s">
        <v>2749</v>
      </c>
      <c r="B1216" s="15" t="s">
        <v>30</v>
      </c>
      <c r="C1216" s="15" t="s">
        <v>2750</v>
      </c>
      <c r="D1216" s="15" t="s">
        <v>2751</v>
      </c>
      <c r="E1216" s="13">
        <v>1</v>
      </c>
      <c r="F1216" s="13" t="s">
        <v>60</v>
      </c>
      <c r="G1216" s="40"/>
      <c r="H1216" s="14" t="str">
        <f>IF(AND(ISNUMBER(E1216),ISNUMBER(G1216)),ROUND(PRODUCT(PRODUCT(E1216, G1216), 1 - J1216), 2),"")</f>
        <v/>
      </c>
      <c r="I1216" s="13" t="s">
        <v>30</v>
      </c>
      <c r="J1216" s="13">
        <v>0</v>
      </c>
    </row>
    <row r="1217" spans="1:10" s="11" customFormat="1" hidden="1" x14ac:dyDescent="0.3">
      <c r="A1217" s="20" t="s">
        <v>2752</v>
      </c>
      <c r="B1217" s="20"/>
      <c r="C1217" s="20" t="s">
        <v>2753</v>
      </c>
      <c r="D1217" s="20"/>
      <c r="G1217" s="38"/>
      <c r="H1217" s="12">
        <f>SUM(H1218)</f>
        <v>0</v>
      </c>
    </row>
    <row r="1218" spans="1:10" s="13" customFormat="1" ht="230.4" hidden="1" x14ac:dyDescent="0.3">
      <c r="A1218" s="15" t="s">
        <v>2754</v>
      </c>
      <c r="B1218" s="15" t="s">
        <v>30</v>
      </c>
      <c r="C1218" s="15" t="s">
        <v>2755</v>
      </c>
      <c r="D1218" s="15" t="s">
        <v>2756</v>
      </c>
      <c r="E1218" s="13">
        <v>1</v>
      </c>
      <c r="F1218" s="13" t="s">
        <v>60</v>
      </c>
      <c r="G1218" s="40"/>
      <c r="H1218" s="14" t="str">
        <f>IF(AND(ISNUMBER(E1218),ISNUMBER(G1218)),ROUND(PRODUCT(PRODUCT(E1218, G1218), 1 - J1218), 2),"")</f>
        <v/>
      </c>
      <c r="I1218" s="13" t="s">
        <v>30</v>
      </c>
      <c r="J1218" s="13">
        <v>0</v>
      </c>
    </row>
    <row r="1219" spans="1:10" s="11" customFormat="1" hidden="1" x14ac:dyDescent="0.3">
      <c r="A1219" s="20" t="s">
        <v>2757</v>
      </c>
      <c r="B1219" s="20"/>
      <c r="C1219" s="20" t="s">
        <v>79</v>
      </c>
      <c r="D1219" s="20"/>
      <c r="G1219" s="38"/>
      <c r="H1219" s="12">
        <v>0</v>
      </c>
    </row>
    <row r="1220" spans="1:10" s="11" customFormat="1" hidden="1" x14ac:dyDescent="0.3">
      <c r="A1220" s="20" t="s">
        <v>2758</v>
      </c>
      <c r="B1220" s="20"/>
      <c r="C1220" s="20" t="s">
        <v>2759</v>
      </c>
      <c r="D1220" s="20"/>
      <c r="G1220" s="38"/>
      <c r="H1220" s="12">
        <f>SUM(H1221,H1224,H1229,H1237)</f>
        <v>0</v>
      </c>
    </row>
    <row r="1221" spans="1:10" s="11" customFormat="1" hidden="1" x14ac:dyDescent="0.3">
      <c r="A1221" s="20" t="s">
        <v>2760</v>
      </c>
      <c r="B1221" s="20"/>
      <c r="C1221" s="20" t="s">
        <v>83</v>
      </c>
      <c r="D1221" s="20"/>
      <c r="G1221" s="38"/>
      <c r="H1221" s="12">
        <v>0</v>
      </c>
    </row>
    <row r="1222" spans="1:10" s="13" customFormat="1" ht="409.6" hidden="1" x14ac:dyDescent="0.3">
      <c r="A1222" s="15"/>
      <c r="B1222" s="15"/>
      <c r="C1222" s="15" t="s">
        <v>28</v>
      </c>
      <c r="D1222" s="15" t="s">
        <v>29</v>
      </c>
      <c r="G1222" s="39"/>
      <c r="I1222" s="13" t="s">
        <v>30</v>
      </c>
    </row>
    <row r="1223" spans="1:10" s="13" customFormat="1" ht="158.4" hidden="1" x14ac:dyDescent="0.3">
      <c r="A1223" s="15"/>
      <c r="B1223" s="15"/>
      <c r="C1223" s="15" t="s">
        <v>2761</v>
      </c>
      <c r="D1223" s="15" t="s">
        <v>2762</v>
      </c>
      <c r="G1223" s="39"/>
      <c r="I1223" s="13" t="s">
        <v>30</v>
      </c>
    </row>
    <row r="1224" spans="1:10" s="11" customFormat="1" hidden="1" x14ac:dyDescent="0.3">
      <c r="A1224" s="20" t="s">
        <v>2763</v>
      </c>
      <c r="B1224" s="20"/>
      <c r="C1224" s="20" t="s">
        <v>2764</v>
      </c>
      <c r="D1224" s="20"/>
      <c r="G1224" s="38"/>
      <c r="H1224" s="12">
        <f>SUM(H1225,H1226,H1227,H1228)</f>
        <v>0</v>
      </c>
    </row>
    <row r="1225" spans="1:10" s="13" customFormat="1" ht="158.4" hidden="1" x14ac:dyDescent="0.3">
      <c r="A1225" s="15" t="s">
        <v>2765</v>
      </c>
      <c r="B1225" s="15" t="s">
        <v>30</v>
      </c>
      <c r="C1225" s="15" t="s">
        <v>2766</v>
      </c>
      <c r="D1225" s="15" t="s">
        <v>2767</v>
      </c>
      <c r="E1225" s="13">
        <v>11</v>
      </c>
      <c r="F1225" s="13" t="s">
        <v>691</v>
      </c>
      <c r="G1225" s="40"/>
      <c r="H1225" s="14" t="str">
        <f>IF(AND(ISNUMBER(E1225),ISNUMBER(G1225)),ROUND(PRODUCT(PRODUCT(E1225, G1225), 1 - J1225), 2),"")</f>
        <v/>
      </c>
      <c r="I1225" s="13" t="s">
        <v>30</v>
      </c>
      <c r="J1225" s="13">
        <v>0</v>
      </c>
    </row>
    <row r="1226" spans="1:10" s="13" customFormat="1" ht="144" hidden="1" x14ac:dyDescent="0.3">
      <c r="A1226" s="15" t="s">
        <v>2768</v>
      </c>
      <c r="B1226" s="15" t="s">
        <v>30</v>
      </c>
      <c r="C1226" s="15" t="s">
        <v>2769</v>
      </c>
      <c r="D1226" s="15" t="s">
        <v>2770</v>
      </c>
      <c r="E1226" s="13">
        <v>6</v>
      </c>
      <c r="F1226" s="13" t="s">
        <v>691</v>
      </c>
      <c r="G1226" s="40"/>
      <c r="H1226" s="14" t="str">
        <f>IF(AND(ISNUMBER(E1226),ISNUMBER(G1226)),ROUND(PRODUCT(PRODUCT(E1226, G1226), 1 - J1226), 2),"")</f>
        <v/>
      </c>
      <c r="I1226" s="13" t="s">
        <v>30</v>
      </c>
      <c r="J1226" s="13">
        <v>0</v>
      </c>
    </row>
    <row r="1227" spans="1:10" s="13" customFormat="1" ht="144" hidden="1" x14ac:dyDescent="0.3">
      <c r="A1227" s="15" t="s">
        <v>2771</v>
      </c>
      <c r="B1227" s="15" t="s">
        <v>30</v>
      </c>
      <c r="C1227" s="15" t="s">
        <v>2772</v>
      </c>
      <c r="D1227" s="15" t="s">
        <v>2770</v>
      </c>
      <c r="E1227" s="13">
        <v>3</v>
      </c>
      <c r="F1227" s="13" t="s">
        <v>691</v>
      </c>
      <c r="G1227" s="40"/>
      <c r="H1227" s="14" t="str">
        <f>IF(AND(ISNUMBER(E1227),ISNUMBER(G1227)),ROUND(PRODUCT(PRODUCT(E1227, G1227), 1 - J1227), 2),"")</f>
        <v/>
      </c>
      <c r="I1227" s="13" t="s">
        <v>30</v>
      </c>
      <c r="J1227" s="13">
        <v>0</v>
      </c>
    </row>
    <row r="1228" spans="1:10" s="13" customFormat="1" ht="57.6" hidden="1" x14ac:dyDescent="0.3">
      <c r="A1228" s="15" t="s">
        <v>2773</v>
      </c>
      <c r="B1228" s="15" t="s">
        <v>30</v>
      </c>
      <c r="C1228" s="15" t="s">
        <v>2774</v>
      </c>
      <c r="D1228" s="15" t="s">
        <v>2775</v>
      </c>
      <c r="E1228" s="13">
        <v>5</v>
      </c>
      <c r="F1228" s="13" t="s">
        <v>60</v>
      </c>
      <c r="G1228" s="40"/>
      <c r="H1228" s="14" t="str">
        <f>IF(AND(ISNUMBER(E1228),ISNUMBER(G1228)),ROUND(PRODUCT(PRODUCT(E1228, G1228), 1 - J1228), 2),"")</f>
        <v/>
      </c>
      <c r="I1228" s="13" t="s">
        <v>30</v>
      </c>
      <c r="J1228" s="13">
        <v>0</v>
      </c>
    </row>
    <row r="1229" spans="1:10" s="11" customFormat="1" ht="28.8" hidden="1" x14ac:dyDescent="0.3">
      <c r="A1229" s="20" t="s">
        <v>2776</v>
      </c>
      <c r="B1229" s="20"/>
      <c r="C1229" s="20" t="s">
        <v>2777</v>
      </c>
      <c r="D1229" s="20"/>
      <c r="G1229" s="38"/>
      <c r="H1229" s="12">
        <f>SUM(H1230,H1231,H1232,H1233,H1234,H1235,H1236)</f>
        <v>0</v>
      </c>
    </row>
    <row r="1230" spans="1:10" s="13" customFormat="1" ht="158.4" hidden="1" x14ac:dyDescent="0.3">
      <c r="A1230" s="15" t="s">
        <v>2778</v>
      </c>
      <c r="B1230" s="15" t="s">
        <v>30</v>
      </c>
      <c r="C1230" s="15" t="s">
        <v>2779</v>
      </c>
      <c r="D1230" s="15" t="s">
        <v>2780</v>
      </c>
      <c r="E1230" s="13">
        <v>629.21</v>
      </c>
      <c r="F1230" s="13" t="s">
        <v>71</v>
      </c>
      <c r="G1230" s="40"/>
      <c r="H1230" s="14" t="str">
        <f t="shared" ref="H1230:H1236" si="42">IF(AND(ISNUMBER(E1230),ISNUMBER(G1230)),ROUND(PRODUCT(PRODUCT(E1230, G1230), 1 - J1230), 2),"")</f>
        <v/>
      </c>
      <c r="I1230" s="13" t="s">
        <v>30</v>
      </c>
      <c r="J1230" s="13">
        <v>0</v>
      </c>
    </row>
    <row r="1231" spans="1:10" s="13" customFormat="1" ht="43.2" hidden="1" x14ac:dyDescent="0.3">
      <c r="A1231" s="15" t="s">
        <v>2781</v>
      </c>
      <c r="B1231" s="15" t="s">
        <v>30</v>
      </c>
      <c r="C1231" s="15" t="s">
        <v>2782</v>
      </c>
      <c r="D1231" s="15" t="s">
        <v>2783</v>
      </c>
      <c r="E1231" s="13">
        <v>473</v>
      </c>
      <c r="F1231" s="13" t="s">
        <v>71</v>
      </c>
      <c r="G1231" s="40"/>
      <c r="H1231" s="14" t="str">
        <f t="shared" si="42"/>
        <v/>
      </c>
      <c r="I1231" s="13" t="s">
        <v>30</v>
      </c>
      <c r="J1231" s="13">
        <v>0</v>
      </c>
    </row>
    <row r="1232" spans="1:10" s="13" customFormat="1" ht="72" hidden="1" x14ac:dyDescent="0.3">
      <c r="A1232" s="15" t="s">
        <v>2784</v>
      </c>
      <c r="B1232" s="15" t="s">
        <v>30</v>
      </c>
      <c r="C1232" s="15" t="s">
        <v>2785</v>
      </c>
      <c r="D1232" s="15" t="s">
        <v>2786</v>
      </c>
      <c r="E1232" s="13">
        <v>122</v>
      </c>
      <c r="F1232" s="13" t="s">
        <v>100</v>
      </c>
      <c r="G1232" s="40"/>
      <c r="H1232" s="14" t="str">
        <f t="shared" si="42"/>
        <v/>
      </c>
      <c r="I1232" s="13" t="s">
        <v>30</v>
      </c>
      <c r="J1232" s="13">
        <v>0</v>
      </c>
    </row>
    <row r="1233" spans="1:10" s="13" customFormat="1" ht="43.2" hidden="1" x14ac:dyDescent="0.3">
      <c r="A1233" s="15" t="s">
        <v>2787</v>
      </c>
      <c r="B1233" s="15" t="s">
        <v>30</v>
      </c>
      <c r="C1233" s="15" t="s">
        <v>2788</v>
      </c>
      <c r="D1233" s="15" t="s">
        <v>2789</v>
      </c>
      <c r="E1233" s="13">
        <v>24</v>
      </c>
      <c r="F1233" s="13" t="s">
        <v>60</v>
      </c>
      <c r="G1233" s="40"/>
      <c r="H1233" s="14" t="str">
        <f t="shared" si="42"/>
        <v/>
      </c>
      <c r="I1233" s="13" t="s">
        <v>30</v>
      </c>
      <c r="J1233" s="13">
        <v>0</v>
      </c>
    </row>
    <row r="1234" spans="1:10" s="13" customFormat="1" ht="57.6" hidden="1" x14ac:dyDescent="0.3">
      <c r="A1234" s="15" t="s">
        <v>2790</v>
      </c>
      <c r="B1234" s="15" t="s">
        <v>30</v>
      </c>
      <c r="C1234" s="15" t="s">
        <v>2791</v>
      </c>
      <c r="D1234" s="15" t="s">
        <v>2792</v>
      </c>
      <c r="E1234" s="13">
        <v>9</v>
      </c>
      <c r="F1234" s="13" t="s">
        <v>60</v>
      </c>
      <c r="G1234" s="40"/>
      <c r="H1234" s="14" t="str">
        <f t="shared" si="42"/>
        <v/>
      </c>
      <c r="I1234" s="13" t="s">
        <v>30</v>
      </c>
      <c r="J1234" s="13">
        <v>0</v>
      </c>
    </row>
    <row r="1235" spans="1:10" s="13" customFormat="1" ht="57.6" hidden="1" x14ac:dyDescent="0.3">
      <c r="A1235" s="15" t="s">
        <v>2793</v>
      </c>
      <c r="B1235" s="15" t="s">
        <v>30</v>
      </c>
      <c r="C1235" s="15" t="s">
        <v>2794</v>
      </c>
      <c r="D1235" s="15" t="s">
        <v>2795</v>
      </c>
      <c r="E1235" s="13">
        <v>9</v>
      </c>
      <c r="F1235" s="13" t="s">
        <v>60</v>
      </c>
      <c r="G1235" s="40"/>
      <c r="H1235" s="14" t="str">
        <f t="shared" si="42"/>
        <v/>
      </c>
      <c r="I1235" s="13" t="s">
        <v>30</v>
      </c>
      <c r="J1235" s="13">
        <v>0</v>
      </c>
    </row>
    <row r="1236" spans="1:10" s="13" customFormat="1" ht="43.2" hidden="1" x14ac:dyDescent="0.3">
      <c r="A1236" s="15" t="s">
        <v>2796</v>
      </c>
      <c r="B1236" s="15" t="s">
        <v>30</v>
      </c>
      <c r="C1236" s="15" t="s">
        <v>2797</v>
      </c>
      <c r="D1236" s="15" t="s">
        <v>2798</v>
      </c>
      <c r="E1236" s="13">
        <v>2</v>
      </c>
      <c r="F1236" s="13" t="s">
        <v>60</v>
      </c>
      <c r="G1236" s="40"/>
      <c r="H1236" s="14" t="str">
        <f t="shared" si="42"/>
        <v/>
      </c>
      <c r="I1236" s="13" t="s">
        <v>30</v>
      </c>
      <c r="J1236" s="13">
        <v>0</v>
      </c>
    </row>
    <row r="1237" spans="1:10" s="11" customFormat="1" hidden="1" x14ac:dyDescent="0.3">
      <c r="A1237" s="20" t="s">
        <v>2799</v>
      </c>
      <c r="B1237" s="20"/>
      <c r="C1237" s="20" t="s">
        <v>79</v>
      </c>
      <c r="D1237" s="20"/>
      <c r="G1237" s="38"/>
      <c r="H1237" s="12">
        <v>0</v>
      </c>
    </row>
    <row r="1238" spans="1:10" hidden="1" x14ac:dyDescent="0.3"/>
    <row r="1239" spans="1:10" hidden="1" x14ac:dyDescent="0.3"/>
    <row r="1240" spans="1:10" hidden="1" x14ac:dyDescent="0.3"/>
    <row r="1241" spans="1:10" hidden="1" x14ac:dyDescent="0.3"/>
    <row r="1242" spans="1:10" hidden="1" x14ac:dyDescent="0.3"/>
    <row r="1243" spans="1:10" hidden="1" x14ac:dyDescent="0.3"/>
    <row r="1244" spans="1:10" hidden="1" x14ac:dyDescent="0.3"/>
    <row r="1245" spans="1:10" hidden="1" x14ac:dyDescent="0.3"/>
    <row r="1246" spans="1:10" hidden="1" x14ac:dyDescent="0.3"/>
    <row r="1247" spans="1:10" hidden="1" x14ac:dyDescent="0.3"/>
    <row r="1248" spans="1:10" hidden="1" x14ac:dyDescent="0.3"/>
    <row r="1249" hidden="1" x14ac:dyDescent="0.3"/>
    <row r="1250" hidden="1" x14ac:dyDescent="0.3"/>
    <row r="1251" hidden="1" x14ac:dyDescent="0.3"/>
    <row r="1252" hidden="1" x14ac:dyDescent="0.3"/>
    <row r="1253" hidden="1" x14ac:dyDescent="0.3"/>
    <row r="1254" hidden="1" x14ac:dyDescent="0.3"/>
    <row r="1255" hidden="1" x14ac:dyDescent="0.3"/>
    <row r="1256" hidden="1" x14ac:dyDescent="0.3"/>
    <row r="1257" hidden="1" x14ac:dyDescent="0.3"/>
    <row r="1258" hidden="1" x14ac:dyDescent="0.3"/>
    <row r="1259" hidden="1" x14ac:dyDescent="0.3"/>
    <row r="1260" hidden="1" x14ac:dyDescent="0.3"/>
    <row r="1261" hidden="1" x14ac:dyDescent="0.3"/>
    <row r="1262" hidden="1" x14ac:dyDescent="0.3"/>
    <row r="1263" hidden="1" x14ac:dyDescent="0.3"/>
    <row r="1264" hidden="1" x14ac:dyDescent="0.3"/>
    <row r="1265" hidden="1" x14ac:dyDescent="0.3"/>
    <row r="1266" hidden="1" x14ac:dyDescent="0.3"/>
    <row r="1267" hidden="1" x14ac:dyDescent="0.3"/>
    <row r="1268" hidden="1" x14ac:dyDescent="0.3"/>
    <row r="1269" hidden="1" x14ac:dyDescent="0.3"/>
    <row r="1270" hidden="1" x14ac:dyDescent="0.3"/>
    <row r="1271" hidden="1" x14ac:dyDescent="0.3"/>
    <row r="1272" hidden="1" x14ac:dyDescent="0.3"/>
    <row r="1273" hidden="1" x14ac:dyDescent="0.3"/>
    <row r="1274" hidden="1" x14ac:dyDescent="0.3"/>
    <row r="1275" hidden="1" x14ac:dyDescent="0.3"/>
    <row r="1276" hidden="1" x14ac:dyDescent="0.3"/>
    <row r="1277" hidden="1" x14ac:dyDescent="0.3"/>
    <row r="1278" hidden="1" x14ac:dyDescent="0.3"/>
    <row r="1279" hidden="1" x14ac:dyDescent="0.3"/>
    <row r="1280" hidden="1" x14ac:dyDescent="0.3"/>
    <row r="1281" spans="1:8" hidden="1" x14ac:dyDescent="0.3"/>
    <row r="1282" spans="1:8" hidden="1" x14ac:dyDescent="0.3"/>
    <row r="1283" spans="1:8" hidden="1" x14ac:dyDescent="0.3"/>
    <row r="1284" spans="1:8" hidden="1" x14ac:dyDescent="0.3"/>
    <row r="1285" spans="1:8" hidden="1" x14ac:dyDescent="0.3"/>
    <row r="1286" spans="1:8" hidden="1" x14ac:dyDescent="0.3"/>
    <row r="1287" spans="1:8" hidden="1" x14ac:dyDescent="0.3"/>
    <row r="1288" spans="1:8" hidden="1" x14ac:dyDescent="0.3"/>
    <row r="1289" spans="1:8" hidden="1" x14ac:dyDescent="0.3"/>
    <row r="1290" spans="1:8" hidden="1" x14ac:dyDescent="0.3"/>
    <row r="1291" spans="1:8" hidden="1" x14ac:dyDescent="0.3"/>
    <row r="1292" spans="1:8" hidden="1" x14ac:dyDescent="0.3"/>
    <row r="1293" spans="1:8" ht="15" thickBot="1" x14ac:dyDescent="0.35">
      <c r="C1293" s="31"/>
      <c r="D1293" s="31"/>
      <c r="E1293" s="32"/>
      <c r="F1293" s="32"/>
      <c r="G1293" s="42"/>
      <c r="H1293" s="32"/>
    </row>
    <row r="1294" spans="1:8" ht="15" thickTop="1" x14ac:dyDescent="0.3"/>
    <row r="1295" spans="1:8" x14ac:dyDescent="0.3">
      <c r="C1295" s="24" t="s">
        <v>2808</v>
      </c>
      <c r="D1295" s="24"/>
      <c r="E1295" s="25"/>
      <c r="F1295" s="25"/>
      <c r="G1295" s="43"/>
      <c r="H1295" s="25"/>
    </row>
    <row r="1296" spans="1:8" x14ac:dyDescent="0.3">
      <c r="A1296" s="33" t="s">
        <v>2800</v>
      </c>
      <c r="C1296" s="49" t="s">
        <v>2815</v>
      </c>
      <c r="D1296" s="49"/>
      <c r="E1296" s="49"/>
      <c r="F1296" s="49"/>
      <c r="G1296" s="49"/>
      <c r="H1296" s="49"/>
    </row>
    <row r="1297" spans="1:8" x14ac:dyDescent="0.3">
      <c r="A1297" s="33" t="s">
        <v>2800</v>
      </c>
      <c r="C1297" s="28" t="s">
        <v>2809</v>
      </c>
      <c r="D1297" s="28"/>
      <c r="E1297" s="25"/>
      <c r="F1297" s="26"/>
      <c r="G1297" s="27"/>
      <c r="H1297" s="25"/>
    </row>
    <row r="1298" spans="1:8" x14ac:dyDescent="0.3">
      <c r="A1298" s="33" t="s">
        <v>2800</v>
      </c>
      <c r="C1298" s="28" t="s">
        <v>2810</v>
      </c>
      <c r="D1298" s="28"/>
      <c r="E1298" s="25"/>
      <c r="F1298" s="26"/>
      <c r="G1298" s="27"/>
      <c r="H1298" s="25"/>
    </row>
    <row r="1299" spans="1:8" x14ac:dyDescent="0.3">
      <c r="C1299" s="23"/>
      <c r="D1299" s="28"/>
      <c r="E1299" s="25"/>
      <c r="F1299" s="26"/>
      <c r="G1299" s="27"/>
      <c r="H1299" s="29" t="s">
        <v>2811</v>
      </c>
    </row>
    <row r="1300" spans="1:8" x14ac:dyDescent="0.3">
      <c r="C1300" s="23"/>
      <c r="D1300" s="28"/>
      <c r="E1300" s="25"/>
      <c r="F1300" s="26"/>
      <c r="G1300" s="27"/>
      <c r="H1300" s="30" t="s">
        <v>2812</v>
      </c>
    </row>
  </sheetData>
  <mergeCells count="15">
    <mergeCell ref="A11:Y11"/>
    <mergeCell ref="A12:Y12"/>
    <mergeCell ref="A13:Y13"/>
    <mergeCell ref="A22:Y22"/>
    <mergeCell ref="C1296:H1296"/>
    <mergeCell ref="A6:Y6"/>
    <mergeCell ref="A7:Y7"/>
    <mergeCell ref="A8:Y8"/>
    <mergeCell ref="A9:Y9"/>
    <mergeCell ref="A10:Y10"/>
    <mergeCell ref="A1:Y1"/>
    <mergeCell ref="A2:Y2"/>
    <mergeCell ref="A3:Y3"/>
    <mergeCell ref="A4:Y4"/>
    <mergeCell ref="A5:Y5"/>
  </mergeCells>
  <pageMargins left="0.7" right="0.7" top="0.75" bottom="0.75" header="0.3" footer="0.3"/>
  <pageSetup orientation="portrait" horizontalDpi="4294967295" verticalDpi="4294967295"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f915974b-6f1e-4350-9f7e-2d11fb1812c4">
      <Terms xmlns="http://schemas.microsoft.com/office/infopath/2007/PartnerControls"/>
    </lcf76f155ced4ddcb4097134ff3c332f>
    <TaxCatchAll xmlns="cb3740f1-362a-4884-a648-7855dba250b9"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kument" ma:contentTypeID="0x01010053A51507092ABC42A1F78E63565BAFD7" ma:contentTypeVersion="13" ma:contentTypeDescription="Stvaranje novog dokumenta." ma:contentTypeScope="" ma:versionID="431a5ee93854b27944054346f0b25a8a">
  <xsd:schema xmlns:xsd="http://www.w3.org/2001/XMLSchema" xmlns:xs="http://www.w3.org/2001/XMLSchema" xmlns:p="http://schemas.microsoft.com/office/2006/metadata/properties" xmlns:ns2="f915974b-6f1e-4350-9f7e-2d11fb1812c4" xmlns:ns3="cb3740f1-362a-4884-a648-7855dba250b9" targetNamespace="http://schemas.microsoft.com/office/2006/metadata/properties" ma:root="true" ma:fieldsID="1e05be92481b3b8621a13a8b50557f24" ns2:_="" ns3:_="">
    <xsd:import namespace="f915974b-6f1e-4350-9f7e-2d11fb1812c4"/>
    <xsd:import namespace="cb3740f1-362a-4884-a648-7855dba250b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MediaServiceLocation"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915974b-6f1e-4350-9f7e-2d11fb1812c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Location" ma:index="16" nillable="true" ma:displayName="Location" ma:indexed="true" ma:internalName="MediaServiceLocation" ma:readOnly="true">
      <xsd:simpleType>
        <xsd:restriction base="dms:Text"/>
      </xsd:simpleType>
    </xsd:element>
    <xsd:element name="lcf76f155ced4ddcb4097134ff3c332f" ma:index="18" nillable="true" ma:taxonomy="true" ma:internalName="lcf76f155ced4ddcb4097134ff3c332f" ma:taxonomyFieldName="MediaServiceImageTags" ma:displayName="Oznake slika" ma:readOnly="false" ma:fieldId="{5cf76f15-5ced-4ddc-b409-7134ff3c332f}" ma:taxonomyMulti="true" ma:sspId="3751c936-5afc-4ad0-aeab-ca19b149ef12"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b3740f1-362a-4884-a648-7855dba250b9"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49648af3-417c-4ecd-a1bc-5e03dfaadbd5}" ma:internalName="TaxCatchAll" ma:showField="CatchAllData" ma:web="cb3740f1-362a-4884-a648-7855dba250b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Vrsta sadržaja"/>
        <xsd:element ref="dc:title" minOccurs="0" maxOccurs="1" ma:index="4" ma:displayName="Naslov"/>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6062C6C-79C5-402D-A1B1-CF8A66B1D4A3}">
  <ds:schemaRefs>
    <ds:schemaRef ds:uri="http://schemas.microsoft.com/office/2006/metadata/properties"/>
    <ds:schemaRef ds:uri="http://schemas.microsoft.com/office/infopath/2007/PartnerControls"/>
    <ds:schemaRef ds:uri="f915974b-6f1e-4350-9f7e-2d11fb1812c4"/>
    <ds:schemaRef ds:uri="cb3740f1-362a-4884-a648-7855dba250b9"/>
  </ds:schemaRefs>
</ds:datastoreItem>
</file>

<file path=customXml/itemProps2.xml><?xml version="1.0" encoding="utf-8"?>
<ds:datastoreItem xmlns:ds="http://schemas.openxmlformats.org/officeDocument/2006/customXml" ds:itemID="{8724EAA9-49CD-45E7-B1AD-C74259FA8C40}">
  <ds:schemaRefs>
    <ds:schemaRef ds:uri="http://schemas.microsoft.com/sharepoint/v3/contenttype/forms"/>
  </ds:schemaRefs>
</ds:datastoreItem>
</file>

<file path=customXml/itemProps3.xml><?xml version="1.0" encoding="utf-8"?>
<ds:datastoreItem xmlns:ds="http://schemas.openxmlformats.org/officeDocument/2006/customXml" ds:itemID="{07C49A86-A3A0-45BC-940C-59B33C1B76F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915974b-6f1e-4350-9f7e-2d11fb1812c4"/>
    <ds:schemaRef ds:uri="cb3740f1-362a-4884-a648-7855dba250b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2025-03-07T09:22:46Z</dcterms:created>
  <dcterms:modified xsi:type="dcterms:W3CDTF">2025-04-29T14:56:03Z</dcterms:modified>
  <cp:category/>
  <dc:language>en</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0x01010053A51507092ABC42A1F78E63565BAFD7</vt:lpwstr>
  </property>
</Properties>
</file>
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3. TROŠKOVNICI/03 UPITI I PONUDE/0_Ivana Radno/Prijedlog cijena/22_Bravarski - čelik/"/>
    </mc:Choice>
  </mc:AlternateContent>
  <xr:revisionPtr revIDLastSave="0" documentId="8_{B27136D4-E1FF-4C02-8CE7-F48BC52BD6CF}" xr6:coauthVersionLast="47" xr6:coauthVersionMax="47" xr10:uidLastSave="{00000000-0000-0000-0000-000000000000}"/>
  <bookViews>
    <workbookView xWindow="-105" yWindow="0" windowWidth="14610" windowHeight="15585" activeTab="2" xr2:uid="{011B8FF2-891D-4FAE-B44E-7C42153D0A9A}"/>
  </bookViews>
  <sheets>
    <sheet name="NASLOVNICA" sheetId="1" r:id="rId1"/>
    <sheet name="OPĆI UVJETI" sheetId="2" r:id="rId2"/>
    <sheet name="13. BRAVARSKI RADOVI" sheetId="3" r:id="rId3"/>
  </sheets>
  <definedNames>
    <definedName name="_xlnm._FilterDatabase" localSheetId="2" hidden="1">'13. BRAVARSKI RADOVI'!$D$1:$D$191</definedName>
    <definedName name="_xlnm.Print_Area" localSheetId="2">'13. BRAVARSKI RADOVI'!$A$1:$G$191</definedName>
    <definedName name="_xlnm.Print_Titles" localSheetId="2">'13. BRAVARSKI RADOVI'!13:13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2" i="3" l="1"/>
  <c r="F140" i="3"/>
  <c r="F186" i="3"/>
  <c r="F185" i="3"/>
  <c r="F181" i="3"/>
  <c r="F177" i="3"/>
  <c r="F172" i="3"/>
  <c r="F171" i="3"/>
  <c r="F170" i="3"/>
  <c r="F164" i="3"/>
  <c r="F158" i="3"/>
  <c r="F189" i="3" s="1"/>
  <c r="F153" i="3"/>
  <c r="F148" i="3"/>
  <c r="G140" i="3"/>
  <c r="F137" i="3"/>
  <c r="F136" i="3"/>
  <c r="F131" i="3"/>
  <c r="F124" i="3"/>
  <c r="F119" i="3"/>
  <c r="F113" i="3"/>
  <c r="F109" i="3"/>
  <c r="F102" i="3"/>
  <c r="F101" i="3"/>
  <c r="F96" i="3"/>
  <c r="F90" i="3"/>
  <c r="F89" i="3"/>
  <c r="F83" i="3"/>
  <c r="F82" i="3"/>
  <c r="F81" i="3"/>
  <c r="F76" i="3"/>
  <c r="F71" i="3"/>
  <c r="F65" i="3"/>
  <c r="F60" i="3"/>
  <c r="F54" i="3"/>
  <c r="F48" i="3"/>
  <c r="F47" i="3"/>
  <c r="F46" i="3"/>
  <c r="F45" i="3"/>
  <c r="F37" i="3"/>
  <c r="F32" i="3"/>
  <c r="F31" i="3"/>
  <c r="F30" i="3"/>
  <c r="F29" i="3"/>
  <c r="F28" i="3"/>
  <c r="F103" i="3" l="1"/>
  <c r="F191" i="3" s="1"/>
  <c r="F84" i="3"/>
  <c r="F91" i="3"/>
  <c r="F138" i="3"/>
  <c r="F187" i="3"/>
  <c r="F49" i="3"/>
  <c r="F33" i="3"/>
  <c r="F173" i="3"/>
</calcChain>
</file>

<file path=xl/sharedStrings.xml><?xml version="1.0" encoding="utf-8"?>
<sst xmlns="http://schemas.openxmlformats.org/spreadsheetml/2006/main" count="349" uniqueCount="279">
  <si>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</si>
  <si>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</si>
  <si>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</si>
  <si>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</si>
  <si>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</si>
  <si>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</si>
  <si>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</si>
  <si>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</si>
  <si>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</si>
  <si>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</si>
  <si>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</si>
  <si>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</si>
  <si>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</si>
  <si>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</si>
  <si>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</si>
  <si>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</si>
  <si>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</si>
  <si>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</si>
  <si>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</si>
  <si>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</si>
  <si>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</si>
  <si>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</si>
  <si>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</si>
  <si>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</si>
  <si>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</si>
  <si>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</si>
  <si>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</si>
  <si>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</si>
  <si>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</si>
  <si>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</si>
  <si>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</si>
  <si>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</si>
  <si>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</si>
  <si>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</si>
  <si>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</si>
  <si>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</si>
  <si>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</si>
  <si>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</si>
  <si>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</si>
  <si>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</si>
  <si>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</si>
  <si>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</si>
  <si>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</si>
  <si>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</si>
  <si>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</si>
  <si>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</si>
  <si>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</si>
  <si>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</si>
  <si>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</si>
  <si>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</si>
  <si>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</si>
  <si>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</si>
  <si>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</si>
  <si>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</si>
  <si>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</si>
  <si>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</si>
  <si>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</si>
  <si>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</si>
  <si>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</si>
  <si>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</si>
  <si>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</si>
  <si>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</si>
  <si>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</si>
  <si>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</si>
  <si>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</si>
  <si>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</si>
  <si>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</si>
  <si>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</si>
  <si>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</si>
  <si>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</si>
  <si>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</si>
  <si>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</si>
  <si>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</si>
  <si>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</si>
  <si>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</si>
  <si>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</si>
  <si>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</si>
  <si>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</si>
  <si>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</si>
  <si>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</si>
  <si>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</si>
  <si>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13.</t>
  </si>
  <si>
    <t>BRAVARSKI RADOVI</t>
  </si>
  <si>
    <t>NAPOMENA: Radovi se izvode prema opisu u troškovniku, prema podacima iz projektne dokumentacije, uz rješavanje svih eventualnih pitanja u suradnji s projektantom i u skladu s važećim standardima. Sav upotrebljeni materijal mora odgovarati postojećim propisima i standardima. Sve su dimenzije konstruktivnih elemenata date okvirno. Prije izvedbe obavezno uzeti točne mjere na građevini.
Izvedba od konstrukcijskih čelika oznake kvalitete S235, s normativnom granicom 235 N/mm2, S275, s normativnom granicom 275 N/mm2 (toplo valjani širokopojasni profili, hladno oblikovani šuplji profili i/ili sl.), te S355 s normativnom granicom 355 N/mm2 (toplo valjani limovi, ploče i/ili sl.), sve sukladno HRN EN 10027-1:2016 ili jednakovrijedno, odnosno u svemu prema projektu i statičkom proračunu. Uključivo sav spojni materijal, pripasivanja, ugradbe, varenja, učvršćenja, brtvljenja i/ili sl. Izvedba čelične</t>
  </si>
  <si>
    <t>konstrukcije obavlja se prema radioničkim nacrtima koji su predhodno odobreni od ovlaštenog revidenta. Izrada radioničkih nacrta obaveza je izvođača čelične konstrukcije. Prije izvedbe radioničke nacrte dostaviti projektantu konstrukcije na pregled i pismeno odobrenje.
Za vrijeme izrade provodi se povremena kontrola od strane ovlaštenog stručnjaka. Izvođač je dužan nakon izvedbe konstrukcije predočiti odgovarajuću dokumentaciju na uvid, a kojom dokazuje kvalitetu ugrađenog materijala, te izvedbe pojedinih čeličnih elementa i/ili kompletne konstrukcije. Ista mora biti 100% očišćena od korozije, otprašena, odmašćena, suha, te u radionici antikorozivno zaštićena vrućim cinčanjem i temeljnim premazom za metal na vodenoj osnovi.
Završna obrada nakon ugradbe je dodatni temeljni premaz , te dva premaza lak bojom za metal i/ili sl, sve na vodenoj osnovi, nijanse prema ton karti RAL ili jednakovrijedno, a po izboru</t>
  </si>
  <si>
    <t>projektanta. Debljina boje iznosi ukupno minimalno 180 mikrona.
U cijenu stavke uračunati sav materijal, rad, antikorozivnu zaštitu svih elemenata i spojeva, horizontalni i vertikalni transport, te odgovarajuću radnu skelu i dizalicu.
Uključivo svi potrebni tipski profili, elementi, fazonski komadi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odnosno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t>
  </si>
  <si>
    <t>s transportom na gradilište, skele potrebne za izvođenje pojedinih radova, primjena mjera zaštite na radu i drugih važećih propisa.</t>
  </si>
  <si>
    <t>RB</t>
  </si>
  <si>
    <t>STAVKA</t>
  </si>
  <si>
    <t>JEDINICA MJERE</t>
  </si>
  <si>
    <t>KOLIČINA</t>
  </si>
  <si>
    <t>JEDINIČNA CIJENA</t>
  </si>
  <si>
    <t>UKUPNA CIJENA</t>
  </si>
  <si>
    <t>13.1.</t>
  </si>
  <si>
    <t>STANDARDNI BRAVARSKI RADOVI</t>
  </si>
  <si>
    <t>Izvedba u svemu prema standardnoj tehničkoj specifikaciji prodajnog mjesta Eurospin - točka 14.1.</t>
  </si>
  <si>
    <t>13.1.1.</t>
  </si>
  <si>
    <t>Čelična konzolna ulazna nadstrešnica</t>
  </si>
  <si>
    <t>Dobava materijala, izrada, transporti, montaža i završna obrada nadstrešnice iznad vjetrobrana i glavnog ulaza.
Nadstrešnica se sastoji od:
_ čelične konstrukcije;
_ pokrova od OSB/4 ploča d=2,0 cm, ploča mineralne vune debljine 8,0 cm i TPO sintetičke membrane d=0,18 cm;
_ limenih opšava ruba TPO folije na fasadnom sendvič panelu od pocinčanog termolakiranog lima debljine 1,2 mm, u boji RAL 5011 mat;
_ obloge podgleda stropa nadstrešnice izvan vjetrobrana spuštenim stropom od aluminijskih lamela, sa zatvorenim fugama, širine 300 mm, prethodno lakiranih u boji mat plava RAL 5011, debljine 8/10 mm, pričvršćene na odgovarajuće profile na potrebnoj potkonstrukciji ovješenoj o sekundarne nosače. Konstrukcija mora biti otporna na vjetar i mora uključivati sav pribor za dovršetak radova u skladu s najboljom praksom. Na</t>
  </si>
  <si>
    <t>uglovima lamele moraju biti spojene pod kutom od 45°. Lamele moraju biti pravilno oblikovane kako bi se omogućila ugradnja ugradbene rasvjete.
_ prednje maske - obloge čela nadstrešnice visine 60 cm od čeličnog lima debljine 15/10 mm, pocinčanog i prethodno obojanog u mat plavu boju RAL 5011, na potrebnoj potkonstrukciji. Maska mora biti otporna na toplinsko širenje, mora sačuvati savršeno glatku površinu.
_ postolja od čelične potkonstrukcije za reklamni pano učvršćene u glavne nosače. Reklamni pano dimenzija cca 195x195 cm (prema detaljima 43 i 44 Eurospin, poglavlje 13.).
Čelična konstrukcija sastoji se od:
1. konzolne horizontalne konstrukcije - glavni nosači od dvostrukih 2x HEA 200 čeličnih profila učvršćenih u armiranobetonske montažne stupove i postojeće stupove i grede; Uključujući čeonu ploču na rubu grede sa zavarenim umetnutim</t>
  </si>
  <si>
    <t>pločama, prikladnim za pričvršćivanje pomoću vijaka i ankera na metalnu ploču koja se nalazi na predgotovljenim stupovima. Uključujući ploče, umetke, vijke itd. za spajanje sekundarnih struktura i sve ostalo potrebno za dovršetak radova. Između ploča koje povezuju dvostruke glavne profile bit će predviđena cijev za odvod kišnice.
2. horizontalne konstrukcije - sekundarni uzdužni nosači od IPE 240 čeličnih profila učvršćenih u ravnini između glavnih nosača i IPE 200 čeličnih profila učvršćenih između sekundarnih nosača, spojeni na zavarene ploče na primarnim gredama i pogodne za spajanje na torzijske armaturne elemente. Na podgled sekundarnih greda će se učvrstiti konstrukcija koja nosi završni spušteni strop od al lamela. Na rubnu gredu će se učvrstiti nosivi elementi podkonstrukcije za prednju masku od čeličnih pravokutnih profila 100x120x10 mm.</t>
  </si>
  <si>
    <t>3. nosača pokrova od horizontalnih uzdužnih čeličnih pravokutnih profila 20x40x3, 40x40x3 i 60x40x3 mm;
4. rešetkastog nosača (potkonstrukcije) obloge čela nadstrešnice od čeličnih pravokutnih profila 60x60x4 mm i ploča presjeka 400x15 mm.
5. zavarenih čeličnih pravokutnih profila za reklamne znakove, spojeni na rubnu gredu i na sekundarne grede pomoću torzionih armaturnih elemenata. Završna boja plava RAL 5011.
Kvaliteta čeličnih profila: S275.
Kvaliteta čeličnih pričvrsnih ploča: S335.
Kvaliteta sidrenih spojnih sredstava: klasa 8.8. - pocinčani
Klasa izvođenja čelične konstrukcije: EXC2.
Završna obrada svih čeličnih elemenata vrućim cinčanjem i bojanje u boju mat plava RAL 5011 ili crnu boju.
U stavci uključeni popravci oštećenja završnog</t>
  </si>
  <si>
    <t>premaza nastalih od transporta i montaže, a nakon završetka svih radova.
OSB ploče moraju biti u skladu sa zahtjevima UNI EN 300 za klasu OSB/4 - ploče za teške uvjete opterećenja u vlažnim uvjetima i s UNI EN 13986 - Ploče na bazi drva za upotrebu u građevinarstvu. OSB ploča mora biti prikladna za pričvršćivanje TPO folije. Postavljaju se u nagibu &gt;1,5% radi formiranja ploha za odvodnju krovnih voda prema slivnicima.
U stavci uključen sav potreban spojni, montažni i pomoćni materijal (pričvrsne ploče i papuče, vijci, elektrode, montažne sajle i/ili sl.), te pokretna radna skela.
Sve prema statičkom proračunu i radioničkim nacrtim odobrenim od strane Eurospina.
Izvedba u svemu prema standardnoj tehničkoj specifikaciji prodajnog mjesta Eurospin - točka 13.1.1.
Detalji izvedbe u svemu prema standardnoj</t>
  </si>
  <si>
    <t>tehničkoj specifikaciji prodajnog mjesta Eurospin - grafičkii prikazi PNS03 - 40-45.
Sve prema detaljima broj 12 i 13.
Reklamni pano dobavlja Eurospin.
Obračun po kg, m2, m1 i kompletu.</t>
  </si>
  <si>
    <t>13.1.1.a.</t>
  </si>
  <si>
    <t>čelična konstrukcija</t>
  </si>
  <si>
    <t>kg</t>
  </si>
  <si>
    <t>m²</t>
  </si>
  <si>
    <t>komplet</t>
  </si>
  <si>
    <t>13.1.1.f.</t>
  </si>
  <si>
    <t>limeni opšav uz fasadu r.š. 15 cm</t>
  </si>
  <si>
    <t>m</t>
  </si>
  <si>
    <t>13.1.1.g.</t>
  </si>
  <si>
    <t>podgled nadstrešnice</t>
  </si>
  <si>
    <t>13.1.1.h.</t>
  </si>
  <si>
    <t>maska čela nadstrešnice, r.š. 90 cm</t>
  </si>
  <si>
    <t>13.1.1.i.</t>
  </si>
  <si>
    <t>postolje za reklamni pano</t>
  </si>
  <si>
    <t>UKUPNO:</t>
  </si>
  <si>
    <t>13.1.2.</t>
  </si>
  <si>
    <t>Vatrootporni premaz R 90</t>
  </si>
  <si>
    <t>Zaštita čeličnih konstruktivnih elemenata konzolne konstrukcije ulazne nadstrešnice između osi 10 i 11 (grede od HEA 200, IPE 240, IPE 200 i sl.) protupožarnim ekspandirajućim premazom na vodenoj bazi, klasa otpornosti na požar R 90 prema EN 13501-2 ili jednakovrijedno.
Materijal nosača mora biti čist, suh, bez prašine i labavih strugotina, bez korozije, ulja i drugih remetećih utjecaja koji sprečavaju dobro prianjanje. Obavezna prethodna antikorozivna zaštita, obračunata posebno.
Obračun po m2 kompletne izvedbe u potrebnom broju slojeva i debljini premaza, računski dokazano.</t>
  </si>
  <si>
    <t>13.1.2.a.</t>
  </si>
  <si>
    <t/>
  </si>
  <si>
    <t>13.1.3.</t>
  </si>
  <si>
    <t xml:space="preserve">Čelična konzolna nadstrešnica na prostoru za istovar
</t>
  </si>
  <si>
    <t>Dobava materijala, izrada, transporti, montaža i završna obrada nadstrešnice na stražnjem dijelu zgrade, prostoru za istovar.
Nadstrešnica se sastoji od:
_ čelične konstrukcije;
_ pokrova od OSB/4 ploča d=2,0 cm i TPO sintetičke membrane d=0,18 cm;
_ limenih opšava ruba TPO folije na fasadnom sendvič panelu od pocinčanog termolakiranog lima debljine 1,2 mm, u boji po izboru investitora;
_ prednje maske - obloge čela nadstrešnice visine 60 cm od čeličnog lima debljine 15/10 mm, pocinčanog i prethodno obojanog u mat plavu boju RAL 5011, na potrebnoj potkonstrukciji. Maska mora biti otporna na toplinsko širenje, mora sačuvati savršeno glatku površinu.
_ postolja od čelične potkonstrukcije za reklamni pano učvršćene u glavne nosače. Reklamni pano dimenzija cca 195x195 cm (prema detaljima 43 i 44 Eurospin, poglavlje 13.).</t>
  </si>
  <si>
    <t>Čelična konstrukcija sastoji se od:
1. konzolne horizontalne konstrukcije - glavni nosači od dvostrukih 2x HEA 200 čeličnih profila oslonjenih na čel. stupove i učvršćenih u armiranobetonske montažne stupove i postojeće stupove i grede; Uključujući čeonu ploču na rubu grede sa zavarenim umetnutim pločama, prikladnim za pričvršćivanje pomoću vijaka i ankera na metalnu ploču koja se nalazi na predgotovljenim stupovima. Uključujući ploče, umetke, vijke itd. za spajanje sekundarnih struktura i sve ostalo potrebno za dovršetak radova. Između ploča koje povezuju dvostruke glavne profile bit će predviđena cijev za odvod kišnice.
2. horizontalne konstrukcije - sekundarni uzdužni nosači od IPE 240 čeličnih profila učvršćenih u ravnini između glavnih nosača, i IPE 200 čeličnih profila učvršćenih između sekundarnih nosača, spojeni na zavarene ploče predviđene na primarnim</t>
  </si>
  <si>
    <t>gredama i pogodne za spajanje na torzijske armaturne elemente. Na rubnu gredu će se učvrstiti nosivi elementi podkonstrukcije za prednju masku od čeličnih pravokutnih profila 100x120x10 mm. Na uglu će biti postavljen dijagonalni profil, pogodan za primanje sekundarnih greda.
3. nosača pokrova od horizontalnih uzdužnih čeličnih pravokutnih profila 20x40x3, 40x40x3 i 60x40x3 mm;
4. rešetkastog nosača (potkonstrukcije) obloge čela nadstrešnice od čeličnih pravokutnih profila 60x60x4 mm i ploča presjeka 400x15 mm.
5. zavarenih čeličnih pravokutnih profila za reklamne znakove, spojeni na rubnu gredu i na sekundarne grede pomoću torzionih armaturnih elemenata. Završna boja plava RAL 5011.
6. stupova od HEA-240 čeličnih profila učvršćenih na armiranobetonske trakaste temelje i podnu ploču preko sidrenih pločica dimenzija prema</t>
  </si>
  <si>
    <t>statičkom proračunu.
Kvaliteta čeličnih profila: S275.
Kvaliteta čeličnih pričvrsnih ploča: S335.
Kvaliteta sidrenih spojnih sredstava: klasa 8.8. - pocinčani
Klasa izvođenja čelične konstrukcije: EXC2.
Završna obrada svih čeličnih elemenata vrućim cinčanjem i bojanje u boju mat plava RAL 5011.
U stavci uključeni popravci oštećenja završnog premaza nastalih od transporta i montaže, a nakon završetka svih radova.
OSB ploče moraju biti u skladu sa zahtjevima UNI EN 300 za klasu OSB/4 - ploče za teške uvjete opterećenja u vlažnim uvjetima i s UNI EN 13986 - Ploče na bazi drva za upotrebu u građevinarstvu. OSB ploča mora biti prikladna za pričvršćivanje TPO folije. Postavljaju se u nagibu &gt;1,5% radi formiranja ploha za odvodnju krovnih voda prema slivnicima.</t>
  </si>
  <si>
    <t>U stavci uključen sav potreban spojni, montažni i pomoćni materijal (pričvrsne ploče i papuče, vijci, elektrode, montažne sajle i/ili sl.), te pokretna radna skela.
Sve prema statičkom proračunu i radioničkim nacrtim odobrenim od strane Eurospina.
Izvedba u svemu prema standardnoj tehničkoj specifikaciji prodajnog mjesta Eurospin - točka 13.1.1.
Detalji izvedbe u svemu prema standardnoj tehničkoj specifikaciji prodajnog mjesta Eurospin - grafičkii prikazi PNS03 - 40-45.
Sve prema detalju broj 14.
Reklamni pano dobavlja Eurospin.
Obračun po kg, m2, m1 i kompletu.</t>
  </si>
  <si>
    <t>13.1.3.a.</t>
  </si>
  <si>
    <t>13.1.3.e.</t>
  </si>
  <si>
    <t>13.1.3.f.</t>
  </si>
  <si>
    <t>13.1.3.g.</t>
  </si>
  <si>
    <t>13.1.5.</t>
  </si>
  <si>
    <t>Potkonstrukcija za vrata i prozore</t>
  </si>
  <si>
    <t>Izrada, doprema na gradilište i montaža, komplet do pune gotovosti, čelične podkonstrukcije za ugradnju vrata, žaluzina, zaklopki, prozora i sl. od profila dimenzija prema zahtjevu proizvođača elemenata koji se ugrađuju i statičara.
Obračun po kompletnoj izvedbi uključivo sidrene pločice, vijke, i sl. te završnu obradu kompletne konstrukcije - ličenje /antikorozivni premaz i 2x završno ličenje bojom za metal/. Podkonstrukcija vruće pocinčana i prethodno obojana u BIJELU boju RAL 9010 (isto kao boja fasadnih sendvič panela unutarnje strane).
Izvedba u svemu prema standardnoj tehničkoj specifikaciji prodajnog mjesta Eurospin - točka 13.1.5.
Detalji izvedbe u svemu prema standardnoj tehničkoj specifikaciji prodajnog mjesta Eurospin - grafički prikaz PNS03-33.
Sve prema detalju broj 11.
Obračun po kg čelične konstrukcije</t>
  </si>
  <si>
    <t>13.1.5.a.</t>
  </si>
  <si>
    <t>13.1.7.</t>
  </si>
  <si>
    <t>Potkonstrukcija za reklamni natpis na ulaznoj nadstrešnici</t>
  </si>
  <si>
    <t>Dobava materijala, izrada, transporti, montaža i završna obrada postolja za reklamni natpis "Pametna kupnja" u ravnini ulazne nadstrešnice, dimenzija cca 680x40 cm, od čeličnih profila i limova, koje se učvršćuje na čeličnu konstrukciju konzolne nadstrešnice.
Konstrukcija postolja se sastoji od:
_ Vodoravnih pravokutnih šupljih profila od pocinčanog čelika 80x80x4 mm, obojenih u plavu mat boju RAL 5011;
_ Kvadratnih šupljih profila 50x50x4 mm u obliku slova L s kutnim nosačem od pocinčanog čelika, obojenih u plavu mat boju RAL 5011, kojim se horizontalni profil pričvršćuje na konstrukciju nadstrešnice, prema standardnom detalju;
_Kvadratnih šupljih profila 50x50x4 mm za pričvršćenje vertikalne oplate od OSB 4 ploča.
Kvaliteta čeličnih profila: S275.
Kvaliteta čeličnih pričvrsnih ploča: S335.
Kvaliteta sidrenih spojnih sredstava: klasa 8.8.</t>
  </si>
  <si>
    <t>- pocinčani
Klasa izvođenja čelične konstrukcije: EXC2.
Završna obrada svih čeličnih elemenata vrućim cinčanjem i bojanje u boju po izboru investitora.
U stavci uključeni popravci oštećenja završnog premaza nastalih od transporta i montaže, a nakon završetka svih radova.
U stavci uključen sav potreban spojni, montažni i pomoćni materijal (pričvrsne ploče i papuče, vijci, elektrode, montažne sajle i/ili sl.), te pokretna radna skela.
Izvedba u svemu prema standardnoj tehničkoj specifikaciji prodajnog mjesta Eurospin - točka 13.1.7.
Detalji izvedbe u svemu prema standardnoj tehničkoj specifikaciji prodajnog mjesta Eurospin - grafički prikaz PNS03-42.
Sve prema detalju broj 14.
Reklamni pano dobavlja Eurospin.
Obračun po kompletu.</t>
  </si>
  <si>
    <t>13.1.7.a.</t>
  </si>
  <si>
    <t>13.1.8.</t>
  </si>
  <si>
    <t>Ljestve za istovarnu rampu</t>
  </si>
  <si>
    <t>Dobava materijala, izrada, transport i montaža ljestvi za pristup istovarnoj rampi.
Ljestve se sastoje od:
_ konstrukcije, ujedno rukohvata, od kvadrat. čeličnih profila 50x50x5 mm, na razmaku 60 cm i odmaku 20 cm od zida. Učvršćenje u arm.bet. konstrukciju zida pomoću pričvrsnih ploča (6 komada), vijcima (4 kom/ploči).
_ penjalica od kvadratnih čeličnih profila 30x30x3 mm u protukliznoj izvedbi, s međusobnim razmakom 25 cm (4 prečke), zavarenih na konstrukciju ljestvi;
_ platforme od areas rešetke, dimenzija 60x20 cm, izrađene od plosnih čeličnih profila 30x3 mm, koja se montira u razini zadnje prečke u pripadajući okvir od čeličnih L profila 30x30x3 mm.
Ljestve za svladavanje visinske razlike 115 cm. Ukupna visina ljestvi zajedno s rukohvatima 235 cm.</t>
  </si>
  <si>
    <t>Svi spojevi čeličnih profila izvode se varenjem.
Završna obrada svih čeličnih elemenata vrućim cinčanjem.
U stavci uključen sav potreban spojni i montažni pribor.
Izvedba u svemu prema standardnoj tehničkoj specifikaciji prodajnog mjesta Eurospin - točka 13.1.8.
Sve prema shemi crne bravarije CB-13.
Obračun po kompletu.</t>
  </si>
  <si>
    <t>13.1.8.a.</t>
  </si>
  <si>
    <t>13.1.9.</t>
  </si>
  <si>
    <t>Ljestve s leđobranom za pristup kosom krovu</t>
  </si>
  <si>
    <t>Dobava materijala, izrada, transport i montaža fiksnih ljestvi s leđobranom za pristup kosom krovu.
Ljestve se sastoje od:
_ konstrukcije, ujedno rukohvata, od kvadrat. čeličnih profila 50x50x5 mm, na razmaku 60 cm i odmaku 20 cm od zida. Učvršćenje u armiranobetonsku prefabriciranu konstrukciju stupa, grede i sl. pomoću distancera i pričvrsnih ploča (6 komada/vertikali), vijcima (4 kom/ploči).
_ penjalica od kvadratnih čeličnih profila 30x30x3 mm, u protukliznoj izvedbi, s međusobnim razmakom 25 cm (28 prečki), zavarenih na konstrukciju ljestvi;
_ konstrukcije leđobrana od pravokutnih čeličnih profila 40x20x3 mm (8 horizontalnih i 5 vertikalna profila), zavarenih na nosivu konstrukciju ljestvi, unutarnji promjer horizontalnih prečki &gt;70 cm i &lt; 80 cm;</t>
  </si>
  <si>
    <t>_ platforme od areas rešetke dimenzija 60x113 cm, izrađene od plosnih čeličnih profila 30x3 mm, koja se montira u razini zadnje prečke u pripadajući okvir od čeličnih L profila 30x30x3 mm.
Ljestve za svladavanje visinske razlike 620 cm.
Leđobran se izvodi od visine 200 cm iznad kote vanjskog uređenog terena, do visine 120 cm iznad kote atike kosog krova.
Ukupna visina leđobrana 536 cm.
Ukupna visina ljestvi zajedno s leđobranom 736 cm.
Sve spojeve čeličnih elemenata izvesti zavarivanjem.
Završna obrada svih čeličnih elemenata vrućim cinčanjem.
U stavci uključen sav potreban spojni i montažni pribor.
Izvedba u svemu prema standardnoj tehničkoj specifikaciji prodajnog mjesta Eurospin - točka</t>
  </si>
  <si>
    <t>13.1.9.
Sve prema shemi crne bravarije CB-12.
Obračun po kompletu.</t>
  </si>
  <si>
    <t>13.1.9.a.</t>
  </si>
  <si>
    <t>Obračun po kompletu.</t>
  </si>
  <si>
    <t>13.1.10.</t>
  </si>
  <si>
    <t>Odbojnici za zaštitu vrata i LT rashladnih vitrina</t>
  </si>
  <si>
    <t>Isključivo montaža odbojnika za zaštitu od udaraca brzopodiznih vrata skladišta, od cijevnih profila nehrđajućeg čelika, dimenzija prema pozicijama kao Wanzl ili jednakovrijedno.
Odbojnik tip C, sastoji se od:
_ tijela odbojnika od cijevnog profila inox čelika AISI 304, promjera 80 mm, debljine stjenke 3 mm, visine 50 cm, koji se sidri u podnu ploču, u za to predviđen otvor promjera 120 mm i učvršćuje epoksidnim tekućim ljepilom, kao Hilti CB-G EG ili jednakovrijedno. Nakon ugradnje tijelo odbojnika ispunjava se betonom C25/30;
_ zaobljene glave odbojnika od inox čelika AISI 304, dekapirane i polirane;
_ rozete unutarnjeg promjera 80 mm i vanjskog promjera 140 mm, od inox čelika AISI 304, debljine 4 mm.
U stavci uključen sav potreban spojni i montažni pribor.
Izvedba u svemu prema standardnoj tehničkoj</t>
  </si>
  <si>
    <t>specifikaciji prodajnog mjesta Eurospin - točka 13.1.11.
Detalji izvedbe u svemu prema standardnoj tehničkoj specifikaciji prodajnog mjesta Eurospin - poglavlje 13. - prikaz 47.
Sve prema shemi crne bravarije CB-3.
Odbojnike dobavlja Eurospin.
Obračun po kompletu.</t>
  </si>
  <si>
    <t>13.1.10.a.</t>
  </si>
  <si>
    <t>13.1.11.</t>
  </si>
  <si>
    <t>Kutni odbojnici</t>
  </si>
  <si>
    <t>Dobava materijala, izrada, transport i montaža odbojnika za zaštitu od udaraca unutarnjih zidova skladišta, paleta za vodu i piće unutar prodajnog prostora i vanjskih zidova gospodarskog dvorišta.
Odbojnici se izrađuju od:
_ varenog čeličnog L profila 120x80x5 mm, koji se učvršćuje u pod pomoću vijčanog spoja M12x160 mm, na razmaku 1,0 m.
Odbojnici se montiraju na distanci 30 mm od ravnine zidova i oslanjaju na kraću stranicu L profila (80 mm). Vertikalne krajeve odbojnika za zaštitu od ozljeda izvesti zaobljeno bez oštrih vrhova.
Završna obrada svih čeličnih elemenata vrućim cinčanjem.
U stavci uključen sav potreban spojni i montažni pribor.
Izvedba u svemu prema standardnoj tehničkoj specifikaciji prodajnog mjesta Eurospin - točka 13.1.12.</t>
  </si>
  <si>
    <t>Detalji izvedbe u svemu prema standardnoj tehničkoj specifikaciji prodajnog mjesta Eurospin - poglavlje 13. - prikaz 48.
Sve prema shemi crne bravarije CB-5.
Obračun po m1.</t>
  </si>
  <si>
    <t>13.1.11.a.</t>
  </si>
  <si>
    <t>odbojnici skladišta</t>
  </si>
  <si>
    <t>13.1.11.b.</t>
  </si>
  <si>
    <t>odbojnici prodajnog prostora</t>
  </si>
  <si>
    <t>13.1.11.c.</t>
  </si>
  <si>
    <t>odbojnici gospodarskog dvorišta</t>
  </si>
  <si>
    <t>13.1.12.</t>
  </si>
  <si>
    <t>Vodilica za potrošačka kolica</t>
  </si>
  <si>
    <r>
      <rPr>
        <b/>
        <sz val="9"/>
        <color rgb="FF000000"/>
        <rFont val="Calibri"/>
        <family val="2"/>
      </rPr>
      <t>Isključivo montaža</t>
    </r>
    <r>
      <rPr>
        <sz val="9"/>
        <color rgb="FF000000"/>
        <rFont val="Calibri"/>
        <family val="2"/>
      </rPr>
      <t xml:space="preserve"> vodilice za kolica, od cijevnih profila nehrđajućeg čelika, dimenzija prema pozicijama kao Wanzl ili jednakovrijedno.
Vodilica se sastoji od:
_ okvira vodilice (tri stupa i horizontalna povezna prečka) od cijevnih profila inox čelika AISI 304, promjera 45 mm, debljine stjenke 2 mm, koji se učvršćuje u pod pomoću spojnih pločica kružnog oblika, debljine 8 mm, te vijčanog spoja (3 kom / pločici).
Spojevi horizontalne prečke i krajnjih stupova izvodi se sa zaobljenjem prema detaljnom nacrtu.
Spojevi cijevi izvode se TIG zavarom, uključivo sa završnim poliranjem.
U stavci uključen sav potreban spojni i montažni pribor.
Izvedba u svemu prema standardnoj tehničkoj specifikaciji prodajnog mjesta Eurospin - točka 13.1.13.
Detalji izvedbe u svemu prema standardnoj</t>
    </r>
  </si>
  <si>
    <t>tehničkoj specifikaciji prodajnog mjesta Eurospin - poglavlje 13. - prikaz 49.
Sve prema shemi crne bravarije CB-7.
Vodilice dobavlja Eurospin.
Obračun po kompletu.</t>
  </si>
  <si>
    <t>13.1.12.a.</t>
  </si>
  <si>
    <t>bočne vodilice, l=355 cm, h=60 cm</t>
  </si>
  <si>
    <t>13.1.12.b.</t>
  </si>
  <si>
    <t>krajnje vodilice, l=220 cm, h=105 cm</t>
  </si>
  <si>
    <t>13.1.13.</t>
  </si>
  <si>
    <t>Ograda na istovarnoj rampi</t>
  </si>
  <si>
    <t>Dobava materijala, izrada, transport i montaža ograde na istovarnoj rampi, ispred press kontejnera za otpad.
Ograda se sastoji od:
_ nosivih stupova, visine 120 cm, od plošnih čeličnih profila 60x7 mm, zavarenih na temeljne čelične ploče dim. 130x60x7 mm, koje se učvršćuje u podnu arm. bet. ploču pomoću 2 čelična vijka M12x120 mm;
_ ogradnih panela dimenzija 1992x1214 mm, s ispunom od vertikalnih čeličnih šipki promjera 20 mm, debljine 1,5 mm, na razmaku ≤117 mm zavarene na gornju i donju horizontalnu vodilicu, izrađene od čeličnih C profila 25x50x25 mm, debljine 2 mm. Paneli nose perforirane ploče za učvršćivanje na stupove pomoću TTQST M10x30 sigurnosnih vijaka protiv krađe.
Kvaliteta čeličnih profila: S235JR.
Duž cijele baze ograde postaviti kutni odbojnik opisan stavkom 13.1.10.</t>
  </si>
  <si>
    <t>Završna obrada svih čeličnih elemenata vrućim cinčanjem.
U stavci uključen sav potreban spojni i montažni pribor.
Izvedba u svemu prema standardnoj tehničkoj specifikaciji prodajnog mjesta Eurospin NS02 - točka 14.1.10.
Obračun po m1.</t>
  </si>
  <si>
    <t>13.1.13.a.</t>
  </si>
  <si>
    <t>13.1.14.</t>
  </si>
  <si>
    <t>Dvokrilna, zaokretna vrata u vanjskom prostoru</t>
  </si>
  <si>
    <t>Dobava materijala, izrada, transport i montaža dvokrilnih, zaokretnih vrata u vanjskom prostoru, kao TALIA ORIZZONTALE ili jednakovrijedno.
Vrata se sastoje od:
_ stupova visine 220 cm, od kvadratnih pocinčanih čeličnih profila 200x200x3 mm, s pokrovnim kapama, koji se pričvršćuju u podnu ploču manipulativnog dvorišta pomoću pričvrsnih ploča i vijčanih spojevima;
_ okvira vratnih krila od kvadratnih pocinčanih čeličnih profila 80x80x3 mm, koji se preko okova za zaokretna vrata učvršćuju na stupove.
_ ispune okvira od panela s horizontalnih lamelama, Z presjeka, širine 1,5 mm, visine 37 mm, kao TALIA ORIZZONTALE ili jednakovrijedno.
Kvaliteta čeličnih profila: S235JR.
Završna obrada svih elemenata vrata tvorničkim plastificiranjem u boji RAL 7043 gloss 20.
U cijenu stavke uračunati potreban nehrđajući okov za zaokretno otvaranje krila, kvake ili</t>
  </si>
  <si>
    <t>rukohvate, štitnike, cilindar bravu s 5 ključeva, donje zasune na krilima, za zadržavanje u otvorenom i zatvorenom položaju, komplet s pločicama za učvršćivanje zasuna u pod.
U stavci uključen sav potreban spojni i montažni pribor.
Izvedba u svemu prema standardnoj tehničkoj specifikaciji prodajnog mjesta Eurospin - točka 13.1.15.
Detalji izvedbe u svemu prema standardnoj tehničkoj specifikaciji prodajnog mjesta Eurospin - poglavlje 13. - prikaz 52.
Obračun po kompletu.</t>
  </si>
  <si>
    <t>13.1.14.a.</t>
  </si>
  <si>
    <t>dvokrilna vrata dostavne rampe
- 684x220 cm. Prema shemi crne bravarije CB-11.</t>
  </si>
  <si>
    <t>13.1.14.b.</t>
  </si>
  <si>
    <t>dvokrilna vrata manipulativnog dvorišata
- 275x220 cm. Prema shemi crne bravarije CB-10.</t>
  </si>
  <si>
    <t>13.1.16.</t>
  </si>
  <si>
    <t>Zaštita rasvjetnog stupa</t>
  </si>
  <si>
    <t>Dobava materijala, izrada, transport i montaža zaštite od udaraca uz rasvjetne stupove na parkiralištu i u dvorištu.
Zaštita rasvjetnog stupa sastoji se od:
_ dva okvira dimenzija 51x110 cm od cijevnog čeličnog profila promjera 60 mm, debljine stjenke 3 mm, koji se pričvršćuju u temelj rasvjetnih stupova pomoću spojnih pločica kvadratnog oblika 100x100 mm, deblj. 8 mm, te vijčanog spoja (4 kom/pločici);
_ spojnih prečki između dva okvira od cijevnog čeličnog profila promjera 42 mm, debljine stjenke 2 mm, koji se zavarom pričvršćuju na okvire.
Završna obrada svih čeličnih elemenata vrućim cinčanjem.
U stavci uključen sav potreban spojni i montažni pribor.
Izvedba u svemu prema standardnoj tehničkoj specifikaciji prodajnog mjesta Eurospin - točka</t>
  </si>
  <si>
    <t>13.1.17.
Detalji izvedbe u svemu prema standardnoj tehničkoj specifikaciji prodajnog mjesta Eurospin - poglavlje 13. - prikaz 50.
Sve prema shemi crne bravarije CB-4.
Obračun po kompletu.</t>
  </si>
  <si>
    <t>13.1.16.a.</t>
  </si>
  <si>
    <t>zaštita rasvjetnog stupa</t>
  </si>
  <si>
    <t>13.1.17.</t>
  </si>
  <si>
    <t>Okvir podnog otirača</t>
  </si>
  <si>
    <t>Dobava materijala, izrada, transport i montaža ugradbenog okvira upuštenog podnog otirača u vjetrobranu dimenzija 300/210 cm.
Okvir se izrađuje od čeličnih L profila 45x45x3 mm, s ankerima od čeličnih L profila 150x30x3 mm, koji se ugrađuju u podnu arm.bet. ploču prilikom betoniranja.
Završna obrada svih čeličnih elemenata vrućim cinčanjem.
U stavci uključen sav potreban spojni i montažni pribor.
Izvedba u svemu prema standardnoj tehničkoj specifikaciji prodajnog mjesta Eurospin - točka 13.1.18.
Detalji izvedbe u svemu prema standardnoj tehničkoj specifikaciji prodajnog mjesta Eurospin - poglavlje 13. - prikaz 19.
Sve prema detalju broj 8.
Obračun po kompletu.</t>
  </si>
  <si>
    <t>13.1.17.a.</t>
  </si>
  <si>
    <t>13.1.19.</t>
  </si>
  <si>
    <t>Odbojnici za zaštitu fasade i vrata dostavne rampe</t>
  </si>
  <si>
    <t>Isključivo montaža odbojnika za zaštitu od udaraca fasade i vrata dostavne rampe, od cijevnih profila nehrđajućeg čelika, dimenzija prema pozicijama kao FIMA ili jednakovrijedno.
Odbojnik tip B, sastoji se od:
_ nosivog unutarnjeg profila odbojnika od čeličnog profila HEA 160, dužine 200 cm, koji se ugrađuje u armiranobetonski temelj (obračunat u zasebnoj stavci troškovnika);
_ tijela odbojnika od cijevnog profila inox čelika AISI 304, promjera 250 mm, debljine stijenke 4 mm, visine 100 cm, koji se ugrađuje preko nosivog profila HEA 160. Nakon ugradnje tijelo odbojnika ispunjava se betonom C25/30.
_ zaobljene glave odbojnika od inox čelika AISI 304, dekapirane i polirane.
U stavci uključen sav potreban spojni i montažni pribor.
Izvedba u svemu prema standardnoj tehničkoj specifikaciji prodajnog mjesta Eurospin - točka</t>
  </si>
  <si>
    <t>13.1.21.
Detalji izvedbe u svemu prema standardnoj tehničkoj specifikaciji prodajnog mjesta Eurospin - poglavlje 13. - prikaz 51.
Sve prema shemi crne bravarije CB-2.
Odbojnike dobavlja Eurospin.
Obračun po kompletu.</t>
  </si>
  <si>
    <t>13.1.19.a.</t>
  </si>
  <si>
    <t>13.1.20.</t>
  </si>
  <si>
    <t>Odbojnici za zaštitu ostakljene fasade</t>
  </si>
  <si>
    <t>Isključivo montaža odbojnika za zaštitu od udaraca ostakljene fasade, od cijevnih profila nehrđajućeg čelika, dimenzija prema pozicijama kao FIMA ili jednakovrijedno.
Odbojnik tip A, sastoji se od:
_ nosivog unutarnjeg profila odbojnika od cijevnog čeličnog profila promjera 100 mm, debljine stjenke 10 mm, dužine 52 cm, zavarenog na ankernu ploču promjera 280 mm i fiksiranog na betonsku ploču vijcima za sidrenje;
_ tijela odbojnika od cijevnog profila inox čelika AISI 304, promjera 154 mm, debljine stjenke 2 mm, visine 80 cm, koji se ugrađuje preko cijevnog profila. Nakon ugradnje tijelo odbojnika ispunjava se betonom C25/30.
_ zaobljene glave odbojnika od inox čelika AISI 304, dekapirane i polirane.
U stavci uključen sav potreban spojni i montažni pribor.
Izvedba u svemu prema standardnoj tehničkoj</t>
  </si>
  <si>
    <t>Napomena 13.08.2025.: Nudimo betonski stup fi 40</t>
  </si>
  <si>
    <t>specifikaciji prodajnog mjesta Eurospin - točka 13.1.22.
Detalji izvedbe u svemu prema standardnoj tehničkoj specifikaciji prodajnog mjesta Eurospin - poglavlje 13. - prikaz 51.
Sve prema shemi crne bravarije CB-1.
Odbojnike dobavlja Eurospin.
Obračun po kompletu.</t>
  </si>
  <si>
    <t>13.1.20.a.</t>
  </si>
  <si>
    <t>13.1.21.</t>
  </si>
  <si>
    <t>Krovne platforme za strojarsku opremu</t>
  </si>
  <si>
    <t>13.1.21.1.</t>
  </si>
  <si>
    <t>Čelična potkonstrukcija vanjskih jedinica strojarske opreme</t>
  </si>
  <si>
    <t>Dobava materijala, izrada, transporti, montaža i završna obrada čelične potkonstrukcije vanjskih jedinica strojarske opreme na krovu.
Konstrukcija se vješa na krovnu konstrukciju - sekundarne armiranobetonske prefabricirane grede T presjeka.
Čelična konstrukcija se sastoji od:
1. glavnih nosača u nivou krova izrađenih od kvadratnih čeličnih profila 150x150x5 mm;
2. vertikalnih i horizontalnih nosača od kvadratnih čeličnih profila 100x100x5 mm.
Sve spojeve čeličnih elemenata izvesti zavarivanjem.
Završna obrada svih čeličnih elemenata vrućim cinčanjem.
U stavci uključen sav potreban spojni i montažni pribor.
Sve prema statičkom proračunu i radioničkim nacrtima odobrenim od strane Eurospina.
Izvedba u svemu prema standardnoj tehničkoj</t>
  </si>
  <si>
    <t>specifikaciji prodajnog mjesta Eurospin - točka 13.1.23.
Obračun po kg.</t>
  </si>
  <si>
    <t>13.1.21.1.a.</t>
  </si>
  <si>
    <t>13.1.21.2.</t>
  </si>
  <si>
    <t>Krovna čelična platforma za rashladnu centralu</t>
  </si>
  <si>
    <t>Dobava materijala, izrada, transporti, montaža i završna obrada čelične platforme na krovu.
Čelična konstrukcija platforme od vruće pocinčanih čeličnih profila sastoji se od:
1. vertikalne konstrukcije - stupova od čeličnih cijevi promjera 141,3/8 mm, oslonjenih na glavne armiranobetonske prefabricirane nosače;
2. horizontalne konstrukcije - glavni rubni nosači od HEA 220 čeličnih profila učvršćenih na čelične stupove između kojih se učvršćuju sekundarni nosači od HEA 220 čeličnih profila u istoj razini.
3. elektro zavarena vruće pocinčana pješačka rešetka, komplet s elementima za pričvršćivanje, debljine 4cm.
Uključujući ploče, umetke, matice, podloške, vijke itd. za spajanje sekundarnih struktura i sve ostalo potrebno za dovršetak radova.
Sve prema statičkom proračunu i radioničkim nacrtima odobrenim od strane Eurospina.</t>
  </si>
  <si>
    <t>Izvedba u svemu prema standardnoj tehničkoj specifikaciji prodajnog mjesta Eurospin - točka 13.1.23.
Obračun po kg i m2.</t>
  </si>
  <si>
    <t>13.1.21.2.a.</t>
  </si>
  <si>
    <t>13.1.21.2.b.</t>
  </si>
  <si>
    <t>pješačka rešetka</t>
  </si>
  <si>
    <t>Krovne platforme za strojarsku opremu UKUPNO:</t>
  </si>
  <si>
    <t>STANDARDNI BRAVARSKI RADOVI UKUPNO:</t>
  </si>
  <si>
    <t>13.2.</t>
  </si>
  <si>
    <t>NESTANDARDNI BRAVARSKI RADOVI</t>
  </si>
  <si>
    <t>13.2.1.</t>
  </si>
  <si>
    <t>Sekundarne krovne čelične grede</t>
  </si>
  <si>
    <t>Dobava materijala, izrada, transporti, montaža i završna obrada sekundarnih krovnih čeličnih greda na spoju krovne konstrukcije novog dijela građevine s postojećom građevinom.
Krovni nosači se izvode od HEA 180 čeličnih profila učvršćenih na novu krovnu konstrukciju na glavne armiranobetonske prefabricirane nosače preko čeličnih papuča i na postojeću građevinu na armiranobetonske stupove, zidove i/ili sl. u dogovoru s nadzornim inženjerom i projektantom konstrukcije.
Završna obrada svih čeličnih elemenata vrućim cinčanjem.
Uključujući papuče, ploče, umetke, matice, podloške, vijke itd. i sve ostalo potrebno za dovršetak radova.
Sve prema statičkom proračunu i radioničkim nacrtima odobrenim od strane Eurospina.
Obračun po kg.</t>
  </si>
  <si>
    <t>13.2.1.a.</t>
  </si>
  <si>
    <t>POZ 115-120</t>
  </si>
  <si>
    <t>13.2.2.</t>
  </si>
  <si>
    <t>Ograda unutarnjeg stubišta</t>
  </si>
  <si>
    <t>Dobava, ugradnja i ličenje ograde unutarnjeg dvokrakog stubišta iz pocinčanih čel. profila. Visina ograde je 100 cm mjereno od sredine gazišta. Sastoji se od rukohvata od cijevi promjera 40/4 mm i okvira od čel. plosnih profila 50x4 mm s ispunom od istovjetnih profila vertikalno postavljenih, na razmaku cca 140 mm. Donji rub ograde prati donji rub armiranobetonske ploče kraka i podesta, na koje se ograda i učvršćuje. Postavljanje ograde na bočnu stranu ab ploče krakova i podesta vrši se vijcima, preko čel. pločica d= 5 mm koje se zavaruju s tri strane između 2 vertikalna plosna profila ispune i donjeg plosnog profila. Rukohvat se učvršćuje na okvir ograde na tri mjesta po kraku preko plosnih profila 30x4 mm visine 10 cm. Rukohvat teče kontinuirano od ulaza u prizemlju do podruma, a pri promjeni smjera kretanja se prostorno polukružno savija (tzv. "hamburški luk"). Na etaži prizemlja uz ulaz učvršćuje se u</t>
  </si>
  <si>
    <t>zid.
Uključivo sva potrebna antikorozivna zaštita temeljnim premazom, uz završnu obradu lak bojom za metal i/ili sl., na bazi vode, nijanse prema ton karti RAL ili jednakovrijedno, a po izboru investitora.
U stavci uključen sav potreban spojni i montažni pribor. Izrada prema shemi, s mjerama uzetim na gradnji i detaljima ovjerenim od projektanta.
Obračun po m1 (razvijena duljina rukohvata), do pune gotovosti i funkcionalnosti.
Sve prema shemi crne bravarije CB-8.</t>
  </si>
  <si>
    <t>13.2.2.a.</t>
  </si>
  <si>
    <t>13.2.3.</t>
  </si>
  <si>
    <t>Ograda vanjskog stubišta</t>
  </si>
  <si>
    <t>Dobava, ugradnja i ličenje ograde vanjskog dvokrakog stubišta iz pocinčanih čel. profila. Visina ograde je 120 cm mjereno od sredine gazišta. Sastoji se od nosača ograde iz plosnih profila 50x10 mm, rukohvata od cijevi promjera 40/4 mm i okvira od čel. plosnih profila 50x4 mm s ispunom od istovjetnih profila vertikalno postavljenih, na razmaku cca 140 mm.
Nosači ograde se izvode u L obliku duljine cca 140+8,5 cm iz plosnih profila 50x10 mm zavarenih na čel. pločice vel. 100x130x5 mm, preko kojih se vijcima učvršćuju za bočnu stranu armiranobetonske ploče krakova i podesta na razmacima 90-146 cm prema detaljnom nacrtu. Između nosača pričvršćuju se okviri s vertikalnim rasterom plosnih profila tako da je donji rub cca 32 cm ispod poda podesta, odnosno prati nagib kraka.
Rukohvat se postavlja na visinu od 100 cm mjereno od sredine gazišta. Rukohvat se učvršćuje na</t>
  </si>
  <si>
    <t>nosače ograde preko zavarenih konzolica L oblika od čel. šipki profila 10 mm razvijene duljine 10 cm. Rukohvat teče kontinuirano od ulaza u prizemlju do prvog kata, a pri promjeni smjera kretanja se prostorno polukružno savija (tzv. "hamburški luk"). Na etaži prvog kata učvršćuje se u zid.
Uključivo sva potrebna antikorozivna zaštita temeljnim premazom, uz završnu obradu lak bojom za metal i/ili sl., na bazi vode, nijanse prema ton karti RAL ili jednakovrijedno, a po izboru investitora.
U stavci uključen sav potreban spojni i montažni pribor. Izrada prema shemi, s mjerama uzetim na gradnji i detaljima ovjerenim od projektanta.
Obračun po m1 (razvijena duljina rukohvata), do pune gotovosti i funkcionalnosti.
Sve prema shemi crne bravarije CB-9.</t>
  </si>
  <si>
    <t>13.2.3.a.</t>
  </si>
  <si>
    <t>13.2.5.</t>
  </si>
  <si>
    <t>Postolje za jednostrani reklamni pano na pročelju</t>
  </si>
  <si>
    <t>Dobava materijala, izrada, transporti, montaža i završna obrada postolja za jednostrani reklamni pano Eurospin, dimenzija cca 195x195 cm, od čeličnih profila i limova (prema detalju NS03-43-44), koje se učvršćuje na pročelje postojećeg dijela zgrade obloženo izolacijskim panelima.
Kvaliteta čeličnih profila: S275.
Kvaliteta čeličnih pričvrsnih ploča: S335.
Kvaliteta sidrenih spojnih sredstava: klasa 8.8. - pocinčani
Klasa izvođenja čelične konstrukcije: EXC2.
Završna obrada svih čeličnih elemenata vrućim cinčanjem i bojanje u boju po izboru investitora.
U stavci uključeni popravci oštećenja završnog premaza nastalih od transporta i montaže, a nakon završetka svih radova.
U stavci uključen sav potreban spojni, montažni i pomoćni materijal (pričvrsne ploče i papuče, vijci, elektrode, montažne sajle i/ili sl.), te</t>
  </si>
  <si>
    <t>pokretna radna skela.
Reklamni pano dobavlja Eurospin.
Obračun po kompletu.</t>
  </si>
  <si>
    <t>13.2.5.a.</t>
  </si>
  <si>
    <t>13.2.8.</t>
  </si>
  <si>
    <t>Nadvoji i grede od čeličnih profila na mjestu probijanja novih otvora u postojećim zidovima</t>
  </si>
  <si>
    <t>Izrada, doprema na gradilište i montaža nadvoja, komplet do pune gotovosti, od čeličnih greda za ugradbu unutar novoformiranih otvora u nosivim zidovima zgrade. Sve se izvodi iz čelika S-275. U svemu prema projektu i statičkom proračunu. Grede su iz profila 2xIPE-140, 2xIPE-120. Prilikom izvođenja grede potrebno je paziti da se tijekom cijelog izvođenja osnovna konstrukcija stropa podupire čeličnim podupiračima.
Ležajnice nosivih profila se izvode u nosivim zidovima uštemavanjem i izradom ležaja te zapunjavanjem ekspandirajućim mortom.
Postupak postavljanja profila se provodi prvo s jedne strane pažljivim uštemavanjem zida za širinu jednog profila. Kad ležajnica dolazi na mjesto ranijeg otvora prvo treba podzidati novi zid do visine ležajnice.
Nakon tog se na pozicijama ležajnica čelični profil podiže metalnim pločicama da se priljubi uz zid iznad te se formira ležajnica</t>
  </si>
  <si>
    <t>ekspandirajućim mortom. Nakon učvršćivanja profila s jedne strane, isti postupak se provodi s druge strane zida. U slučaju otvora uz AB stup učvršćenje profila se izvodi preko sidrene pločice s vijcima.
Nakon postave profila s obje strane te nakon njihovog fiksiranja vijcima moguće je postupno rušiti zid.
Obračun po kompletnoj izvedbi uključivo sidrene pločice, vijke, polimer modificirani reparaturni mort ili cementni mort za ugradbu izrađen na bazi visoko vrijednih cemenata, punila i specijalnih aditiva s izrazitim svojstvom tečenja i bubrenja, a početne i konačne čvrstoće su mu visoke, i ekspandirajuće visokofluidno cementno vezivo za ispunu fuge ispod stropa, te završnu obradu kompletne konstrukcije - ličenje / antikorozivni premaz i 2x završno ličenje bojom za metal/.
Obračun po kg.</t>
  </si>
  <si>
    <t>13.2.8.a.</t>
  </si>
  <si>
    <t>POZ 55, 56: IPE 120 (l= 120 cm, 137 cm)</t>
  </si>
  <si>
    <t>13.2.8.b.</t>
  </si>
  <si>
    <t>POZ 124, 125: IPE 140 (l= 155 cm, 308 cm)</t>
  </si>
  <si>
    <t>13.2.8.c.</t>
  </si>
  <si>
    <t>POZ 54: HEA 200 (l= 491 cm)</t>
  </si>
  <si>
    <t>13.2.9.</t>
  </si>
  <si>
    <t>Potkonstrukcija za prihvat staklenih stijena s gornje strane</t>
  </si>
  <si>
    <t>Izrada, doprema na gradilište i montaža, komplet do pune gotovosti, čelične potkonstrukcije za prihvat staklenih stijena, trakastih prozora i sl. u postojećem dijelu građevine, od čeličnih kvadratnih profila 150/150/5 mm, odnosno dimenzija prema zahtjevu proizvođača elemenata koji se ugrađuju i statičara.
U slučaju ugradnje čelične potkonstrukcije na mjestu gdje se probijaju novi otvori u zidovima, postupak ugradnje izvesti kao što je opisano u stavci 13.2.10.
Obračun po kompletnoj izvedbi uključivo sidrene pločice, vijke, i sl. te završnu obradu kompletne konstrukcije - ličenje /antikorozivni premaz i 2x završno ličenje bojom za metal/. Potkonstrukcija vruće pocinčana i prethodno obojana u BIJELU boju RAL 9010 (isto kao boja fasadnih sendvič panela unutarnje strane).
Obračun po kg čelične konstrukcije</t>
  </si>
  <si>
    <t>13.2.9.a.</t>
  </si>
  <si>
    <t>13.2.10.</t>
  </si>
  <si>
    <t xml:space="preserve">Potkonstrukcija za prihvat staklenih stijena u nivou poda
</t>
  </si>
  <si>
    <t>Izrada, doprema na gradilište i montaža, komplet do pune gotovosti, čelične potkonstrukcije za prihvat staklenih stijena, i sl. u postojećem dijelu građevine, od čeličnih L profila 200/200/15 mm, odnosno dimenzija prema zahtjevu proizvođača elemenata koji se ugrađuju i statičara.
Obračun po kompletnoj izvedbi uključivo sidrene pločice, vijke, i sl. te završnu obradu kompletne konstrukcije - ličenje /antikorozivni premaz i 2x završno ličenje bojom za metal/. Potkonstrukcija vruće pocinčana.
Obračun po kg čelične konstrukcije</t>
  </si>
  <si>
    <t>13.2.10.a.</t>
  </si>
  <si>
    <t>13.2.11.</t>
  </si>
  <si>
    <t>Pješačke rešetke na ukopanim svjetlarnicima</t>
  </si>
  <si>
    <t>Dobava materijala, izrada, transporti, montaža i završna obrada ugradbenog okvira i upuštenih pješačkih rešetki na ukopanim svjetlarnicima.
Okvir se izrađuje od čeličnih L profila 45x45x4 mm, s ankerima od čeličnih profila 150x30x3 mm, koji se ugrađuju u armiranobetonsku konstrukciju svjetlarnika prilikom betoniranja.
Unutar okvira se polaže elektro zavarena vruće pocinčana pješačka rešetka, komplet s elementima za pričvršćivanje, debljine 4 cm. Dimenzije i tip lamela rešetki mora biti pogodan za nesmetan prelazak potrošačkih kolica preko rešetke.
Uključujući ploče, umetke, matice, podloške, vijke itd. i sve ostalo potrebno za dovršetak radova.
Sve prema statičkom proračunu i radioničkim nacrtima odobrenim od strane Eurospina.
Obračun po kg i m2.</t>
  </si>
  <si>
    <t>13.2.11.a.</t>
  </si>
  <si>
    <t>ugradbeni okvir za rešetke</t>
  </si>
  <si>
    <t>13.2.11.b.</t>
  </si>
  <si>
    <t>rešetke</t>
  </si>
  <si>
    <t>NESTANDARDNI BRAVARSKI RADOVI UKUPNO:</t>
  </si>
  <si>
    <t>BRAVARSKI RADOVI UKUPNO:</t>
  </si>
  <si>
    <t>ne izvodi 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</si>
</sst>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0"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9"/>
      <color rgb="FFFF0000"/>
      <name val="Calibri"/>
      <family val="2"/>
    </font>
    <font>
      <sz val="10"/>
      <color theme="1"/>
      <name val="Arial"/>
      <family val="2"/>
    </font>
    <font>
      <sz val="10"/>
      <name val="Arial"/>
      <family val="2"/>
    </font>
    <font>
      <sz val="10"/>
      <name val="Arial"/>
      <family val="2"/>
      <charset val="238"/>
    </font>
  </fonts>
  <fills count="8">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
      <patternFill patternType="solid">
        <fgColor theme="9" tint="0.79998168889431442"/>
        <bgColor indexed="64"/>
      </patternFill>
    </fill>
  </fills>
  <borders count="1">
    <border>
      <left/>
      <right/>
      <top/>
      <bottom/>
      <diagonal/>
    </border>
  </borders>
  <cellStyleXfs count="2">
    <xf numFmtId="0" fontId="0" fillId="0" borderId="0" applyBorder="0"/>
    <xf numFmtId="0" fontId="8" fillId="0" borderId="0"/>
  </cellStyleXfs>
  <cellXfs count="45">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2" fillId="0" borderId="0" xfId="0" applyFont="1" applyAlignment="1">
      <alignment horizontal="justify" vertical="top" wrapText="1"/>
    </xf>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2" fillId="0" borderId="0" xfId="0" applyFont="1" applyAlignment="1">
      <alignment horizontal="center"/>
    </xf>
    <xf numFmtId="0" fontId="5" fillId="4" borderId="0" xfId="0" applyFont="1" applyFill="1" applyAlignment="1">
      <alignment horizontal="center" vertical="center" wrapText="1"/>
    </xf>
    <xf numFmtId="0" fontId="5" fillId="5" borderId="0" xfId="0" applyFont="1" applyFill="1"/>
    <xf numFmtId="0" fontId="5" fillId="5" borderId="0" xfId="0" applyFont="1" applyFill="1" applyAlignment="1">
      <alignment wrapText="1"/>
    </xf>
    <xf numFmtId="0" fontId="5" fillId="5" borderId="0" xfId="0" applyFont="1" applyFill="1" applyAlignment="1">
      <alignment horizontal="center"/>
    </xf>
    <xf numFmtId="0" fontId="2" fillId="0" borderId="0" xfId="0" applyFont="1" applyAlignment="1">
      <alignment vertical="top"/>
    </xf>
    <xf numFmtId="0" fontId="5" fillId="0" borderId="0" xfId="0" applyFont="1" applyAlignment="1">
      <alignment wrapText="1"/>
    </xf>
    <xf numFmtId="0" fontId="6" fillId="0" borderId="0" xfId="0" applyFont="1"/>
    <xf numFmtId="0" fontId="2" fillId="0" borderId="0" xfId="0" applyFont="1" applyAlignment="1">
      <alignment horizontal="justify" wrapText="1"/>
    </xf>
    <xf numFmtId="4" fontId="2" fillId="0" borderId="0" xfId="0" applyNumberFormat="1" applyFont="1"/>
    <xf numFmtId="4" fontId="7" fillId="0" borderId="0" xfId="0" applyNumberFormat="1" applyFont="1" applyAlignment="1">
      <alignment horizontal="center"/>
    </xf>
    <xf numFmtId="4" fontId="9" fillId="0" borderId="0" xfId="1" applyNumberFormat="1" applyFont="1" applyProtection="1">
      <protection locked="0"/>
    </xf>
    <xf numFmtId="0" fontId="2" fillId="0" borderId="0" xfId="0" applyFont="1" applyAlignment="1">
      <alignment wrapText="1"/>
    </xf>
    <xf numFmtId="164" fontId="2" fillId="0" borderId="0" xfId="0" applyNumberFormat="1" applyFont="1"/>
    <xf numFmtId="0" fontId="6" fillId="0" borderId="0" xfId="0" applyFont="1" applyAlignment="1">
      <alignment wrapText="1"/>
    </xf>
    <xf numFmtId="0" fontId="5" fillId="6" borderId="0" xfId="0" applyFont="1" applyFill="1"/>
    <xf numFmtId="164" fontId="5" fillId="6" borderId="0" xfId="0" applyNumberFormat="1" applyFont="1" applyFill="1"/>
    <xf numFmtId="164" fontId="5" fillId="5" borderId="0" xfId="0" applyNumberFormat="1" applyFont="1" applyFill="1"/>
    <xf numFmtId="164" fontId="5" fillId="3" borderId="0" xfId="0" applyNumberFormat="1" applyFont="1" applyFill="1"/>
    <xf numFmtId="4" fontId="7" fillId="7" borderId="0" xfId="0" applyNumberFormat="1" applyFont="1" applyFill="1" applyAlignment="1">
      <alignment horizontal="center"/>
    </xf>
    <xf numFmtId="4" fontId="5" fillId="3" borderId="0" xfId="0" applyNumberFormat="1" applyFont="1" applyFill="1"/>
    <xf numFmtId="4" fontId="5" fillId="4" borderId="0" xfId="0" applyNumberFormat="1" applyFont="1" applyFill="1" applyAlignment="1">
      <alignment horizontal="center" vertical="center" wrapText="1"/>
    </xf>
    <xf numFmtId="4" fontId="5" fillId="5" borderId="0" xfId="0" applyNumberFormat="1" applyFont="1" applyFill="1"/>
    <xf numFmtId="4" fontId="2" fillId="0" borderId="0" xfId="0" applyNumberFormat="1" applyFont="1" applyAlignment="1">
      <alignment horizontal="right"/>
    </xf>
    <xf numFmtId="0" fontId="1" fillId="0" borderId="0" xfId="0" applyFont="1"/>
    <xf numFmtId="0" fontId="2" fillId="0" borderId="0" xfId="0" applyFont="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xf numFmtId="0" fontId="5" fillId="6" borderId="0" xfId="0" applyFont="1" applyFill="1" applyAlignment="1">
      <alignment wrapText="1"/>
    </xf>
    <xf numFmtId="0" fontId="5" fillId="6" borderId="0" xfId="0" applyFont="1" applyFill="1" applyAlignment="1">
      <alignment horizontal="center"/>
    </xf>
    <xf numFmtId="0" fontId="5" fillId="6" borderId="0" xfId="0" applyFont="1" applyFill="1"/>
  </cellXfs>
  <cellStyles count="2">
    <cellStyle name="Normal" xfId="0" builtinId="0"/>
    <cellStyle name="Normal 127" xfId="1" xr:uid="{45E8045A-5CF5-4BF3-AA5A-CB8A4D804A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7B08-DDBC-4885-B400-A18508702160}">
  <dimension ref="A2:B16"/>
  <sheetViews>
    <sheetView showZeros="0" view="pageBreakPreview" zoomScaleNormal="100" zoomScaleSheetLayoutView="100" workbookViewId="0">
      <selection activeCell="J210" sqref="J210"/>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34" t="s">
        <v>0</v>
      </c>
      <c r="B2" s="35"/>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B81F-D879-4CD7-A82E-33C2A8AA7B1E}">
  <sheetPr>
    <pageSetUpPr fitToPage="1"/>
  </sheetPr>
  <dimension ref="A2:C58"/>
  <sheetViews>
    <sheetView showZeros="0" view="pageBreakPreview" topLeftCell="A5" zoomScale="60" zoomScaleNormal="100" workbookViewId="0">
      <selection activeCell="J210" sqref="J210"/>
    </sheetView>
  </sheetViews>
  <sheetFormatPr defaultColWidth="9.140625" defaultRowHeight="12" x14ac:dyDescent="0.2"/>
  <cols>
    <col min="1" max="1" width="3.7109375" style="1" customWidth="1"/>
    <col min="2" max="2" width="81.7109375" style="1" customWidth="1"/>
    <col min="3" max="3" width="3.7109375" style="1" customWidth="1"/>
    <col min="4" max="4" width="9.140625" style="1" customWidth="1"/>
    <col min="5" max="16384" width="9.140625" style="1"/>
  </cols>
  <sheetData>
    <row r="2" spans="1:3" ht="18.75" x14ac:dyDescent="0.3">
      <c r="A2" s="5"/>
      <c r="B2" s="5" t="s">
        <v>0</v>
      </c>
      <c r="C2" s="5"/>
    </row>
    <row r="4" spans="1:3" ht="18.75" x14ac:dyDescent="0.3">
      <c r="A4" s="5"/>
      <c r="B4" s="5" t="s">
        <v>27</v>
      </c>
      <c r="C4" s="5"/>
    </row>
    <row r="6" spans="1:3" ht="324" x14ac:dyDescent="0.2">
      <c r="B6" s="6" t="s">
        <v>28</v>
      </c>
    </row>
    <row r="7" spans="1:3" ht="312" x14ac:dyDescent="0.2">
      <c r="B7" s="6" t="s">
        <v>29</v>
      </c>
    </row>
    <row r="8" spans="1:3" ht="300.75" customHeight="1" x14ac:dyDescent="0.2">
      <c r="B8" s="6" t="s">
        <v>30</v>
      </c>
    </row>
    <row r="9" spans="1:3" ht="312" x14ac:dyDescent="0.2">
      <c r="B9" s="6" t="s">
        <v>31</v>
      </c>
    </row>
    <row r="10" spans="1:3" ht="280.5" customHeight="1" x14ac:dyDescent="0.2">
      <c r="B10" s="6" t="s">
        <v>32</v>
      </c>
    </row>
    <row r="11" spans="1:3" ht="276" x14ac:dyDescent="0.2">
      <c r="B11" s="6" t="s">
        <v>33</v>
      </c>
    </row>
    <row r="12" spans="1:3" ht="288" x14ac:dyDescent="0.2">
      <c r="B12" s="6" t="s">
        <v>34</v>
      </c>
    </row>
    <row r="13" spans="1:3" ht="264" x14ac:dyDescent="0.2">
      <c r="B13" s="6" t="s">
        <v>35</v>
      </c>
    </row>
    <row r="14" spans="1:3" ht="264" x14ac:dyDescent="0.2">
      <c r="B14" s="6" t="s">
        <v>36</v>
      </c>
    </row>
    <row r="15" spans="1:3" ht="288" x14ac:dyDescent="0.2">
      <c r="B15" s="6" t="s">
        <v>37</v>
      </c>
    </row>
    <row r="16" spans="1:3" ht="252" x14ac:dyDescent="0.2">
      <c r="B16" s="6" t="s">
        <v>38</v>
      </c>
    </row>
    <row r="17" spans="2:2" ht="228" x14ac:dyDescent="0.2">
      <c r="B17" s="6" t="s">
        <v>39</v>
      </c>
    </row>
    <row r="18" spans="2:2" ht="336" x14ac:dyDescent="0.2">
      <c r="B18" s="6" t="s">
        <v>40</v>
      </c>
    </row>
    <row r="19" spans="2:2" ht="237" customHeight="1" x14ac:dyDescent="0.2">
      <c r="B19" s="6" t="s">
        <v>41</v>
      </c>
    </row>
    <row r="20" spans="2:2" ht="240.75" customHeight="1" x14ac:dyDescent="0.2">
      <c r="B20" s="6" t="s">
        <v>42</v>
      </c>
    </row>
    <row r="21" spans="2:2" ht="276" x14ac:dyDescent="0.2">
      <c r="B21" s="6" t="s">
        <v>43</v>
      </c>
    </row>
    <row r="22" spans="2:2" ht="264" x14ac:dyDescent="0.2">
      <c r="B22" s="6" t="s">
        <v>44</v>
      </c>
    </row>
    <row r="23" spans="2:2" ht="264.75" customHeight="1" x14ac:dyDescent="0.2">
      <c r="B23" s="6" t="s">
        <v>45</v>
      </c>
    </row>
    <row r="24" spans="2:2" ht="276" x14ac:dyDescent="0.2">
      <c r="B24" s="6" t="s">
        <v>46</v>
      </c>
    </row>
    <row r="25" spans="2:2" ht="276" x14ac:dyDescent="0.2">
      <c r="B25" s="6" t="s">
        <v>47</v>
      </c>
    </row>
    <row r="26" spans="2:2" ht="253.5" customHeight="1" x14ac:dyDescent="0.2">
      <c r="B26" s="6" t="s">
        <v>48</v>
      </c>
    </row>
    <row r="27" spans="2:2" ht="270.75" customHeight="1" x14ac:dyDescent="0.2">
      <c r="B27" s="6" t="s">
        <v>49</v>
      </c>
    </row>
    <row r="28" spans="2:2" ht="276" x14ac:dyDescent="0.2">
      <c r="B28" s="6" t="s">
        <v>50</v>
      </c>
    </row>
    <row r="29" spans="2:2" ht="300" x14ac:dyDescent="0.2">
      <c r="B29" s="6" t="s">
        <v>51</v>
      </c>
    </row>
    <row r="30" spans="2:2" ht="276" x14ac:dyDescent="0.2">
      <c r="B30" s="6" t="s">
        <v>52</v>
      </c>
    </row>
    <row r="31" spans="2:2" ht="255.75" customHeight="1" x14ac:dyDescent="0.2">
      <c r="B31" s="6" t="s">
        <v>53</v>
      </c>
    </row>
    <row r="32" spans="2:2" ht="264" x14ac:dyDescent="0.2">
      <c r="B32" s="6" t="s">
        <v>54</v>
      </c>
    </row>
    <row r="33" spans="2:2" ht="259.5" customHeight="1" x14ac:dyDescent="0.2">
      <c r="B33" s="6" t="s">
        <v>55</v>
      </c>
    </row>
    <row r="34" spans="2:2" ht="264.75" customHeight="1" x14ac:dyDescent="0.2">
      <c r="B34" s="6" t="s">
        <v>56</v>
      </c>
    </row>
    <row r="35" spans="2:2" ht="245.25" customHeight="1" x14ac:dyDescent="0.2">
      <c r="B35" s="6" t="s">
        <v>57</v>
      </c>
    </row>
    <row r="36" spans="2:2" ht="252" x14ac:dyDescent="0.2">
      <c r="B36" s="6" t="s">
        <v>58</v>
      </c>
    </row>
    <row r="37" spans="2:2" ht="252" x14ac:dyDescent="0.2">
      <c r="B37" s="6" t="s">
        <v>59</v>
      </c>
    </row>
    <row r="38" spans="2:2" ht="252" customHeight="1" x14ac:dyDescent="0.2">
      <c r="B38" s="6" t="s">
        <v>60</v>
      </c>
    </row>
    <row r="39" spans="2:2" ht="252" x14ac:dyDescent="0.2">
      <c r="B39" s="6" t="s">
        <v>61</v>
      </c>
    </row>
    <row r="40" spans="2:2" ht="273.75" customHeight="1" x14ac:dyDescent="0.2">
      <c r="B40" s="6" t="s">
        <v>62</v>
      </c>
    </row>
    <row r="41" spans="2:2" ht="324" x14ac:dyDescent="0.2">
      <c r="B41" s="6" t="s">
        <v>63</v>
      </c>
    </row>
    <row r="42" spans="2:2" ht="264" x14ac:dyDescent="0.2">
      <c r="B42" s="6" t="s">
        <v>64</v>
      </c>
    </row>
    <row r="43" spans="2:2" ht="252" x14ac:dyDescent="0.2">
      <c r="B43" s="6" t="s">
        <v>65</v>
      </c>
    </row>
    <row r="44" spans="2:2" ht="264" x14ac:dyDescent="0.2">
      <c r="B44" s="6" t="s">
        <v>66</v>
      </c>
    </row>
    <row r="45" spans="2:2" ht="240" x14ac:dyDescent="0.2">
      <c r="B45" s="6" t="s">
        <v>67</v>
      </c>
    </row>
    <row r="46" spans="2:2" ht="264" x14ac:dyDescent="0.2">
      <c r="B46" s="6" t="s">
        <v>68</v>
      </c>
    </row>
    <row r="47" spans="2:2" ht="252" x14ac:dyDescent="0.2">
      <c r="B47" s="6" t="s">
        <v>69</v>
      </c>
    </row>
    <row r="48" spans="2:2" ht="288" x14ac:dyDescent="0.2">
      <c r="B48" s="6" t="s">
        <v>70</v>
      </c>
    </row>
    <row r="49" spans="2:2" ht="276" x14ac:dyDescent="0.2">
      <c r="B49" s="6" t="s">
        <v>71</v>
      </c>
    </row>
    <row r="50" spans="2:2" ht="276" x14ac:dyDescent="0.2">
      <c r="B50" s="6" t="s">
        <v>72</v>
      </c>
    </row>
    <row r="51" spans="2:2" ht="252" x14ac:dyDescent="0.2">
      <c r="B51" s="6" t="s">
        <v>73</v>
      </c>
    </row>
    <row r="52" spans="2:2" ht="288" x14ac:dyDescent="0.2">
      <c r="B52" s="6" t="s">
        <v>74</v>
      </c>
    </row>
    <row r="53" spans="2:2" ht="288" x14ac:dyDescent="0.2">
      <c r="B53" s="6" t="s">
        <v>75</v>
      </c>
    </row>
    <row r="54" spans="2:2" ht="324" x14ac:dyDescent="0.2">
      <c r="B54" s="6" t="s">
        <v>76</v>
      </c>
    </row>
    <row r="55" spans="2:2" ht="288" x14ac:dyDescent="0.2">
      <c r="B55" s="6" t="s">
        <v>77</v>
      </c>
    </row>
    <row r="56" spans="2:2" ht="256.5" customHeight="1" x14ac:dyDescent="0.2">
      <c r="B56" s="6" t="s">
        <v>78</v>
      </c>
    </row>
    <row r="57" spans="2:2" ht="252.75" customHeight="1" x14ac:dyDescent="0.2">
      <c r="B57" s="6" t="s">
        <v>79</v>
      </c>
    </row>
    <row r="58" spans="2:2" ht="96" x14ac:dyDescent="0.2">
      <c r="B58" s="6" t="s">
        <v>80</v>
      </c>
    </row>
  </sheetData>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7" max="2" man="1"/>
    <brk id="19"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B4F2E-51F0-49D2-8577-C19484442D54}">
  <dimension ref="A4:M191"/>
  <sheetViews>
    <sheetView showZeros="0" tabSelected="1" view="pageBreakPreview" topLeftCell="A181" zoomScale="90" zoomScaleNormal="100" zoomScaleSheetLayoutView="90" workbookViewId="0">
      <selection activeCell="F184" sqref="F184"/>
    </sheetView>
  </sheetViews>
  <sheetFormatPr defaultColWidth="9.140625" defaultRowHeight="12" x14ac:dyDescent="0.2"/>
  <cols>
    <col min="1" max="1" width="9.7109375" style="1" customWidth="1"/>
    <col min="2" max="2" width="37.7109375" style="22" customWidth="1"/>
    <col min="3" max="3" width="7.7109375" style="10" customWidth="1"/>
    <col min="4" max="4" width="10.7109375" style="1" customWidth="1"/>
    <col min="5" max="5" width="10.7109375" style="19" customWidth="1"/>
    <col min="6" max="6" width="12.7109375" style="1" customWidth="1"/>
    <col min="7" max="7" width="9.140625" style="1" customWidth="1"/>
    <col min="8" max="16384" width="9.140625" style="1"/>
  </cols>
  <sheetData>
    <row r="4" spans="1:6" x14ac:dyDescent="0.2">
      <c r="A4" s="7" t="s">
        <v>81</v>
      </c>
      <c r="B4" s="39" t="s">
        <v>82</v>
      </c>
      <c r="C4" s="40"/>
      <c r="D4" s="41"/>
      <c r="E4" s="41"/>
      <c r="F4" s="41"/>
    </row>
    <row r="6" spans="1:6" x14ac:dyDescent="0.2">
      <c r="A6" s="7"/>
      <c r="B6" s="8" t="s">
        <v>27</v>
      </c>
      <c r="C6" s="9"/>
      <c r="D6" s="7"/>
      <c r="E6" s="30"/>
      <c r="F6" s="7"/>
    </row>
    <row r="8" spans="1:6" ht="276" x14ac:dyDescent="0.2">
      <c r="B8" s="6" t="s">
        <v>83</v>
      </c>
    </row>
    <row r="9" spans="1:6" ht="288" x14ac:dyDescent="0.2">
      <c r="B9" s="6" t="s">
        <v>84</v>
      </c>
    </row>
    <row r="10" spans="1:6" ht="264" x14ac:dyDescent="0.2">
      <c r="B10" s="6" t="s">
        <v>85</v>
      </c>
    </row>
    <row r="11" spans="1:6" ht="48" x14ac:dyDescent="0.2">
      <c r="B11" s="6" t="s">
        <v>86</v>
      </c>
    </row>
    <row r="13" spans="1:6" ht="30" customHeight="1" x14ac:dyDescent="0.2">
      <c r="A13" s="11" t="s">
        <v>87</v>
      </c>
      <c r="B13" s="11" t="s">
        <v>88</v>
      </c>
      <c r="C13" s="11" t="s">
        <v>89</v>
      </c>
      <c r="D13" s="11" t="s">
        <v>90</v>
      </c>
      <c r="E13" s="31" t="s">
        <v>91</v>
      </c>
      <c r="F13" s="11" t="s">
        <v>92</v>
      </c>
    </row>
    <row r="15" spans="1:6" x14ac:dyDescent="0.2">
      <c r="A15" s="12" t="s">
        <v>93</v>
      </c>
      <c r="B15" s="36" t="s">
        <v>94</v>
      </c>
      <c r="C15" s="37"/>
      <c r="D15" s="38"/>
      <c r="E15" s="38"/>
      <c r="F15" s="38"/>
    </row>
    <row r="17" spans="1:13" x14ac:dyDescent="0.2">
      <c r="A17" s="12"/>
      <c r="B17" s="13" t="s">
        <v>27</v>
      </c>
      <c r="C17" s="14"/>
      <c r="D17" s="12"/>
      <c r="E17" s="32"/>
      <c r="F17" s="12"/>
    </row>
    <row r="19" spans="1:13" ht="36" x14ac:dyDescent="0.2">
      <c r="B19" s="6" t="s">
        <v>95</v>
      </c>
    </row>
    <row r="21" spans="1:13" x14ac:dyDescent="0.2">
      <c r="A21" s="15" t="s">
        <v>96</v>
      </c>
      <c r="B21" s="16" t="s">
        <v>97</v>
      </c>
    </row>
    <row r="22" spans="1:13" ht="276" x14ac:dyDescent="0.2">
      <c r="B22" s="6" t="s">
        <v>98</v>
      </c>
    </row>
    <row r="23" spans="1:13" ht="288" x14ac:dyDescent="0.2">
      <c r="B23" s="6" t="s">
        <v>99</v>
      </c>
    </row>
    <row r="24" spans="1:13" ht="252" x14ac:dyDescent="0.2">
      <c r="B24" s="6" t="s">
        <v>100</v>
      </c>
    </row>
    <row r="25" spans="1:13" ht="264" x14ac:dyDescent="0.2">
      <c r="B25" s="6" t="s">
        <v>101</v>
      </c>
    </row>
    <row r="26" spans="1:13" ht="240" x14ac:dyDescent="0.2">
      <c r="B26" s="6" t="s">
        <v>102</v>
      </c>
      <c r="M26" s="29"/>
    </row>
    <row r="27" spans="1:13" ht="60" x14ac:dyDescent="0.2">
      <c r="B27" s="6" t="s">
        <v>103</v>
      </c>
      <c r="G27" s="17"/>
      <c r="M27" s="29"/>
    </row>
    <row r="28" spans="1:13" ht="12.75" x14ac:dyDescent="0.2">
      <c r="A28" s="1" t="s">
        <v>104</v>
      </c>
      <c r="B28" s="18" t="s">
        <v>105</v>
      </c>
      <c r="C28" s="10" t="s">
        <v>106</v>
      </c>
      <c r="D28" s="19">
        <v>4663</v>
      </c>
      <c r="E28" s="19">
        <v>3.26</v>
      </c>
      <c r="F28" s="20">
        <f>IF(OR(OR(E28=0,E28=""),OR(D28=0,D28="")),"",$D28*E28)</f>
        <v>15201.38</v>
      </c>
      <c r="G28" s="21"/>
      <c r="M28" s="29"/>
    </row>
    <row r="29" spans="1:13" ht="12.75" x14ac:dyDescent="0.2">
      <c r="A29" s="1" t="s">
        <v>109</v>
      </c>
      <c r="B29" s="18" t="s">
        <v>110</v>
      </c>
      <c r="C29" s="10" t="s">
        <v>111</v>
      </c>
      <c r="D29" s="19">
        <v>17.61</v>
      </c>
      <c r="E29" s="19">
        <v>8.8000000000000007</v>
      </c>
      <c r="F29" s="20">
        <f t="shared" ref="F29:F32" si="0">IF(OR(OR(E29=0,E29=""),OR(D29=0,D29="")),"",$D29*E29)</f>
        <v>154.96800000000002</v>
      </c>
      <c r="G29" s="21"/>
      <c r="M29" s="29"/>
    </row>
    <row r="30" spans="1:13" ht="12.75" x14ac:dyDescent="0.2">
      <c r="A30" s="1" t="s">
        <v>112</v>
      </c>
      <c r="B30" s="18" t="s">
        <v>113</v>
      </c>
      <c r="C30" s="10" t="s">
        <v>107</v>
      </c>
      <c r="D30" s="19">
        <v>48.41</v>
      </c>
      <c r="E30" s="19">
        <v>79.2</v>
      </c>
      <c r="F30" s="20">
        <f t="shared" si="0"/>
        <v>3834.0719999999997</v>
      </c>
      <c r="G30" s="21"/>
    </row>
    <row r="31" spans="1:13" ht="12.75" x14ac:dyDescent="0.2">
      <c r="A31" s="1" t="s">
        <v>114</v>
      </c>
      <c r="B31" s="18" t="s">
        <v>115</v>
      </c>
      <c r="C31" s="10" t="s">
        <v>107</v>
      </c>
      <c r="D31" s="19">
        <v>21.32</v>
      </c>
      <c r="E31" s="19">
        <v>61.6</v>
      </c>
      <c r="F31" s="20">
        <f t="shared" si="0"/>
        <v>1313.3120000000001</v>
      </c>
      <c r="G31" s="21"/>
    </row>
    <row r="32" spans="1:13" ht="12.75" x14ac:dyDescent="0.2">
      <c r="A32" s="1" t="s">
        <v>116</v>
      </c>
      <c r="B32" s="18" t="s">
        <v>117</v>
      </c>
      <c r="C32" s="10" t="s">
        <v>108</v>
      </c>
      <c r="D32" s="19">
        <v>1</v>
      </c>
      <c r="E32" s="19">
        <v>1056</v>
      </c>
      <c r="F32" s="20">
        <f t="shared" si="0"/>
        <v>1056</v>
      </c>
      <c r="G32" s="21"/>
    </row>
    <row r="33" spans="1:7" x14ac:dyDescent="0.2">
      <c r="E33" s="33" t="s">
        <v>118</v>
      </c>
      <c r="F33" s="23">
        <f>SUM(F28:F32)</f>
        <v>21559.732</v>
      </c>
    </row>
    <row r="35" spans="1:7" x14ac:dyDescent="0.2">
      <c r="A35" s="15" t="s">
        <v>119</v>
      </c>
      <c r="B35" s="16" t="s">
        <v>120</v>
      </c>
    </row>
    <row r="36" spans="1:7" ht="180" x14ac:dyDescent="0.2">
      <c r="B36" s="6" t="s">
        <v>121</v>
      </c>
    </row>
    <row r="37" spans="1:7" ht="12.75" x14ac:dyDescent="0.2">
      <c r="A37" s="1" t="s">
        <v>122</v>
      </c>
      <c r="B37" s="18" t="s">
        <v>123</v>
      </c>
      <c r="C37" s="10" t="s">
        <v>107</v>
      </c>
      <c r="D37" s="19">
        <v>27.55</v>
      </c>
      <c r="E37" s="20">
        <v>60</v>
      </c>
      <c r="F37" s="20">
        <f>IF(OR(OR(E37=0,E37=""),OR(D37=0,D37="")),"",$D37*E37)</f>
        <v>1653</v>
      </c>
      <c r="G37" s="21"/>
    </row>
    <row r="39" spans="1:7" ht="36" x14ac:dyDescent="0.2">
      <c r="A39" s="15" t="s">
        <v>124</v>
      </c>
      <c r="B39" s="16" t="s">
        <v>125</v>
      </c>
    </row>
    <row r="40" spans="1:7" ht="276" x14ac:dyDescent="0.2">
      <c r="B40" s="6" t="s">
        <v>126</v>
      </c>
    </row>
    <row r="41" spans="1:7" ht="252" x14ac:dyDescent="0.2">
      <c r="B41" s="6" t="s">
        <v>127</v>
      </c>
    </row>
    <row r="42" spans="1:7" ht="276" x14ac:dyDescent="0.2">
      <c r="B42" s="6" t="s">
        <v>128</v>
      </c>
    </row>
    <row r="43" spans="1:7" ht="252" x14ac:dyDescent="0.2">
      <c r="B43" s="6" t="s">
        <v>129</v>
      </c>
    </row>
    <row r="44" spans="1:7" ht="180" x14ac:dyDescent="0.2">
      <c r="B44" s="6" t="s">
        <v>130</v>
      </c>
    </row>
    <row r="45" spans="1:7" ht="12.75" x14ac:dyDescent="0.2">
      <c r="A45" s="1" t="s">
        <v>131</v>
      </c>
      <c r="B45" s="18" t="s">
        <v>105</v>
      </c>
      <c r="C45" s="10" t="s">
        <v>106</v>
      </c>
      <c r="D45" s="19">
        <v>9332.44</v>
      </c>
      <c r="E45" s="19">
        <v>3.08</v>
      </c>
      <c r="F45" s="20">
        <f t="shared" ref="F45:F48" si="1">IF(OR(OR(E45=0,E45=""),OR(D45=0,D45="")),"",$D45*E45)</f>
        <v>28743.915200000003</v>
      </c>
      <c r="G45" s="21"/>
    </row>
    <row r="46" spans="1:7" ht="12.75" x14ac:dyDescent="0.2">
      <c r="A46" s="1" t="s">
        <v>132</v>
      </c>
      <c r="B46" s="18" t="s">
        <v>110</v>
      </c>
      <c r="C46" s="10" t="s">
        <v>111</v>
      </c>
      <c r="D46" s="19">
        <v>21.63</v>
      </c>
      <c r="E46" s="19">
        <v>30</v>
      </c>
      <c r="F46" s="20">
        <f t="shared" si="1"/>
        <v>648.9</v>
      </c>
      <c r="G46" s="21"/>
    </row>
    <row r="47" spans="1:7" ht="12.75" x14ac:dyDescent="0.2">
      <c r="A47" s="1" t="s">
        <v>133</v>
      </c>
      <c r="B47" s="18" t="s">
        <v>115</v>
      </c>
      <c r="C47" s="10" t="s">
        <v>107</v>
      </c>
      <c r="D47" s="19">
        <v>31.52</v>
      </c>
      <c r="E47" s="19">
        <v>52.8</v>
      </c>
      <c r="F47" s="20">
        <f t="shared" si="1"/>
        <v>1664.2559999999999</v>
      </c>
      <c r="G47" s="21"/>
    </row>
    <row r="48" spans="1:7" ht="12.75" x14ac:dyDescent="0.2">
      <c r="A48" s="1" t="s">
        <v>134</v>
      </c>
      <c r="B48" s="18" t="s">
        <v>117</v>
      </c>
      <c r="C48" s="10" t="s">
        <v>108</v>
      </c>
      <c r="D48" s="19">
        <v>1</v>
      </c>
      <c r="E48" s="19">
        <v>1056</v>
      </c>
      <c r="F48" s="20">
        <f t="shared" si="1"/>
        <v>1056</v>
      </c>
      <c r="G48" s="21"/>
    </row>
    <row r="49" spans="1:7" x14ac:dyDescent="0.2">
      <c r="E49" s="33" t="s">
        <v>118</v>
      </c>
      <c r="F49" s="23">
        <f>SUM(F45:F48)</f>
        <v>32113.071200000006</v>
      </c>
    </row>
    <row r="52" spans="1:7" x14ac:dyDescent="0.2">
      <c r="A52" s="15" t="s">
        <v>135</v>
      </c>
      <c r="B52" s="16" t="s">
        <v>136</v>
      </c>
    </row>
    <row r="53" spans="1:7" ht="264" x14ac:dyDescent="0.2">
      <c r="B53" s="6" t="s">
        <v>137</v>
      </c>
    </row>
    <row r="54" spans="1:7" ht="12.75" x14ac:dyDescent="0.2">
      <c r="A54" s="1" t="s">
        <v>138</v>
      </c>
      <c r="B54" s="18" t="s">
        <v>105</v>
      </c>
      <c r="C54" s="10" t="s">
        <v>106</v>
      </c>
      <c r="D54" s="19">
        <v>3414.61</v>
      </c>
      <c r="E54" s="19">
        <v>3.7</v>
      </c>
      <c r="F54" s="20">
        <f>IF(OR(OR(E54=0,E54=""),OR(D54=0,D54="")),"",$D54*E54)</f>
        <v>12634.057000000001</v>
      </c>
      <c r="G54" s="21"/>
    </row>
    <row r="57" spans="1:7" ht="24" x14ac:dyDescent="0.2">
      <c r="A57" s="15" t="s">
        <v>139</v>
      </c>
      <c r="B57" s="16" t="s">
        <v>140</v>
      </c>
    </row>
    <row r="58" spans="1:7" ht="276" x14ac:dyDescent="0.2">
      <c r="B58" s="6" t="s">
        <v>141</v>
      </c>
    </row>
    <row r="59" spans="1:7" ht="252" x14ac:dyDescent="0.2">
      <c r="B59" s="6" t="s">
        <v>142</v>
      </c>
    </row>
    <row r="60" spans="1:7" ht="12.75" x14ac:dyDescent="0.2">
      <c r="A60" s="1" t="s">
        <v>143</v>
      </c>
      <c r="B60" s="18" t="s">
        <v>123</v>
      </c>
      <c r="C60" s="10" t="s">
        <v>108</v>
      </c>
      <c r="D60" s="19">
        <v>1</v>
      </c>
      <c r="E60" s="19">
        <v>4650</v>
      </c>
      <c r="F60" s="20">
        <f>IF(OR(OR(E60=0,E60=""),OR(D60=0,D60="")),"",$D60*E60)</f>
        <v>4650</v>
      </c>
      <c r="G60" s="21"/>
    </row>
    <row r="62" spans="1:7" x14ac:dyDescent="0.2">
      <c r="A62" s="15" t="s">
        <v>144</v>
      </c>
      <c r="B62" s="16" t="s">
        <v>145</v>
      </c>
    </row>
    <row r="63" spans="1:7" ht="240" x14ac:dyDescent="0.2">
      <c r="B63" s="6" t="s">
        <v>146</v>
      </c>
    </row>
    <row r="64" spans="1:7" ht="132" x14ac:dyDescent="0.2">
      <c r="B64" s="6" t="s">
        <v>147</v>
      </c>
    </row>
    <row r="65" spans="1:7" ht="12.75" x14ac:dyDescent="0.2">
      <c r="A65" s="1" t="s">
        <v>148</v>
      </c>
      <c r="B65" s="18" t="s">
        <v>123</v>
      </c>
      <c r="C65" s="10" t="s">
        <v>108</v>
      </c>
      <c r="D65" s="19">
        <v>1</v>
      </c>
      <c r="E65" s="19">
        <v>792</v>
      </c>
      <c r="F65" s="20">
        <f>IF(OR(OR(E65=0,E65=""),OR(D65=0,D65="")),"",$D65*E65)</f>
        <v>792</v>
      </c>
      <c r="G65" s="21"/>
    </row>
    <row r="67" spans="1:7" x14ac:dyDescent="0.2">
      <c r="A67" s="15" t="s">
        <v>149</v>
      </c>
      <c r="B67" s="16" t="s">
        <v>150</v>
      </c>
    </row>
    <row r="68" spans="1:7" ht="240" x14ac:dyDescent="0.2">
      <c r="B68" s="6" t="s">
        <v>151</v>
      </c>
    </row>
    <row r="69" spans="1:7" ht="252" x14ac:dyDescent="0.2">
      <c r="B69" s="6" t="s">
        <v>152</v>
      </c>
    </row>
    <row r="70" spans="1:7" ht="36" x14ac:dyDescent="0.2">
      <c r="B70" s="6" t="s">
        <v>153</v>
      </c>
    </row>
    <row r="71" spans="1:7" ht="12.75" x14ac:dyDescent="0.2">
      <c r="A71" s="1" t="s">
        <v>154</v>
      </c>
      <c r="B71" s="18" t="s">
        <v>155</v>
      </c>
      <c r="C71" s="10" t="s">
        <v>108</v>
      </c>
      <c r="D71" s="19">
        <v>1</v>
      </c>
      <c r="E71" s="19">
        <v>2112</v>
      </c>
      <c r="F71" s="20">
        <f>IF(OR(OR(E71=0,E71=""),OR(D71=0,D71="")),"",$D71*E71)</f>
        <v>2112</v>
      </c>
      <c r="G71" s="21"/>
    </row>
    <row r="73" spans="1:7" x14ac:dyDescent="0.2">
      <c r="A73" s="15" t="s">
        <v>156</v>
      </c>
      <c r="B73" s="16" t="s">
        <v>157</v>
      </c>
    </row>
    <row r="74" spans="1:7" ht="264" x14ac:dyDescent="0.2">
      <c r="B74" s="6" t="s">
        <v>158</v>
      </c>
    </row>
    <row r="75" spans="1:7" ht="96" x14ac:dyDescent="0.2">
      <c r="B75" s="6" t="s">
        <v>159</v>
      </c>
    </row>
    <row r="76" spans="1:7" ht="12.75" x14ac:dyDescent="0.2">
      <c r="A76" s="1" t="s">
        <v>160</v>
      </c>
      <c r="B76" s="18" t="s">
        <v>123</v>
      </c>
      <c r="C76" s="10" t="s">
        <v>108</v>
      </c>
      <c r="D76" s="19">
        <v>4</v>
      </c>
      <c r="E76" s="19">
        <v>119</v>
      </c>
      <c r="F76" s="20">
        <f>IF(OR(OR(E76=0,E76=""),OR(D76=0,D76="")),"",$D76*E76)</f>
        <v>476</v>
      </c>
      <c r="G76" s="21"/>
    </row>
    <row r="78" spans="1:7" x14ac:dyDescent="0.2">
      <c r="A78" s="15" t="s">
        <v>161</v>
      </c>
      <c r="B78" s="16" t="s">
        <v>162</v>
      </c>
    </row>
    <row r="79" spans="1:7" ht="252" x14ac:dyDescent="0.2">
      <c r="B79" s="6" t="s">
        <v>163</v>
      </c>
    </row>
    <row r="80" spans="1:7" ht="60" x14ac:dyDescent="0.2">
      <c r="B80" s="6" t="s">
        <v>164</v>
      </c>
    </row>
    <row r="81" spans="1:7" ht="12.75" x14ac:dyDescent="0.2">
      <c r="A81" s="1" t="s">
        <v>165</v>
      </c>
      <c r="B81" s="18" t="s">
        <v>166</v>
      </c>
      <c r="C81" s="10" t="s">
        <v>111</v>
      </c>
      <c r="D81" s="19">
        <v>51.81</v>
      </c>
      <c r="E81" s="19">
        <v>26.4</v>
      </c>
      <c r="F81" s="20">
        <f t="shared" ref="F81:F83" si="2">IF(OR(OR(E81=0,E81=""),OR(D81=0,D81="")),"",$D81*E81)</f>
        <v>1367.7839999999999</v>
      </c>
      <c r="G81" s="21"/>
    </row>
    <row r="82" spans="1:7" ht="12.75" x14ac:dyDescent="0.2">
      <c r="A82" s="1" t="s">
        <v>167</v>
      </c>
      <c r="B82" s="18" t="s">
        <v>168</v>
      </c>
      <c r="C82" s="10" t="s">
        <v>111</v>
      </c>
      <c r="D82" s="19">
        <v>11.23</v>
      </c>
      <c r="E82" s="19">
        <v>26.4</v>
      </c>
      <c r="F82" s="20">
        <f t="shared" si="2"/>
        <v>296.47199999999998</v>
      </c>
      <c r="G82" s="21"/>
    </row>
    <row r="83" spans="1:7" ht="12.75" x14ac:dyDescent="0.2">
      <c r="A83" s="1" t="s">
        <v>169</v>
      </c>
      <c r="B83" s="18" t="s">
        <v>170</v>
      </c>
      <c r="C83" s="10" t="s">
        <v>111</v>
      </c>
      <c r="D83" s="19">
        <v>36.26</v>
      </c>
      <c r="E83" s="19">
        <v>35.200000000000003</v>
      </c>
      <c r="F83" s="20">
        <f t="shared" si="2"/>
        <v>1276.3520000000001</v>
      </c>
      <c r="G83" s="21"/>
    </row>
    <row r="84" spans="1:7" x14ac:dyDescent="0.2">
      <c r="E84" s="33" t="s">
        <v>118</v>
      </c>
      <c r="F84" s="23">
        <f>SUM(F81:F83)</f>
        <v>2940.6080000000002</v>
      </c>
    </row>
    <row r="86" spans="1:7" x14ac:dyDescent="0.2">
      <c r="A86" s="15" t="s">
        <v>171</v>
      </c>
      <c r="B86" s="16" t="s">
        <v>172</v>
      </c>
    </row>
    <row r="87" spans="1:7" ht="264" x14ac:dyDescent="0.2">
      <c r="B87" s="6" t="s">
        <v>173</v>
      </c>
    </row>
    <row r="88" spans="1:7" ht="60" x14ac:dyDescent="0.2">
      <c r="B88" s="6" t="s">
        <v>174</v>
      </c>
    </row>
    <row r="89" spans="1:7" ht="12.75" x14ac:dyDescent="0.2">
      <c r="A89" s="1" t="s">
        <v>175</v>
      </c>
      <c r="B89" s="18" t="s">
        <v>176</v>
      </c>
      <c r="C89" s="10" t="s">
        <v>108</v>
      </c>
      <c r="D89" s="19">
        <v>8</v>
      </c>
      <c r="E89" s="19">
        <v>242</v>
      </c>
      <c r="F89" s="20">
        <f t="shared" ref="F89:F90" si="3">IF(OR(OR(E89=0,E89=""),OR(D89=0,D89="")),"",$D89*E89)</f>
        <v>1936</v>
      </c>
      <c r="G89" s="21"/>
    </row>
    <row r="90" spans="1:7" ht="12.75" x14ac:dyDescent="0.2">
      <c r="A90" s="1" t="s">
        <v>177</v>
      </c>
      <c r="B90" s="18" t="s">
        <v>178</v>
      </c>
      <c r="C90" s="10" t="s">
        <v>108</v>
      </c>
      <c r="D90" s="19">
        <v>1</v>
      </c>
      <c r="E90" s="19">
        <v>305</v>
      </c>
      <c r="F90" s="20">
        <f t="shared" si="3"/>
        <v>305</v>
      </c>
      <c r="G90" s="21"/>
    </row>
    <row r="91" spans="1:7" x14ac:dyDescent="0.2">
      <c r="E91" s="33" t="s">
        <v>118</v>
      </c>
      <c r="F91" s="23">
        <f>SUM(F89:F90)</f>
        <v>2241</v>
      </c>
    </row>
    <row r="93" spans="1:7" x14ac:dyDescent="0.2">
      <c r="A93" s="15" t="s">
        <v>179</v>
      </c>
      <c r="B93" s="16" t="s">
        <v>180</v>
      </c>
    </row>
    <row r="94" spans="1:7" ht="252" x14ac:dyDescent="0.2">
      <c r="B94" s="6" t="s">
        <v>181</v>
      </c>
    </row>
    <row r="95" spans="1:7" ht="96" x14ac:dyDescent="0.2">
      <c r="B95" s="6" t="s">
        <v>182</v>
      </c>
    </row>
    <row r="96" spans="1:7" ht="12.75" x14ac:dyDescent="0.2">
      <c r="A96" s="1" t="s">
        <v>183</v>
      </c>
      <c r="B96" s="18" t="s">
        <v>123</v>
      </c>
      <c r="C96" s="10" t="s">
        <v>111</v>
      </c>
      <c r="D96" s="19">
        <v>4</v>
      </c>
      <c r="E96" s="20">
        <v>193.6</v>
      </c>
      <c r="F96" s="20">
        <f>IF(OR(OR(E96=0,E96=""),OR(D96=0,D96="")),"",$D96*E96)</f>
        <v>774.4</v>
      </c>
      <c r="G96" s="21"/>
    </row>
    <row r="98" spans="1:7" x14ac:dyDescent="0.2">
      <c r="A98" s="15" t="s">
        <v>184</v>
      </c>
      <c r="B98" s="16" t="s">
        <v>185</v>
      </c>
    </row>
    <row r="99" spans="1:7" ht="288" x14ac:dyDescent="0.2">
      <c r="B99" s="6" t="s">
        <v>186</v>
      </c>
    </row>
    <row r="100" spans="1:7" ht="156" x14ac:dyDescent="0.2">
      <c r="B100" s="6" t="s">
        <v>187</v>
      </c>
    </row>
    <row r="101" spans="1:7" ht="36" x14ac:dyDescent="0.2">
      <c r="A101" s="1" t="s">
        <v>188</v>
      </c>
      <c r="B101" s="18" t="s">
        <v>189</v>
      </c>
      <c r="C101" s="10" t="s">
        <v>108</v>
      </c>
      <c r="D101" s="19">
        <v>1</v>
      </c>
      <c r="E101" s="19">
        <v>2633.4</v>
      </c>
      <c r="F101" s="20">
        <f t="shared" ref="F101:F102" si="4">IF(OR(OR(E101=0,E101=""),OR(D101=0,D101="")),"",$D101*E101)</f>
        <v>2633.4</v>
      </c>
      <c r="G101" s="21"/>
    </row>
    <row r="102" spans="1:7" ht="36" x14ac:dyDescent="0.2">
      <c r="A102" s="1" t="s">
        <v>190</v>
      </c>
      <c r="B102" s="18" t="s">
        <v>191</v>
      </c>
      <c r="C102" s="10" t="s">
        <v>108</v>
      </c>
      <c r="D102" s="19">
        <v>1</v>
      </c>
      <c r="E102" s="19">
        <v>1058.75</v>
      </c>
      <c r="F102" s="20">
        <f t="shared" si="4"/>
        <v>1058.75</v>
      </c>
      <c r="G102" s="21"/>
    </row>
    <row r="103" spans="1:7" x14ac:dyDescent="0.2">
      <c r="E103" s="33" t="s">
        <v>118</v>
      </c>
      <c r="F103" s="23">
        <f>SUM(F101:F102)</f>
        <v>3692.15</v>
      </c>
    </row>
    <row r="106" spans="1:7" x14ac:dyDescent="0.2">
      <c r="A106" s="15" t="s">
        <v>192</v>
      </c>
      <c r="B106" s="16" t="s">
        <v>193</v>
      </c>
    </row>
    <row r="107" spans="1:7" ht="264" x14ac:dyDescent="0.2">
      <c r="B107" s="6" t="s">
        <v>194</v>
      </c>
    </row>
    <row r="108" spans="1:7" ht="72" x14ac:dyDescent="0.2">
      <c r="B108" s="6" t="s">
        <v>195</v>
      </c>
    </row>
    <row r="109" spans="1:7" ht="12.75" x14ac:dyDescent="0.2">
      <c r="A109" s="1" t="s">
        <v>196</v>
      </c>
      <c r="B109" s="18" t="s">
        <v>197</v>
      </c>
      <c r="C109" s="10" t="s">
        <v>108</v>
      </c>
      <c r="D109" s="19">
        <v>6</v>
      </c>
      <c r="E109" s="19">
        <v>264</v>
      </c>
      <c r="F109" s="20">
        <f>IF(OR(OR(E109=0,E109=""),OR(D109=0,D109="")),"",$D109*E109)</f>
        <v>1584</v>
      </c>
      <c r="G109" s="21"/>
    </row>
    <row r="111" spans="1:7" x14ac:dyDescent="0.2">
      <c r="A111" s="15" t="s">
        <v>198</v>
      </c>
      <c r="B111" s="16" t="s">
        <v>199</v>
      </c>
    </row>
    <row r="112" spans="1:7" ht="240" x14ac:dyDescent="0.2">
      <c r="B112" s="6" t="s">
        <v>200</v>
      </c>
    </row>
    <row r="113" spans="1:7" ht="12.75" x14ac:dyDescent="0.2">
      <c r="A113" s="1" t="s">
        <v>201</v>
      </c>
      <c r="B113" s="18" t="s">
        <v>123</v>
      </c>
      <c r="C113" s="10" t="s">
        <v>108</v>
      </c>
      <c r="D113" s="19">
        <v>1</v>
      </c>
      <c r="E113" s="19">
        <v>150</v>
      </c>
      <c r="F113" s="20">
        <f>IF(OR(OR(E113=0,E113=""),OR(D113=0,D113="")),"",$D113*E113)</f>
        <v>150</v>
      </c>
      <c r="G113" s="21"/>
    </row>
    <row r="116" spans="1:7" x14ac:dyDescent="0.2">
      <c r="A116" s="15" t="s">
        <v>202</v>
      </c>
      <c r="B116" s="16" t="s">
        <v>203</v>
      </c>
    </row>
    <row r="117" spans="1:7" ht="276" x14ac:dyDescent="0.2">
      <c r="B117" s="6" t="s">
        <v>204</v>
      </c>
    </row>
    <row r="118" spans="1:7" ht="84" x14ac:dyDescent="0.2">
      <c r="B118" s="6" t="s">
        <v>205</v>
      </c>
    </row>
    <row r="119" spans="1:7" ht="12.75" x14ac:dyDescent="0.2">
      <c r="A119" s="1" t="s">
        <v>206</v>
      </c>
      <c r="B119" s="18" t="s">
        <v>123</v>
      </c>
      <c r="C119" s="10" t="s">
        <v>108</v>
      </c>
      <c r="D119" s="19">
        <v>2</v>
      </c>
      <c r="E119" s="19">
        <v>95</v>
      </c>
      <c r="F119" s="20">
        <f>IF(OR(OR(E119=0,E119=""),OR(D119=0,D119="")),"",$D119*E119)</f>
        <v>190</v>
      </c>
      <c r="G119" s="21"/>
    </row>
    <row r="121" spans="1:7" x14ac:dyDescent="0.2">
      <c r="A121" s="15" t="s">
        <v>207</v>
      </c>
      <c r="B121" s="16" t="s">
        <v>208</v>
      </c>
    </row>
    <row r="122" spans="1:7" ht="252" x14ac:dyDescent="0.2">
      <c r="B122" s="6" t="s">
        <v>209</v>
      </c>
      <c r="G122" s="24" t="s">
        <v>210</v>
      </c>
    </row>
    <row r="123" spans="1:7" ht="96" x14ac:dyDescent="0.2">
      <c r="B123" s="6" t="s">
        <v>211</v>
      </c>
    </row>
    <row r="124" spans="1:7" ht="12.75" x14ac:dyDescent="0.2">
      <c r="A124" s="1" t="s">
        <v>212</v>
      </c>
      <c r="B124" s="18" t="s">
        <v>123</v>
      </c>
      <c r="C124" s="10" t="s">
        <v>108</v>
      </c>
      <c r="D124" s="19">
        <v>11</v>
      </c>
      <c r="E124" s="20"/>
      <c r="F124" s="20" t="str">
        <f>IF(OR(OR(E124=0,E124=""),OR(D124=0,D124="")),"",$D124*E124)</f>
        <v/>
      </c>
      <c r="G124" s="21"/>
    </row>
    <row r="125" spans="1:7" x14ac:dyDescent="0.2">
      <c r="B125" s="24" t="s">
        <v>278</v>
      </c>
    </row>
    <row r="126" spans="1:7" x14ac:dyDescent="0.2">
      <c r="A126" s="25" t="s">
        <v>213</v>
      </c>
      <c r="B126" s="42" t="s">
        <v>214</v>
      </c>
      <c r="C126" s="43"/>
      <c r="D126" s="44"/>
      <c r="E126" s="44"/>
      <c r="F126" s="44"/>
    </row>
    <row r="128" spans="1:7" ht="24" x14ac:dyDescent="0.2">
      <c r="A128" s="15" t="s">
        <v>215</v>
      </c>
      <c r="B128" s="16" t="s">
        <v>216</v>
      </c>
    </row>
    <row r="129" spans="1:7" ht="252" x14ac:dyDescent="0.2">
      <c r="B129" s="6" t="s">
        <v>217</v>
      </c>
    </row>
    <row r="130" spans="1:7" ht="36" x14ac:dyDescent="0.2">
      <c r="B130" s="6" t="s">
        <v>218</v>
      </c>
    </row>
    <row r="131" spans="1:7" ht="12.75" x14ac:dyDescent="0.2">
      <c r="A131" s="1" t="s">
        <v>219</v>
      </c>
      <c r="B131" s="18" t="s">
        <v>123</v>
      </c>
      <c r="C131" s="10" t="s">
        <v>106</v>
      </c>
      <c r="D131" s="19">
        <v>832.67</v>
      </c>
      <c r="E131" s="19">
        <v>3.45</v>
      </c>
      <c r="F131" s="20">
        <f>IF(OR(OR(E131=0,E131=""),OR(D131=0,D131="")),"",$D131*E131)</f>
        <v>2872.7114999999999</v>
      </c>
      <c r="G131" s="21"/>
    </row>
    <row r="133" spans="1:7" x14ac:dyDescent="0.2">
      <c r="A133" s="15" t="s">
        <v>220</v>
      </c>
      <c r="B133" s="16" t="s">
        <v>221</v>
      </c>
    </row>
    <row r="134" spans="1:7" ht="264" x14ac:dyDescent="0.2">
      <c r="B134" s="6" t="s">
        <v>222</v>
      </c>
    </row>
    <row r="135" spans="1:7" ht="48" x14ac:dyDescent="0.2">
      <c r="B135" s="6" t="s">
        <v>223</v>
      </c>
    </row>
    <row r="136" spans="1:7" ht="12.75" x14ac:dyDescent="0.2">
      <c r="A136" s="1" t="s">
        <v>224</v>
      </c>
      <c r="B136" s="18" t="s">
        <v>105</v>
      </c>
      <c r="C136" s="10" t="s">
        <v>106</v>
      </c>
      <c r="D136" s="19">
        <v>3732.41</v>
      </c>
      <c r="E136" s="19">
        <v>3.3</v>
      </c>
      <c r="F136" s="20">
        <f t="shared" ref="F136:F137" si="5">IF(OR(OR(E136=0,E136=""),OR(D136=0,D136="")),"",$D136*E136)</f>
        <v>12316.953</v>
      </c>
      <c r="G136" s="21"/>
    </row>
    <row r="137" spans="1:7" ht="12.75" x14ac:dyDescent="0.2">
      <c r="A137" s="1" t="s">
        <v>225</v>
      </c>
      <c r="B137" s="18" t="s">
        <v>226</v>
      </c>
      <c r="C137" s="10" t="s">
        <v>107</v>
      </c>
      <c r="D137" s="19">
        <v>42</v>
      </c>
      <c r="E137" s="19">
        <v>140</v>
      </c>
      <c r="F137" s="20">
        <f t="shared" si="5"/>
        <v>5880</v>
      </c>
      <c r="G137" s="21"/>
    </row>
    <row r="138" spans="1:7" x14ac:dyDescent="0.2">
      <c r="E138" s="33" t="s">
        <v>118</v>
      </c>
      <c r="F138" s="23">
        <f>SUM(F136:F137)</f>
        <v>18196.953000000001</v>
      </c>
    </row>
    <row r="140" spans="1:7" x14ac:dyDescent="0.2">
      <c r="A140" s="25" t="s">
        <v>213</v>
      </c>
      <c r="B140" s="42" t="s">
        <v>227</v>
      </c>
      <c r="C140" s="43"/>
      <c r="D140" s="44"/>
      <c r="E140" s="44"/>
      <c r="F140" s="26">
        <f>SUM(F131,F138)</f>
        <v>21069.664500000003</v>
      </c>
      <c r="G140" s="26">
        <f t="shared" ref="G140" si="6">SUM(G131,G138)</f>
        <v>0</v>
      </c>
    </row>
    <row r="142" spans="1:7" x14ac:dyDescent="0.2">
      <c r="A142" s="12" t="s">
        <v>93</v>
      </c>
      <c r="B142" s="36" t="s">
        <v>228</v>
      </c>
      <c r="C142" s="37"/>
      <c r="D142" s="38"/>
      <c r="E142" s="38"/>
      <c r="F142" s="27">
        <f>F140+F119+F113+F109+F103+F96+F91+F84+F76+F71+F65+F60+F54+F49+F37+F33</f>
        <v>108631.68270000002</v>
      </c>
      <c r="G142" s="27"/>
    </row>
    <row r="144" spans="1:7" x14ac:dyDescent="0.2">
      <c r="A144" s="12" t="s">
        <v>229</v>
      </c>
      <c r="B144" s="36" t="s">
        <v>230</v>
      </c>
      <c r="C144" s="37"/>
      <c r="D144" s="38"/>
      <c r="E144" s="38"/>
      <c r="F144" s="38"/>
    </row>
    <row r="146" spans="1:7" x14ac:dyDescent="0.2">
      <c r="A146" s="15" t="s">
        <v>231</v>
      </c>
      <c r="B146" s="16" t="s">
        <v>232</v>
      </c>
    </row>
    <row r="147" spans="1:7" ht="240" x14ac:dyDescent="0.2">
      <c r="B147" s="6" t="s">
        <v>233</v>
      </c>
    </row>
    <row r="148" spans="1:7" ht="12.75" x14ac:dyDescent="0.2">
      <c r="A148" s="1" t="s">
        <v>234</v>
      </c>
      <c r="B148" s="18" t="s">
        <v>235</v>
      </c>
      <c r="C148" s="10" t="s">
        <v>106</v>
      </c>
      <c r="D148" s="19">
        <v>951.59</v>
      </c>
      <c r="E148" s="19">
        <v>3.2</v>
      </c>
      <c r="F148" s="20">
        <f>IF(OR(OR(E148=0,E148=""),OR(D148=0,D148="")),"",$D148*E148)</f>
        <v>3045.0880000000002</v>
      </c>
      <c r="G148" s="21"/>
    </row>
    <row r="150" spans="1:7" x14ac:dyDescent="0.2">
      <c r="A150" s="15" t="s">
        <v>236</v>
      </c>
      <c r="B150" s="16" t="s">
        <v>237</v>
      </c>
    </row>
    <row r="151" spans="1:7" ht="264" x14ac:dyDescent="0.2">
      <c r="B151" s="6" t="s">
        <v>238</v>
      </c>
    </row>
    <row r="152" spans="1:7" ht="156" x14ac:dyDescent="0.2">
      <c r="B152" s="6" t="s">
        <v>239</v>
      </c>
    </row>
    <row r="153" spans="1:7" ht="12.75" x14ac:dyDescent="0.2">
      <c r="A153" s="1" t="s">
        <v>240</v>
      </c>
      <c r="B153" s="18" t="s">
        <v>123</v>
      </c>
      <c r="C153" s="10" t="s">
        <v>111</v>
      </c>
      <c r="D153" s="19">
        <v>7.42</v>
      </c>
      <c r="E153" s="19">
        <v>175</v>
      </c>
      <c r="F153" s="20">
        <f>IF(OR(OR(E153=0,E153=""),OR(D153=0,D153="")),"",$D153*E153)</f>
        <v>1298.5</v>
      </c>
      <c r="G153" s="21"/>
    </row>
    <row r="155" spans="1:7" x14ac:dyDescent="0.2">
      <c r="A155" s="15" t="s">
        <v>241</v>
      </c>
      <c r="B155" s="16" t="s">
        <v>242</v>
      </c>
    </row>
    <row r="156" spans="1:7" ht="264" x14ac:dyDescent="0.2">
      <c r="B156" s="6" t="s">
        <v>243</v>
      </c>
    </row>
    <row r="157" spans="1:7" ht="228" x14ac:dyDescent="0.2">
      <c r="B157" s="6" t="s">
        <v>244</v>
      </c>
    </row>
    <row r="158" spans="1:7" ht="12.75" x14ac:dyDescent="0.2">
      <c r="A158" s="1" t="s">
        <v>245</v>
      </c>
      <c r="B158" s="18" t="s">
        <v>123</v>
      </c>
      <c r="C158" s="10" t="s">
        <v>111</v>
      </c>
      <c r="D158" s="19">
        <v>12.57</v>
      </c>
      <c r="E158" s="19">
        <v>220</v>
      </c>
      <c r="F158" s="20">
        <f>IF(OR(OR(E158=0,E158=""),OR(D158=0,D158="")),"",$D158*E158)</f>
        <v>2765.4</v>
      </c>
      <c r="G158" s="21"/>
    </row>
    <row r="161" spans="1:7" x14ac:dyDescent="0.2">
      <c r="A161" s="15" t="s">
        <v>246</v>
      </c>
      <c r="B161" s="16" t="s">
        <v>247</v>
      </c>
    </row>
    <row r="162" spans="1:7" ht="264" x14ac:dyDescent="0.2">
      <c r="B162" s="6" t="s">
        <v>248</v>
      </c>
    </row>
    <row r="163" spans="1:7" ht="36" x14ac:dyDescent="0.2">
      <c r="B163" s="6" t="s">
        <v>249</v>
      </c>
    </row>
    <row r="164" spans="1:7" ht="12.75" x14ac:dyDescent="0.2">
      <c r="A164" s="1" t="s">
        <v>250</v>
      </c>
      <c r="B164" s="18" t="s">
        <v>123</v>
      </c>
      <c r="C164" s="10" t="s">
        <v>108</v>
      </c>
      <c r="D164" s="19">
        <v>1</v>
      </c>
      <c r="E164" s="19">
        <v>400</v>
      </c>
      <c r="F164" s="20">
        <f>IF(OR(OR(E164=0,E164=""),OR(D164=0,D164="")),"",$D164*E164)</f>
        <v>400</v>
      </c>
      <c r="G164" s="21"/>
    </row>
    <row r="167" spans="1:7" ht="24" x14ac:dyDescent="0.2">
      <c r="A167" s="15" t="s">
        <v>251</v>
      </c>
      <c r="B167" s="16" t="s">
        <v>252</v>
      </c>
    </row>
    <row r="168" spans="1:7" ht="264" x14ac:dyDescent="0.2">
      <c r="B168" s="6" t="s">
        <v>253</v>
      </c>
    </row>
    <row r="169" spans="1:7" ht="252" x14ac:dyDescent="0.2">
      <c r="B169" s="6" t="s">
        <v>254</v>
      </c>
    </row>
    <row r="170" spans="1:7" ht="12.75" x14ac:dyDescent="0.2">
      <c r="A170" s="1" t="s">
        <v>255</v>
      </c>
      <c r="B170" s="18" t="s">
        <v>256</v>
      </c>
      <c r="C170" s="10" t="s">
        <v>106</v>
      </c>
      <c r="D170" s="19">
        <v>61.7</v>
      </c>
      <c r="E170" s="19">
        <v>3.5</v>
      </c>
      <c r="F170" s="20">
        <f t="shared" ref="F170:F172" si="7">IF(OR(OR(E170=0,E170=""),OR(D170=0,D170="")),"",$D170*E170)</f>
        <v>215.95000000000002</v>
      </c>
      <c r="G170" s="21"/>
    </row>
    <row r="171" spans="1:7" ht="12.75" x14ac:dyDescent="0.2">
      <c r="A171" s="1" t="s">
        <v>257</v>
      </c>
      <c r="B171" s="18" t="s">
        <v>258</v>
      </c>
      <c r="C171" s="10" t="s">
        <v>106</v>
      </c>
      <c r="D171" s="19">
        <v>137.9</v>
      </c>
      <c r="E171" s="19">
        <v>3.5</v>
      </c>
      <c r="F171" s="20">
        <f t="shared" si="7"/>
        <v>482.65000000000003</v>
      </c>
      <c r="G171" s="21"/>
    </row>
    <row r="172" spans="1:7" ht="12.75" x14ac:dyDescent="0.2">
      <c r="A172" s="1" t="s">
        <v>259</v>
      </c>
      <c r="B172" s="18" t="s">
        <v>260</v>
      </c>
      <c r="C172" s="10" t="s">
        <v>106</v>
      </c>
      <c r="D172" s="19">
        <v>479.69</v>
      </c>
      <c r="E172" s="19">
        <v>3.5</v>
      </c>
      <c r="F172" s="20">
        <f t="shared" si="7"/>
        <v>1678.915</v>
      </c>
      <c r="G172" s="21"/>
    </row>
    <row r="173" spans="1:7" x14ac:dyDescent="0.2">
      <c r="E173" s="33" t="s">
        <v>118</v>
      </c>
      <c r="F173" s="23">
        <f>SUM(F170:F172)</f>
        <v>2377.5149999999999</v>
      </c>
    </row>
    <row r="175" spans="1:7" ht="24" x14ac:dyDescent="0.2">
      <c r="A175" s="15" t="s">
        <v>261</v>
      </c>
      <c r="B175" s="16" t="s">
        <v>262</v>
      </c>
    </row>
    <row r="176" spans="1:7" ht="252" x14ac:dyDescent="0.2">
      <c r="B176" s="6" t="s">
        <v>263</v>
      </c>
    </row>
    <row r="177" spans="1:7" ht="12.75" x14ac:dyDescent="0.2">
      <c r="A177" s="1" t="s">
        <v>264</v>
      </c>
      <c r="B177" s="18" t="s">
        <v>123</v>
      </c>
      <c r="C177" s="10" t="s">
        <v>106</v>
      </c>
      <c r="D177" s="19">
        <v>553.05999999999995</v>
      </c>
      <c r="E177" s="19">
        <v>3.52</v>
      </c>
      <c r="F177" s="20">
        <f>IF(OR(OR(E177=0,E177=""),OR(D177=0,D177="")),"",$D177*E177)</f>
        <v>1946.7711999999999</v>
      </c>
      <c r="G177" s="21"/>
    </row>
    <row r="179" spans="1:7" ht="36" x14ac:dyDescent="0.2">
      <c r="A179" s="15" t="s">
        <v>265</v>
      </c>
      <c r="B179" s="16" t="s">
        <v>266</v>
      </c>
    </row>
    <row r="180" spans="1:7" ht="168" x14ac:dyDescent="0.2">
      <c r="B180" s="6" t="s">
        <v>267</v>
      </c>
    </row>
    <row r="181" spans="1:7" ht="12.75" x14ac:dyDescent="0.2">
      <c r="A181" s="1" t="s">
        <v>268</v>
      </c>
      <c r="B181" s="18" t="s">
        <v>123</v>
      </c>
      <c r="C181" s="10" t="s">
        <v>106</v>
      </c>
      <c r="D181" s="19">
        <v>679.82</v>
      </c>
      <c r="E181" s="19">
        <v>3.2</v>
      </c>
      <c r="F181" s="20">
        <f>IF(OR(OR(E181=0,E181=""),OR(D181=0,D181="")),"",$D181*E181)</f>
        <v>2175.4240000000004</v>
      </c>
      <c r="G181" s="21"/>
    </row>
    <row r="183" spans="1:7" x14ac:dyDescent="0.2">
      <c r="A183" s="15" t="s">
        <v>269</v>
      </c>
      <c r="B183" s="16" t="s">
        <v>270</v>
      </c>
    </row>
    <row r="184" spans="1:7" ht="252" x14ac:dyDescent="0.2">
      <c r="B184" s="6" t="s">
        <v>271</v>
      </c>
    </row>
    <row r="185" spans="1:7" ht="12.75" x14ac:dyDescent="0.2">
      <c r="A185" s="1" t="s">
        <v>272</v>
      </c>
      <c r="B185" s="18" t="s">
        <v>273</v>
      </c>
      <c r="C185" s="10" t="s">
        <v>106</v>
      </c>
      <c r="D185" s="19">
        <v>97.24</v>
      </c>
      <c r="E185" s="19">
        <v>4</v>
      </c>
      <c r="F185" s="20">
        <f t="shared" ref="F185:F186" si="8">IF(OR(OR(E185=0,E185=""),OR(D185=0,D185="")),"",$D185*E185)</f>
        <v>388.96</v>
      </c>
      <c r="G185" s="21"/>
    </row>
    <row r="186" spans="1:7" ht="12.75" x14ac:dyDescent="0.2">
      <c r="A186" s="1" t="s">
        <v>274</v>
      </c>
      <c r="B186" s="18" t="s">
        <v>275</v>
      </c>
      <c r="C186" s="10" t="s">
        <v>107</v>
      </c>
      <c r="D186" s="19">
        <v>5.31</v>
      </c>
      <c r="E186" s="19">
        <v>123.2</v>
      </c>
      <c r="F186" s="20">
        <f t="shared" si="8"/>
        <v>654.19200000000001</v>
      </c>
      <c r="G186" s="21"/>
    </row>
    <row r="187" spans="1:7" x14ac:dyDescent="0.2">
      <c r="E187" s="33" t="s">
        <v>118</v>
      </c>
      <c r="F187" s="23">
        <f>SUM(F185:F186)</f>
        <v>1043.152</v>
      </c>
    </row>
    <row r="189" spans="1:7" x14ac:dyDescent="0.2">
      <c r="A189" s="12" t="s">
        <v>229</v>
      </c>
      <c r="B189" s="36" t="s">
        <v>276</v>
      </c>
      <c r="C189" s="37"/>
      <c r="D189" s="38"/>
      <c r="E189" s="38"/>
      <c r="F189" s="27">
        <f>F187+F181+F177+F173+F164+F158+F153+F148</f>
        <v>15051.850199999999</v>
      </c>
      <c r="G189" s="27"/>
    </row>
    <row r="191" spans="1:7" x14ac:dyDescent="0.2">
      <c r="A191" s="7" t="s">
        <v>81</v>
      </c>
      <c r="B191" s="39" t="s">
        <v>277</v>
      </c>
      <c r="C191" s="40"/>
      <c r="D191" s="41"/>
      <c r="E191" s="41"/>
      <c r="F191" s="28">
        <f>SUM(F142,F189)</f>
        <v>123683.53290000002</v>
      </c>
      <c r="G191" s="28"/>
    </row>
  </sheetData>
  <autoFilter ref="D1:D191" xr:uid="{00000000-0001-0000-0C00-000000000000}"/>
  <mergeCells count="8">
    <mergeCell ref="B189:E189"/>
    <mergeCell ref="B191:E191"/>
    <mergeCell ref="B4:F4"/>
    <mergeCell ref="B15:F15"/>
    <mergeCell ref="B126:F126"/>
    <mergeCell ref="B140:E140"/>
    <mergeCell ref="B142:E142"/>
    <mergeCell ref="B144:F144"/>
  </mergeCells>
  <pageMargins left="0.6" right="0.6" top="0.75" bottom="0.75" header="0.3" footer="0.3"/>
  <pageSetup paperSize="9" scale="65"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17" manualBreakCount="17">
    <brk id="12" max="6" man="1"/>
    <brk id="38" max="6" man="1"/>
    <brk id="42" max="6" man="1"/>
    <brk id="58" max="6" man="1"/>
    <brk id="60" max="6" man="1"/>
    <brk id="66" max="16383" man="1"/>
    <brk id="74" max="6" man="1"/>
    <brk id="84" max="6" man="1"/>
    <brk id="96" max="6" man="1"/>
    <brk id="105" max="6" man="1"/>
    <brk id="115" max="16383" man="1"/>
    <brk id="125" max="16383" man="1"/>
    <brk id="143" max="16383" man="1"/>
    <brk id="154" max="6" man="1"/>
    <brk id="165" max="6" man="1"/>
    <brk id="174" max="16383" man="1"/>
    <brk id="18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c4eefad1a09bdc430b42c34e96aa6da2">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b36840f75ab2fa72e948bee9f8ce5ee3"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53965790-A2D0-4CE5-A1F5-BD1371037D76}"/>
</file>

<file path=customXml/itemProps2.xml><?xml version="1.0" encoding="utf-8"?>
<ds:datastoreItem xmlns:ds="http://schemas.openxmlformats.org/officeDocument/2006/customXml" ds:itemID="{412F1CC5-D3E7-420E-A4B3-01A8AF88ACB1}">
  <ds:schemaRefs>
    <ds:schemaRef ds:uri="http://schemas.microsoft.com/sharepoint/v3/contenttype/forms"/>
  </ds:schemaRefs>
</ds:datastoreItem>
</file>

<file path=customXml/itemProps3.xml><?xml version="1.0" encoding="utf-8"?>
<ds:datastoreItem xmlns:ds="http://schemas.openxmlformats.org/officeDocument/2006/customXml" ds:itemID="{FA03EB70-CA5A-4E05-B6C6-215C59FB90D5}">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NASLOVNICA</vt:lpstr>
      <vt:lpstr>OPĆI UVJETI</vt:lpstr>
      <vt:lpstr>13. BRAVARSKI RADOVI</vt:lpstr>
      <vt:lpstr>'13. BRAVARSKI RADOVI'!Print_Area</vt:lpstr>
      <vt:lpstr>'13. BRAVARSKI RADOVI'!Print_Titles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Vedran Zderic</cp:lastModifiedBy>
  <dcterms:created xsi:type="dcterms:W3CDTF">2025-10-23T09:36:40Z</dcterms:created>
  <dcterms:modified xsi:type="dcterms:W3CDTF">2025-12-01T09:23:27Z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
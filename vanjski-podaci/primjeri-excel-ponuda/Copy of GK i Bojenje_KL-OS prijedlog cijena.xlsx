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filterPrivacy="1"/>
  <xr:revisionPtr revIDLastSave="0" documentId="8_{40F24F14-0D1F-479C-B735-5AD2898AAC4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 r="H8" i="1"/>
  <c r="H41" i="1"/>
  <c r="H69" i="1" l="1"/>
  <c r="H67" i="1"/>
  <c r="H63" i="1"/>
  <c r="H62" i="1"/>
  <c r="H61" i="1"/>
  <c r="H53" i="1"/>
  <c r="H51" i="1"/>
  <c r="H50" i="1"/>
  <c r="H49" i="1"/>
  <c r="H46" i="1"/>
  <c r="H45" i="1"/>
  <c r="H44" i="1"/>
  <c r="H40" i="1"/>
  <c r="H39" i="1"/>
  <c r="H38" i="1"/>
  <c r="H33" i="1"/>
  <c r="H34" i="1"/>
  <c r="H13" i="1"/>
  <c r="H14" i="1"/>
  <c r="H15" i="1"/>
  <c r="H17" i="1"/>
  <c r="H18" i="1"/>
  <c r="H19" i="1"/>
  <c r="H25" i="1"/>
  <c r="H26" i="1"/>
  <c r="H27" i="1"/>
  <c r="H28" i="1"/>
  <c r="H29" i="1"/>
  <c r="H30" i="1"/>
  <c r="H11" i="1"/>
  <c r="H10" i="1"/>
  <c r="H9" i="1"/>
  <c r="H68" i="1"/>
  <c r="H66" i="1"/>
  <c r="H65" i="1"/>
  <c r="H64" i="1"/>
  <c r="H54" i="1"/>
  <c r="H52" i="1"/>
  <c r="H47" i="1"/>
  <c r="H42" i="1"/>
  <c r="H36" i="1"/>
  <c r="H35" i="1" s="1"/>
  <c r="H32" i="1"/>
  <c r="H24" i="1"/>
  <c r="H23" i="1"/>
  <c r="H22" i="1"/>
  <c r="H21" i="1"/>
  <c r="H20" i="1"/>
  <c r="H16" i="1"/>
  <c r="H12" i="1"/>
  <c r="H48" i="1" l="1"/>
  <c r="H60" i="1"/>
  <c r="H43" i="1"/>
  <c r="H37" i="1"/>
  <c r="H31" i="1"/>
</calcChain>
</file>

<file path=xl/sharedStrings.xml><?xml version="1.0" encoding="utf-8"?>
<sst xmlns="http://schemas.openxmlformats.org/spreadsheetml/2006/main" count="288" uniqueCount="185">
  <si>
    <t>Kod</t>
  </si>
  <si>
    <t>Vrsta</t>
  </si>
  <si>
    <t>Kratki opis</t>
  </si>
  <si>
    <t>Dugi opis</t>
  </si>
  <si>
    <t>ZTV - Dodatni tehnički uvjeti ugovora</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</si>
  <si>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</si>
  <si>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
  </si>
  <si>
    <t>kom</t>
  </si>
  <si>
    <t>m</t>
  </si>
  <si>
    <t>Prethodne napomene</t>
  </si>
  <si>
    <t>m2</t>
  </si>
  <si>
    <t>Unutarnji zidovi</t>
  </si>
  <si>
    <t>Neobavezna pozicija</t>
  </si>
  <si>
    <t>402</t>
  </si>
  <si>
    <t>Suha gradnja</t>
  </si>
  <si>
    <t>402.000</t>
  </si>
  <si>
    <t>Kvaliteta površine od punjenja</t>
  </si>
  <si>
    <t>Kod nanošenja žbuke na gips ploče, razlikuju se sljedeći razredi kvalitete:
Razred kvalitete 1 (Q1): Osnovno nanošenje žbuke bez optičkih zahtjeva, punjenje spojnih fuga između gips ploča, presvlačenje vidljivih dijelova sredstava za pričvršćivanje, uklanjanje prekomjerne žbuke.
Razred kvalitete 2 (Q2): Standardno nanošenje žbuke uz normalne optičke zahtjeve, izvedba kao Q1, uz dodatno naknadno nanošenje žbuke (fina žbuka, finiš) do postizanja nevidljivog prijelaza na površinu ploče, brušenje žbukanih područja po potrebi.
Razred kvalitete 3 (Q3): Posebno nanošenje žbuke s većim optičkim zahtjevima, izvedba kao Q2, uz dodatno šire žbukanje fuga, oštro povlačenje preostale kartonske površine za zatvaranje svih pora žbukom, brušenje žbukane površine po potrebi.
Razred kvalitete 4 (Q4): Posebno nanošenje žbuke uz najveće optičke zahtjeve, izvedba kao Q3, uz dodatno presvlačenje površine i poravnavanje cijele površine prikladnim materijalom (debljina sloja veća od 1 mm), brušenje ožbukane površine po potrebi.</t>
  </si>
  <si>
    <t>Suhozid za razgraničenje izvedbe</t>
  </si>
  <si>
    <t>U sljedećim pozicijama potrebno je uzeti u obzir i uračunati sljedeće usluge, čak i ako nisu izričito navedene:
- Mjerenje zidova i stropova
- prijepis oznaka visine koje su potrebne za provedbu radova
- potrebne izrade fuga
- Izradu kutova i priključaka pomoću profila iz suhogradnje
- potrebne podkonstrukcije, zamjene i pojačanja
- Ugradnju armaturnih mreža u područjima u kojima postoji opasnost od pukotina
- potrebna zidna pojačanja od višeslojnih zalijepljenih drvenih ploča
- Pružanje usluga u nekoliko dijelova gradilišta za izvedbu instalacija na gradilištu
- Postavljanje zvučne izolacije na proboje za vodove
- Isporuku svih građevinskih potvrda (za protupožarnu, zvučnu i toplinsku zaštitu)
- Nanošenje žbuke na sve slojeve kod višeslojnih obloga
- elastične fuge koje se mogu premazati na svim unutarnjim kutovima i priključcima
- sve standardne priključke na podovima, stropovima, zidovima ili potpornjima
- potrebne duge nosače kod svih krovnih konstrukcija
- Okvire vrata isporučuje odjeljak za drvena i čelična vrata</t>
  </si>
  <si>
    <t>402.010</t>
  </si>
  <si>
    <t>402.010.00100</t>
  </si>
  <si>
    <t>x..TW2..x - gipskartonski zid debljine [150] mm, obostrano GKB ploča</t>
  </si>
  <si>
    <t>Izrada pregradnog montažnog zida iz GKP ploča oznake TW2:
• gips-kartonske ploče (1.000 kg/m3); dvostruka obloga 2x1,25cm
• jednostruka metalna potkonstrukcija (CW [ 100mm ]) za elastični ovjes gips-kartonskih ploča, ispuna samonosiva meka mineralna vuna debljine [ 100]mm)
• gips-kartonske ploče (1.000 kg/m3); dvostruka obloga 2x1,25cm
Svi spojevi moraju biti ljepljeni, bandažirani i gletani, fugirani, s obje strane pripremljeno za bojanje, bez bojanja. Izvedba do gotove funkcionalnosti a sve prema standardnim detaljima proizvođača sustava.
Debljina zida: [ 150 ] mm
Visina zida: do [ 6,15 ] m
Kvaliteta gleta: Q - [ 2 ]</t>
  </si>
  <si>
    <t>402.010.00105</t>
  </si>
  <si>
    <t>x..TW2..x - gipskartonski zid debljine [ 125 ] mm, obostrano GKB ploča</t>
  </si>
  <si>
    <t>Izrada pregradnog montažnog zida iz GKP ploča oznake TW2:
• gips-kartonske ploče (1.000 kg/m3); dvostruka obloga 2x1,25cm;
• jednostruka metalna potkonstrukcija (CW [ 100mm ]) za elastični ovjes gips-kartonskih ploča, ispuna samonosiva meka mineralna vuna debljine [ 60 ]mm)
• gips-kartonske ploče (1.000 kg/m3); dvostruka obloga 2x1,25cm;
Svi spojevi moraju biti ljepljeni, bandažirani i gletani, fugirani, s obje strane pripremljeno za bojanje, bez bojanja. Izvedba do gotove funkcionalnosti a sve prema standardnim detaljima proizvođača sustava.
Debljina zida: [ 125 ] mm
Visina zida: do [ 5,95] m
Kvaliteta gleta: Q - [ 2 ]</t>
  </si>
  <si>
    <t>402.010.00110</t>
  </si>
  <si>
    <t>Izrada pregradnog montažnog zida iz GKP ploča oznake TW2:
• gips-kartonske ploče (1.000 kg/m3); dvostruka obloga 2x1,25cm; visina oblaganja [3,10 ] m od gotovog poda
• jednostruka metalna potkonstrukcija (CW [ 100mm ]) za elastični ovjes gips-kartonskih ploča, ispuna samonosiva meka mineralna vuna debljine [ 60 ]mm)
• gips-kartonske ploče (1.000 kg/m3); dvostruka obloga 2x1,25cm; visina oblaganja [3,10 ] m od gotovog poda
Svi spojevi moraju biti ljepljeni, bandažirani i gletani, fugirani, s obje strane pripremljeno za bojanje, bez bojanja. Izvedba do gotove funkcionalnosti a sve prema standardnim detaljima proizvođača sustava.
Debljina zida: [ 125 ] mm
Visina zida: do [ 5,95] m
Kvaliteta gleta: Q - [ 2 ]</t>
  </si>
  <si>
    <t>402.010.00115</t>
  </si>
  <si>
    <t>- gipskartonski zid debljine [ 150] mm, protupožarni</t>
  </si>
  <si>
    <t>Izrada požarnog montažnog zida na granici požarnog sektora EI90 (nenosiva konstrukcija) iz GK presjeka debljine 15cm, oznake W112.
• dvostruka knauf protupožarna ploča DF d=12,5mm
• metalna jednostruka potkonstrukcija CW (100mm) za elastični ovjes gips-kartonskih ploča, ispuna kamena vuna A1 debljine 100mm)
• dvostruka knauf protupožarna ploča DF d=12,5mm
Svi spojevi moraju biti ljepljeni, bandažirani i gletani, fugirani, s obje strane pripremljeno za bojanje, bez bojanja. Izvedba do gotove funkcionalnosti a sve prema standardnim detaljima proizvođača sustava.
Debljina zida: [ 150 ] mm
Visina zida: do [6,15] m
Kvaliteta gleta: Q - [ 2 ]</t>
  </si>
  <si>
    <t>402.010.00120</t>
  </si>
  <si>
    <t>Izrada požarnog montažnog zida na granici požarnog sektora EI90 (nenosiva konstrukcija) iz GK presjeka debljine 15cm, oznake W112.
• dvostruka knauf ploča Diamant DFH2IR d=12,5mm
• metalna jednostruka potkonstrukcija CW (100mm) za elastični ovjes gips-kartonskih ploča, ispuna kamena vuna A1 debljine 100mm)
• dvostruka knauf ploča Diamant DFH2IR d=12,5mm
Svi spojevi moraju biti ljepljeni, bandažirani i gletani, fugirani, s obje strane pripremljeno za bojanje, bez bojanja. Izvedba do gotove funkcionalnosti a sve prema standardnim detaljima proizvođača sustava.
Debljina zida: [ 150 ] mm
Visina zida: do [6,15] m
Kvaliteta gleta: Q - [ 2 ]</t>
  </si>
  <si>
    <t>402.010.00125</t>
  </si>
  <si>
    <t>- gipskartonski zid debljine [ 152 ] mm, protuprovalni</t>
  </si>
  <si>
    <t>Izrada pregradnog protuprovalnog montažnog zida iz GK presjeka debljine 15cm oznake W118 RO3:
• trostruka Diamant ploče debljina 12,5mm + čelični lim 2x0,5mm
• jednostruka metalna potkonstrukcija d=75mm za elastični ovjes Vidiwall ploča, ispuna izolacijom klase min B2, debljine 60mm + sloj zraka 15mm
• trostruka Diamant ploče debljina 12,5mm + čelični lim 2x0,5mm
Svi spojevi moraju biti ljepljeni, bandažirani i gletani, fugirani, s obje strane pripremljeno za bojanje, bez bojanja. Izvedba do gotove funkcionalnosti a sve prema standardnim detaljima proizvođača sustava.
Debljina zida: [ 152 ] mm
Visina zida: do [ 5,75] m
Kvaliteta gleta: Q - [ 2 ]</t>
  </si>
  <si>
    <t>402.010.00130</t>
  </si>
  <si>
    <t>- obloga fasadnih limenih panela; GKB ploča</t>
  </si>
  <si>
    <t>Izrada obloge fasadnih limenih panela iz GKP presjeka (W623):
• gips-kartonske ploče (1.000 kg/m3) na jednostrukoj metalnoj potkonstrukciji, finalizirane površine; dvostruka obloga 2x1,25cm; visina oblaganja [ 3,3 ] m, gornji horizontalni rub zatvoriti (uključeno u cijenu)
• metalna potkonstrukcija CD [ 60/27 ], direktni ovjes za panele točkasto, za elastični ovjes gips-kartonskih ploča, ispuna meka mineralna vuna 3,0 cm
Svi spojevi moraju biti ljepljeni, bandažirani i gletani, fugirani, s obje strane pripremljeno za bojanje, bez bojanja. Izvedba do gotove funkcionalnosti a sve prema standardnim detaljima proizvođača sustava.
Visina: do [3,3] m
Kvaliteta gleta: Q - [ 2 ]</t>
  </si>
  <si>
    <t>402.010.00135</t>
  </si>
  <si>
    <t>- samostojeća gipskartonga obloga; GKB ploča</t>
  </si>
  <si>
    <t>Izrada samostojeće gipskartonske obloge iz GKP presjeka (W626):
• gips-kartonske ploče (1.000 kg/m3) na jednostrukoj metalnoj potkonstrukciji, finalizirane površine; dvostruka obloga 2x1,25cm; visina oblaganja [ 3,5 ] m, gornji horizontalni rub zatvoriti (uključeno u cijenu)
• metalna potkonstrukcija CW [ 100 ], samonosova obloga - učvršćeno za AB sokl ili pod te strop (ili gredu), za elastični ovjes gips-kartonskih ploča,
Svi spojevi moraju biti ljepljeni, bandažirani i gletani, fugirani, s obje strane pripremljeno za bojanje, bez bojanja. Izvedba do gotove funkcionalnosti a sve prema standardnim detaljima proizvođača sustava.
Visina: do [6,5] m
Kvaliteta gleta: Q - [ 2 ]</t>
  </si>
  <si>
    <t>402.010.00140</t>
  </si>
  <si>
    <t>- samostojeća gipskartonga obloga za formiranje instalacijskih zidova; GKB ploča</t>
  </si>
  <si>
    <t>Izrada samostojeće gipskartonske obloge iz GKP presjeka (W626):
• gips-kartonske ploče (1.000 kg/m3) na jednostrukoj metalnoj potkonstrukciji, finalizirane površine; dvostruka obloga 2x1,25cm; visina oblaganja [ 3,8 ] m, gornji horizontalni rub zatvoriti (uključeno u cijenu)
• metalna potkonstrukcija CW [ 100 ], samonosova obloga - učvršćeno za AB sokl ili pod te strop (ili gredu), za elastični ovjes gips-kartonskih ploča,
Svi spojevi moraju biti ljepljeni, bandažirani i gletani, fugirani, s obje strane pripremljeno za bojanje, bez bojanja. Izvedba do gotove funkcionalnosti a sve prema standardnim detaljima proizvođača sustava.
Ovom stavkom obrađeni zidovi u sanitarijama (instalacijski)
Visina: do [6,5] m
Kvaliteta gleta: Q - [ 2 ]</t>
  </si>
  <si>
    <t>402.010.00145</t>
  </si>
  <si>
    <t>- Doplata za pojačanja u zidovima sa UA profilima</t>
  </si>
  <si>
    <t>Doplata za vertikalna i horizontalna pojačanja iz UA profila oko otvora s priborom</t>
  </si>
  <si>
    <t>402.010.00150</t>
  </si>
  <si>
    <t>- Doplata za tipska pojačanja sanitarne opreme</t>
  </si>
  <si>
    <t>Doplata za nabavu i ugradnju tipskih pojačanja za sanitarnu opremu uključujući UA profile</t>
  </si>
  <si>
    <t>402.010.00155</t>
  </si>
  <si>
    <t>- Doplata za izradu špaleta oko otvora</t>
  </si>
  <si>
    <t>Doplata za izradu špaleta širine do 10 do 30 cm</t>
  </si>
  <si>
    <t>402.010.00160</t>
  </si>
  <si>
    <t>- Doplata za izradu spoja zida sa trapeznim limom</t>
  </si>
  <si>
    <t>Doplata za izradu spoja zida sa krovnim trapeznim limom neravne površine; 2-strana 2-slojna obloga</t>
  </si>
  <si>
    <t>402.010.00165</t>
  </si>
  <si>
    <t>-'Protupožarna obloga krovnog trapeznog lima.-</t>
  </si>
  <si>
    <t>Protupožarna obloga krovnog trapeznog lima.
S donje strane obložiti sa dvije protupožarne ploče tipa Knauf Fireboard 2x20 mm. Vatrootpornost sustava REI 90. Prostor između ploča i lima ispuniti kamenom vunom minimalne gustoće veće od 70 kg/m³.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t>
  </si>
  <si>
    <t>402.010.00167</t>
  </si>
  <si>
    <t>-'ispuna međuprostora između krovne ploče stubišta i trapeznog lima</t>
  </si>
  <si>
    <t>Ispuna međuprostora između krovne AB ploče stubišta i trapeznog lima. Međuprostor kompletno ispuniti negorivom izolacijom (mineralnom vunom), prema detalju.
Debljina toplinske izolacije varijabilne visine (prema detalju u projektu), cca 30cm debljine.</t>
  </si>
  <si>
    <t>402.010.00170</t>
  </si>
  <si>
    <t>- Protupožarna obloga čeličnih konzola.</t>
  </si>
  <si>
    <t>Protupožarna obloga čeličnih konzola.
Obloga čeličnih konzola ispod trapeznog lima (kao horizontalni rešetkasti nosač) s svih strana (4 strane, od kojih je gornja neposredni ispod trapeznog lima), kako bi se postigla vatrootpornost konzole REI 90. Obložiti sa dvije protupožarne ploče 2x20 mm, tip kao Knauf Fireboard. Prostor između ploča i lima ispuniti kamenom vunom minimalne gustoće veće od 70 kg/m3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 Obračun po m1 kompletno obrađene konzole.
Razvijena širina obloge: 300cm</t>
  </si>
  <si>
    <t>402.010.00171</t>
  </si>
  <si>
    <t>Protupožarna obloga čeličnih konzola.
Obloga čeličnih nosača ispod trapeznog lima (kao horizontalni rešetkasti nosač) s svih strana (4 strane, od kojih je gornja neposredni ispod trapeznog lima), kako bi se postigla vatrootpornost konzole REI 90. Obložiti sa dvije protupožarne ploče 2x20 mm, tip kao Knauf Fireboard. Prostor između ploča i lima ispuniti kamenom vunom minimalne gustoće veće od 70 kg/m3 Na slobodnim rubovima obloge izvesti češalj prema trapeznom limu (ako obloga okomita na val lima) ili prepustiti jednu vertikalne ploče do vrha lima (ako je obloga paralelna s valom lima te završava u tlocrtnoj projekciji višeg vala), a spojeve brtviti protupožarnim trajno elastičnim kitom. Završna obrada kvalitete Q2. Sve izvesti prema uputama odabranog proizvođača sustava, te uključiti sav rad i materijal potreban za izradu kompletne funkcionalne cjeline. Obračun po m1 kompletno obrađene konzole.
Razvijena širina obloge: 100cm</t>
  </si>
  <si>
    <t>402.010.00175</t>
  </si>
  <si>
    <t>- Doplata za razliku u cijenu zamjene dvija GKB ploča sa GKBI impregniranim pločama</t>
  </si>
  <si>
    <t>Doplata za razliku u cijenu zamjene dvija GKB ploča sa GKBI impregniranim pločama
Obračunava se samo razlika u cijena za ugradnju dviju laga jedne strane.</t>
  </si>
  <si>
    <t>402.010.00180</t>
  </si>
  <si>
    <t>x... RS13 - zaštita ruba zida koncesionara</t>
  </si>
  <si>
    <t>Dobava i postava plastificirane zaštite od čeličnog lima debljine 1mm na prednju stranu GK zida koncesionara. Visina ugradnje do blende koncesionara
Boja: RAL 9010 – čisto bijelo
Razvijena širina: 0,49 m
Visina: 3,00 m</t>
  </si>
  <si>
    <t>402.010.00185</t>
  </si>
  <si>
    <t>x..TW2.1..x - gipskartonski zid debljine [112.5] mm, jednostrano vlaknocementna ploča</t>
  </si>
  <si>
    <t>Izrada pregradnog montažnog zida od vlaknocementnih ploča oznake TW2.1:
• vlaknocementna vodootporna pločam jednostruka obloga 1x1,25cm
• jednostruka metalna potkonstrukcija (CW [ 100mm ]) za elastični ovjes gips-kartonskih ploča, bez ispune
Svi spojevi moraju biti ljepljeni, bandažirani i gletani, fugirani, s obje strane pripremljeno za bojanje, bez bojanja. Izvedba do gotove funkcionalnosti a sve prema standardnim detaljima proizvođača sustava.
Debljina zida: [ 112,5 ] mm
Visina zida: do [ 2,20 ] m
Kvaliteta gleta: Q - [ 2 ]
Mjesto ugradnje: 04.08. Prostorija strojeva za čišćenje</t>
  </si>
  <si>
    <t>402.010.00190</t>
  </si>
  <si>
    <t>- obloga vlaknocementnim pločama</t>
  </si>
  <si>
    <t>Dobava i i oblaganje potkonstrukcije za vanjske HOVAL jedinice (POZ 301 i 303) od vlaknocementnih ploča:
• vanjska vlaknocementna vodootporna ploča -jednostruka obloga 1x1,25cm (montirati NA vanjsku stranu čelične potkonstrukcije)
• unutarnja vlaknocementna vodootporna ploča -jednostruka obloga 1x1,25cm (poravnato s unutarnjim rubom čelične konstrukcije- NE ulaziti u svijetle dimenzije čeličnog okna!)
Svi spojevi moraju biti ljepljeni, bandažirani i gletani, fugirani, bez bojanja. Izvedba do gotove funkcionalnosti a sve prema standardnim detaljima proizvođača sustava.
Stavka uključuje Obostranu parnu branu te ispunu MW.</t>
  </si>
  <si>
    <t>402.010.00195</t>
  </si>
  <si>
    <t>- požarno brtvljenje, prodori u zidu</t>
  </si>
  <si>
    <t>402.020</t>
  </si>
  <si>
    <t>Blende i parapetni zidovi</t>
  </si>
  <si>
    <t>402.020.00100</t>
  </si>
  <si>
    <t>x..TW11..x - blenda koncesionara</t>
  </si>
  <si>
    <t>Izrada ovješene blende koncesionara od GKB ploča debljine 12,5m na metalnoj potkonstrukcija za elastični ovjes gips-kartonskih ploča. Svi spojevi moraju biti ljepljeni, bandažirani i gletani - kvaliteta Q-3, fugirani, s obje strane pripremljeno za bojanje, bez bojanja. Izvedba do gotove funkcionalnosti a sve prema standardnim detaljima proizvođača sustava. Obrada donje pasice uključena u cijenu.
Izvedba: Prednja strana jednostrano obložena do trapeznog lima, unutarnja strana do ovješenog stropa, prednja strana s udubljenjem u donjom području, vanjski tereti 10 kg/m2 sjenila
Debljina blende: ukupne debljine 150mm od toga 100 mm na donjem rubu.
Metalna potkonstrukcija: profila CW75 postavljen vertikalno na čelični nosač blende i profil CW 50 postavljen okomito na vertikalne profile cw75
Visina blende: do 3,1 m, donji rub od 3,0 m iznad gotovog poda
Potkonstrukciju blende uklopiti u bravarsku stavku POZ 501 /502 /503.</t>
  </si>
  <si>
    <t>402.020.00105</t>
  </si>
  <si>
    <t>x..TW12..x - blenda delikatese, drvena dekoracija</t>
  </si>
  <si>
    <t>Izrada ovješene blende delikatese na metalnoj potkonstrukcija za elastični ovjes gips-kartonskih ploča.
Metalna potkonstrukcija: jednostruka metalna potkonstrukcija CW 75 pričvršćena na čeličnu konstrukciju
Podloga za postavu drvene dekoracije: OSB ploča d=12mm
Obloga: Drvena dekoracija od drvenog materijala premazanog melaminskom smolom, dekorativni Egger Hamilton hrast natur. Ploče sa zaštitom za rubove od zaštitne trake iste boje, s 1mm PVC rubom bočno, 2 mm PVC rubom. Nevidljivo pričvršćenje na potkonstrukciju.
Visina blende: 1,5 m, obloga kontinurano preko brida na donji donji rub širine cca 15cm, donji rub od 3,0 m iznad gotovog poda
Potkonstrukciju blende uklopiti u bravarsku stavku POZ 505.</t>
  </si>
  <si>
    <t>402.020.00110</t>
  </si>
  <si>
    <t>x..BD1..x - blenda pekare, drvena dekoracija</t>
  </si>
  <si>
    <t>402.030</t>
  </si>
  <si>
    <t>Suha žbuka</t>
  </si>
  <si>
    <t>402.030.00100</t>
  </si>
  <si>
    <t>- suha žbuka, GKB ploča</t>
  </si>
  <si>
    <t>Izrada završne obloge unutarnjeg zida iz GKP sistem KNAUF W611 suha žbuka_izvedba A:
• gips kartonske ploče GKB 1,25cm
Svi spojevi moraju biti ljepljeni, bandažirani i gletani, kvaliteta Q-2, fugirani, pripremljeno za bojanje, bez bojanja. Izvedba do gotove funkcionalnosti a sve prema standardnim detaljima proizvođača sustava.
Visina obloge do: [4,85 ] m</t>
  </si>
  <si>
    <t>402.040</t>
  </si>
  <si>
    <t>GK stropovi</t>
  </si>
  <si>
    <t>402.040.00100</t>
  </si>
  <si>
    <t>x..DE7.2..x - Spušteni stropovi, gips karton,</t>
  </si>
  <si>
    <t>Isporučiti i montirati prema podacima proizvođača, spušteni stropovi od gipskartonskih ploča u zatvorenoj izvedbi, s metalnom podkonstrukcijom s podešavanjem visine. Oplata gipskartonskih ploča za suhu gradnju debljine 12,5 mm, uključujući izradu potrebnih otvora za rasvjetu, rasprskivač i ventilacijsku rešetku. Spojeve gipskartonskih ploča za suhu gradnju površinski izgladiti i izbrusiti. Uključeni su svi potrebni spojevi za zid i kuteve s odgovarajućim kutnicima za zid te ostali materijal i rad koji je potreban da se stavka izvede do gotove funkcionalnosti a sve prema standardnim detaljima proizvođača sustava.
Izvedba: jednostruko obložena
Visina stropa: do 3,0 m
Površina: Svi spojevi moraju biti ljepljeni, bandažirani i gletani, kvaliteta Q-2, fugirani, s jedne strane pripremljeno za bojanje bez bojanja.</t>
  </si>
  <si>
    <t>402.040.00105</t>
  </si>
  <si>
    <t>- Doplata za revizijske otvore</t>
  </si>
  <si>
    <t>Doplata za revizijske otvore - obične, dim. do 600 x 600 mm</t>
  </si>
  <si>
    <t>402.040.00110</t>
  </si>
  <si>
    <t>x..DE7.2..x - Spušteni stropovi, gips karton, EI90</t>
  </si>
  <si>
    <t>Isporučiti i montirati prema podacima proizvođača, spušteni stropovi od gipskartonskih ploča u zatvorenoj izvedbi, EI90 odzdo i odozgo, s metalnom podkonstrukcijom s podešavanjem visine. Oplata od vatrootpornih gipskartonskih ploča za suhu gradnju debljine 12,5 mm u trisloja, uključujući izradu potrebnih otvora za rasvjetu, rasprskivač i ventilacijsku rešetku. Mineralna vuna debljine 40mm, de dodatno iznad nosivih profila u širni 150mm kako bi se postigla tražena vatrootporost s obje strane. Spojeve gipskartonskih ploča za suhu gradnju površinski izgladiti i izbrusiti. Uključeni su svi potrebni spojevi za zid i kuteve s odgovarajućim kutnicima za zid te ostali materijal i rad koji je potreban da se stavka izvede do gotove funkcionalnosti a sve prema standardnim detaljima proizvođača sustava. Obrada oko prodora instalacija na način da se dobije tražena vatrootpornost se ne obračunava posebno, uključena je u jediničnu cijenu.
Izvedba: jednostruko obložena
Visina stropa: do 3,5 m
Površina: Svi spojevi moraju biti ljepljeni, bandažirani i gletani, kvaliteta Q-2, fugirani, s jedne strane pripremljeno za bojanje bez bojanja.</t>
  </si>
  <si>
    <t>402.040.00115</t>
  </si>
  <si>
    <t>x..DE7..x - samonosivi požarni strop EI 90</t>
  </si>
  <si>
    <t>Dobava materijala i izrada samonosivog stropa Fireboard K219 odozdo i odozgo, vatrootpornost F90. Potkonstrukcija s UW-profilima i dvostrukim CW-profilima 100 za maksimalnu širinu prostorije od 3,40-4,0 m. Pričvršćivanje bočnih nosivih elemenata od UW-profila na zidovima prema uputama proizvođača, pričvršćivanje dvostrukih CW-profila u maksimalnom razmaku od 625 mm - odnosno prema uputama proizvođača.
Oplata: nosive profile obložiti negorućim pokrovnim trakama od gips-kartona Fireboard - klasa građevnog materijala A1 - u širini profila i duž obostrane oplate za zaštitu od požara odozdo i odozgo s negorivim gips-kartonskim pločama Fireboard 1 x 20 mm. Postaviti sloj izolacije od mineralnih vlakana klase građevnog materijala A1, debljine 60 mm. Obrada oko prodora instalacija na način da se dobije tražena vatrootpornost se ne obračunava posebno, uključena je u jediničnu cijenu. Svi spojevi moraju biti ljepljeni, bandažirani i gletani, kvaliteta Q-2, fugirani, s jedne strane pripremljeno za bojanje bez bojanja. Izvedba do gotove funkcionalnosti a sve prema standardnim detaljima proizvođača sustava.</t>
  </si>
  <si>
    <t>402.040.00120</t>
  </si>
  <si>
    <t>- Doplata za revizijske otvore EI90</t>
  </si>
  <si>
    <t>Doplata za revizijske otvore s mogučnošću zaključavanja - EI 90, dim. do 600 x 600 mm</t>
  </si>
  <si>
    <t>402.050</t>
  </si>
  <si>
    <t>Strop od mineralnih vlakana</t>
  </si>
  <si>
    <t>402.050.00100</t>
  </si>
  <si>
    <t>x..DE3..x - spušteni stropovi, mreža 62,5 / 62,5 cm, mineralna vlakna</t>
  </si>
  <si>
    <t>Ovješene stropove kao raster stropove, sustav za umetanje, vidljivu visinski podesivu nosivu konstrukciju s rubnim nosačem, stropne ploče od mineralnih vlakana, u različitim pojedinačnim dimenzijama, uklj. priključke i krajeve, otvore, pojačanja, isporučiti i montirati.
Izvedba: Raster 60,0/60,0 cm
Visina stropa: do 4,0 m
Nosiva konstrukcija: od aluminija ili pocinčanog čelika, širina vidljive strane 24 mm, vidljive strane obojane
Stropne ploče: Debljina ploča ca. 15 mm, s ravnim rubom
Površina: uni, homogena, zatvorena, blago gruba s finom granulacijom
Boje: sukladno Kauflandovoj paleti boja</t>
  </si>
  <si>
    <t>402.050.00105</t>
  </si>
  <si>
    <t>x..DE3..x - dodatak za strop, izolacijski sloj</t>
  </si>
  <si>
    <t>Doplata za izolacijski sloj od mineralne vune, debljine [40] mm. Koristi se u prostorijama za sastanke, ured rukovodstva, sobe za osoblje i čekanje.</t>
  </si>
  <si>
    <t>402.050.00110</t>
  </si>
  <si>
    <t>x..DE3..x - spušteni stropovi, mreža 62,5 / 62,5 cm, mineralna vlakna u području hladnjača uz delikatesu</t>
  </si>
  <si>
    <t>Ovješene stropove kao raster stropove, sustav za umetanje, vidljivu visinski podesivu nosivu konstrukciju s rubnim nosačem, stropne ploče od mineralnih vlakana, u različitim pojedinačnim dimenzijama, uklj. priključke i krajeve, otvore, pojačanja, isporučiti i montirati. Svi primijenjeni mateirjali razred reakcije na požar A1 ili A2.
Izvedba: Raster 60,0/60,0 cm
Visina stropa: do 4,0 m
Nosiva konstrukcija: od aluminija ili pocinčanog čelika, širina vidljive strane 24 mm, vidljive strane obojane
Stropne ploče: Debljina ploča ca. 15 mm, s ravnim rubom
Površina: uni, homogena, zatvorena, blago gruba s finom granulacijom
Boje: sukladno Kauflandovoj paleti boja</t>
  </si>
  <si>
    <t>402.050.00115</t>
  </si>
  <si>
    <t>Doplata za izolacijski sloj od mineralne vune, debljine [40] mm.</t>
  </si>
  <si>
    <t>402.060</t>
  </si>
  <si>
    <t>Metalni stropovi</t>
  </si>
  <si>
    <t>402.060.00100</t>
  </si>
  <si>
    <t>x..DE1, DE1.2..x - Spušteni stropovi, mreža 62,5 / 62,5 cm, stezni sustav izrađen od metala</t>
  </si>
  <si>
    <t>Ovješene stropove kao raster stropove, sustav na zatezanje, prekrivenu visinski podesivu nosivu konstrukciju s rubnim nosačem, stropne ploče od metala, u različitim pojedinačnim dimenzijama, uklj. priključke i krajeve, otvore, pojačanja, isporučiti i montirati.
Izvedba: Raster 60,0/60,0 cm
Visina stropa: do 4,0 m
Nosiva konstrukcija: od aluminija ili pocinčanog čelika, vidljive strane obojane
Stropne ploče: zatvorene kasete od čeličnog lima, pocinčane i premazane u prahu, preklopne
Boje: sukladno Kauflandovoj paleti boja</t>
  </si>
  <si>
    <t>402.060.00105</t>
  </si>
  <si>
    <t>x..DE1.1..x - Spušteni stropovi, mreža 62,5 / 62,5 cm, metalni stezni sustav, vanjska površina</t>
  </si>
  <si>
    <t>Ovješene stropove kao raster stropove, u vanjskom prostoru, osigurane od propuha i udara vjetra, sustav na zatezanje, prekrivenu visinski podesivu nosivu konstrukciju s rubnim nosačem, stropne ploče od metala, u različitim pojedinačnim dimenzijama, uklj. priključke i krajeve, otvore, pojačanja, isporučiti i montirati.
Izvedba: Raster 60,0/60,0 cm
Visina stropa: do 4,5 m
Nosiva konstrukcija: od aluminija ili pocinčanog čelika, vidljive strane obojane
Stropne ploče: zatvorene kasete od čeličnog lima, pocinčane i premazane u prahu
Boje: sukladno Kauflandovoj paleti boja</t>
  </si>
  <si>
    <t>402.060.00110</t>
  </si>
  <si>
    <t>x..DE2..x - Spušteni stropovi, mreža 62,5 / 62,5 cm, sustav umetanja izrađen od metala</t>
  </si>
  <si>
    <t>Ovješene stropove kao raster stropove, sustav na umetanje, vidljivu visinski podesivu nosivu konstrukciju s rubnim nosačem, stropne ploče od metala, u različitim pojedinačnim dimenzijama, uklj. priključke i krajeve, otvore, pojačanja, isporučiti i montirati.
Izvedba: Raster 60,0/60,0 cm
Visina stropa: do 4,0 m
Nosiva konstrukcija: od aluminija ili pocinčanog čelika, širina vidljive strane 24 mm, vidljive strane obojane
Stropne ploče: zatvorene kasete od čeličnog lima, pocinčane i premazane u prahu
Boje: sukladno Kauflandovoj paleti boja</t>
  </si>
  <si>
    <t>402.060.00115</t>
  </si>
  <si>
    <t>x..DE5..x - Spušteni stropovi, mreža 62,5 / 62,5 cm, sustav umetanja izrađen od metala</t>
  </si>
  <si>
    <t>Ugradnja spuštenog limenog kasetiranog stropa ako je to potrebno za određeni projekt prema državnom zakonu / zbog higijene ili prema nadležnom tijelu.
Kasetirani strop od čeličnog lima, modul 625/625 mm ili 600/600 mm, sustav spona, otklopljiv. Spojne kasete od vruće pocinčanog čeličnog lima, zatvorene kasete bez otvora. Skrivene nosive skele izrađene od pocinčanih metalnih profila, s pripadajućim vješalicama podesivim po visini. Izrada otvora za rasvjetu, sustave prskalica, zvučnike, eventualno alarme za dim itd. Uzeti u obzir zaobljene rubove stropne plohe.
Izvedba 1 – Kasetirani strop od čeličnog lima
Izvedba kao sustav preklapanja sponama (kasete se mogu sklopiti)
Boja praškasti premaz RAL 7024 – graphitgrau
Ovjes s nosive konstrukcije baldahina
Poklopci za sustav prskalica, odnosno vidljivi okviri ili dijelovi sustava prskalica, zvučnika, prstene svjetiljaka, ventilacijske otvore, uništivače insekata u spuštenom stropu treba premazati istom bojom, ako ih proizvođač ne isporuči u boji RAL7024 graphitgrau.
Ugradnja lampi za insekte dimenzija kućišta 544x544x73 mm
Isporuku lampi za insekte od dobavljača po narudžbi tvrtke Kaufland
Za stropnu rešetku 625 x 625 mm isporučuje se odgovarajući instalacijski okvir ili produžetak okvira</t>
  </si>
  <si>
    <t>402.060.00120</t>
  </si>
  <si>
    <t>x..DE1, DE1.2, DE2..x - dodatni strop, rešetka 62,5 / 62,5 cm, metal, izolacijska obloga iznutra</t>
  </si>
  <si>
    <t>402.060.00125</t>
  </si>
  <si>
    <t>x..DE2..x - dodatni stropovi, mreža 62,5 / 62,5 cm, metal, izolacijski sloj izvana</t>
  </si>
  <si>
    <t>Doplata za izolacijski sloj od mineralne vune, debljine [120] mm, prikladne za vanjski prostor.</t>
  </si>
  <si>
    <t>406</t>
  </si>
  <si>
    <t>Soboslikarski radovi</t>
  </si>
  <si>
    <t>406.000</t>
  </si>
  <si>
    <t>Razgraničenje usluga za soboslikarske radove</t>
  </si>
  <si>
    <t>U sljedećim pozicijama potrebno je uzeti u obzir i uračunati sljedeće usluge, čak i ako nisu izričito navedene:
- Ugradnju armaturnih mreža u područjima u kojima postoji opasnost od pukotina
- stručnu naknadnu obradu
- ljepljivom trakom zaštiti površine koje se ne bojaju
- neželjene ostatke boje ukloniti
- Popravak podloge u obujmu koji pripada određenom odjeljku
- u unutarnjim prostorima općenito se koriste boje bez štetnih emisija i otapala
- Bojanje pojedinih površina akcentnim bojama
- Korištenje usisivača prilikom brušenja
- Dodatne radove u nišama, izbočenim dijelovima zida ili drugim tankim elementima
- trajno elastične brtve koje su mogu bojati na svim spojnim fugama prema graničnim elementima</t>
  </si>
  <si>
    <t>406.010</t>
  </si>
  <si>
    <t>Vanjsko bojanje</t>
  </si>
  <si>
    <t>406.020</t>
  </si>
  <si>
    <t>Bojanje unutarnjih površina</t>
  </si>
  <si>
    <t>406.020.00100</t>
  </si>
  <si>
    <t>x..ATW1..x - betonska konstrukcija, lateks boja</t>
  </si>
  <si>
    <t>Bojanje nosive krovne konstrukcije u području prodajnog prostora (glavni, sekundarni, rubni i zabatni nosači) sa višeslojnim sustavom koji se sastoji od temeljnog premaza s premazom dubinskog grundiranja koji se razrjeđuje vodom, međupremaz i završni sloj. Izvedba do gotove funkcionalnosti prema uputama tehnologa proizvođača boje.
Radna visina: do 10,0 m
Sustav slojeva: Lateks boja, otporna na habanje, razred mokrog habanja 2 prema EN 13300
Boja/stupanj sjaja: svijetla boja sukladno Kauflandovoj paleti boja</t>
  </si>
  <si>
    <t>406.020.00105</t>
  </si>
  <si>
    <t>x..WB1..x - baza, lateks boja, unutarnja područja</t>
  </si>
  <si>
    <t>Bojanje zidova betona, gipskartona i opeke, osnovni premaz sa temeljnim premazom koji se može razvodniti. Međusloj i završni sloj s lateks bojom. Stupanj sjaja: srednji sjaj. Klasa vodoperivosti 1 (NAB1). Izvedba do gotove funkcionalnosti prema uputama tehnologa proizvođača boje.
Radna visina: 5,00 m
Sustav slojeva: Lateks boja, otporna na habanje, razred mokrog habanja 1 prema EN 13300
Boja/stupanj sjaja: tamna boja sukladno Kauflandovoj paleti boja</t>
  </si>
  <si>
    <t>406.020.00110</t>
  </si>
  <si>
    <t>x..WB2..x - zidovi, lateks boja</t>
  </si>
  <si>
    <t>Bojanje zidova betona, gipskartona i opeke,u području svih zidnih površina i unutrašnjih nosača. Osnovni premaz sa temeljnim premazom, koji se može razvodniti. Između međupremaza i završnog premaza sa lateks bojom. Stupanj sjaja: mat bez sjaja. Izvedba do gotove funkcionalnosti prema uputama tehnologa proizvođača boje.
Radna visina: do ca. 6,0 m
Sustav slojeva: Lateks boja, otporna na habanje, razred mokrog habanja 2 prema EN 13300
Boja/stupanj sjaja: svijetla boja sukladno Kauflandovoj paleti boja</t>
  </si>
  <si>
    <t>406.020.00115</t>
  </si>
  <si>
    <t>x..WB3..x - zidovi, lateks boja</t>
  </si>
  <si>
    <t>Premaz u boji na zidnim površinama, unutarnjim nosačima. Podloga od zidova, betona, gipskartona. Temeljni premaz s premazom dubinskog grundiranja koji se razrjeđuje vodom. Srednji i završni premaz lateksom.Stupanj sjaja: srednji sjaj. Klasa vodoperivosti 1 (NAB1). Nijansa: NCS S-1000 N bijela. Premaz u visini prostorije od sokla do krova/spuštenog stropa.
Priprema podloge za javne površine, urede i društvena područja
ozidanu zidnu površinu izravnati mortom ili obložiti gips-kartonskim pločama za suhu gradnju, ožbukane i izbrušene, premazane vodom razblaženim temeljnim premazom.
Radna visina: do ca. 6,0 m
Sustav slojeva: Lateks boja, otporna na habanje, razred mokrog habanja 2 prema EN 13300
Boja/stupanj sjaja: svijetla boja sukladno Kauflandovoj paleti boja</t>
  </si>
  <si>
    <t>406.020.00120</t>
  </si>
  <si>
    <t>x..WB4..x - zidovi, lateks boja, prodajni prostor</t>
  </si>
  <si>
    <t>Bojanje zidova betona, gipskartona i opeke. Temeljni premaz s premazom dubinskog grundiranja koji se razrjeđuje vodom. Međupremaz i završni premaz: premaz disperzijskom bojom s lateks bojom. Stupanj sjaja: mutno matirano. Boje zida u prodajnom prostoru i trgovačkom centru razlikuju se u 3 vrste boja: osnovna boja Brillux Scala 12.03.18., boje ili asortimani robe RAL, boja za poruku brenda Kaufland RAL 3020. Planiranje po pitanju skupina robe i određivanje ikona i motiva slika, uključujući položaj i visinu vrši se u skladu s detaljnim tehničkim izgledom. Izvedba do gotove funkcionalnosti prema uputama tehnologa proizvođača boje.
Radna visina: do ca. 5,5 m
Sustav slojeva: Lateks boja, otporna na habanje, razred mokrog habanja 2 prema EN 13300
Boja/stupanj sjaja: u različitim bojama prema Kauflandovoj paleti boja</t>
  </si>
  <si>
    <t>406.020.00125</t>
  </si>
  <si>
    <t>x..WB4..x - stupovi, lateks boja,  prodajni prostor</t>
  </si>
  <si>
    <t>Bojanje unutarnjih stupova prodajnog prostora temeljni premaz s premazom dubinskog grundiranja koji se razrjeđuje vodom. Međupremaz i završni premaz: premaz disperzijskom bojom s lateks bojom. Stupanj sjaja: mutno matirano. Izvedba do gotove funkcionalnosti prema uputama tehnologa proizvođača boje.
Radna visina: do ca. 10,0 m
Sustav slojeva: Lateks boja, otporna na habanje, razred mokrog habanja 2 prema EN 13300
Boja/stupanj sjaja: u različitim bojama prema Kauflandovoj paleti boja</t>
  </si>
  <si>
    <t>406.020.00130</t>
  </si>
  <si>
    <t>x..WB5..x -zid prazne ambalaže</t>
  </si>
  <si>
    <t>Bojanje zidova betona, gipskartona i opeke. Temeljni premaz s premazom dubinskog grundiranja koji se razrjeđuje vodom. Međupremaz i završni premaz: premaz s lateks bojom. Stupanj sjaja: srednji sjaj. Izvedba do gotove funkcionalnosti prema uputama tehnologa proizvođača boje.
Radna visina: do ca. 0,9 m
Sustav slojeva: Lateks boja, otporna na habanje, razred mokrog habanja 1 2 prema EN 13300
Boja/stupanj sjaja: svijetla boja sukladno Kauflandovoj paleti boja</t>
  </si>
  <si>
    <t>406.020.00135</t>
  </si>
  <si>
    <t>x..WB205..x - naglašavanje zidova društvenih prostorija</t>
  </si>
  <si>
    <t>406.020.00140</t>
  </si>
  <si>
    <t>- strop od gips kartona, lateks boja</t>
  </si>
  <si>
    <t>Bojanje podgleda gipskartonskih stropova i požarnih gipskartonskih konzola. Temeljni premaz koji se razrjeđuje vodom. Međusloj i završni sloj s lateks bojom. Stupanj sjaja: jak mat s premazom disperzijske boje. Izvedba do gotove funkcionalnosti prema uputama tehnologa proizvođača boje.
Radna visina: do ca. [6,0] m
Sustav slojeva: Lateks boja, razred mokrog habanja 2 prema EN 13300
Boja/stupanj sjaja: prema izboru investitiora</t>
  </si>
  <si>
    <t>Bojanje zidova betona, gipskartona i opeke. Temeljni premaz s premazom dubinskog grundiranja koji se razrjeđuje vodom. Međusloj i završni sloj s lateks bojom. Razina sjaja: mat bez sjaja. Izvedba do gotove funkcionalnosti prema uputama tehnologa proizvođača boje.
Radna visina: do ca. [3,0] m
Sustav slojeva: Lateks boja, razred mokrog habanja 2 prema EN 13300</t>
  </si>
  <si>
    <t>Izvođenje protupožarnog brtvljenja prodora vodovodnih i kanalizacijskih cijevi na mjestima prolaska cijevnog razvoda između dva požarna sektora. Prodori vodovodnih instalacija brtviti će se sredstvima klase vatrootpornosti „R“, atestiranim prema normi HRN DIN 4102 dio 11. Manje fuge (do 3,0 cm) oko metalnih cijevi i električnih kablova zatvoriti će se protupožarnim kitom kao tipa «PROMASEAL». Za veće otvore koristiti će se protupožarni mort, kabelski blokovi, protupožarni jastuci i sistemski čepovi kao tipa «PROMASTOP». Prodori gorivih cijevi, promjera većeg od 30 mm brtviti će se protupožarnim obujmicama (manžetama) kao tipa «PROMASTOP». U stavku ulaze svi radovi i materijali potrebni za kvalitetno izvođenje brtvljenja, kao i oznake brtvi (naljepnice).
Protupožarno brtvljenje vodovodnih cijevi d15 - 1 KOM Protupožarno brtvljenje vodovodnih cijevi d20 - 7 KOM Protupožarno brtvljenje vodovodnih cijevi d32 - 3 KOM Protupožarno brtvljenje vodovodnih cijevi d40 - 2 KOM Protupožarno brtvljenje vodovodnih pč cijevi d80 - 3 KOM Protupožarno brtvljenje vodovodnih pč cijevi d50 - 3 KOM Protupožarno brtvljenje kanalizacijskih PVC cijevi d75 - 1 KOM Protupožarno brtvljenje kanalizacijskih PVC cijevi d100 - 1 KOM - u cijenu uključen i elaborat</t>
  </si>
  <si>
    <t>Dobava i ugradnja drvene dekoracije blende pekare.
Metalna potkonstrukcija obrađena zasebnom bravarskom stavkom.
Podloga za postavu drvene dekoracije: šperploča d=12mm - na mjestima kružno ugrađena (potrebno uračunati u cijenu stavke).
Obloga: Drvena dekoracija od drvenog materijala premazanog melaminskom smolom, dekorativni Egger Hamilton hrast natur. Ploče sa zaštitom za rubove od zaštitne trake iste boje, s 1mm PVC rubom bočno, 2 mm PVC rubom. Nevidljivo pričvršćenje na potkonstrukciju.
Visina blende: 0,8 m, obloga kontinurano preko brida na donji donji rub širine cca 15cm, 3,0 m iznad gotovog poda
Blendue uklopiti u bravarsku stavku POZ 504.
Stavka uključuje izradu spoja blende sa krovnim trapeznim limom neravne površine; 1-strana 1-slojna obloga.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</si>
</sst>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quot;-&quot;#,##0.00\ &quot;€&quot;"/>
    <numFmt numFmtId="165" formatCode="_-* #,##0.00\ [$€-41A]_-;\-* #,##0.00\ [$€-41A]_-;_-* &quot;-&quot;??\ [$€-41A]_-;_-@_-"/>
  </numFmts>
  <fonts count="2" x14ac:knownFonts="1">
    <font>
      <sz val="11"/>
      <color theme="1"/>
      <name val="Calibri"/>
      <family val="2"/>
      <scheme val="minor"/>
    </font>
    <font>
      <b/>
      <sz val="11"/>
      <name val="Calibri"/>
      <family val="2"/>
      <charset val="238"/>
    </font>
  </fonts>
  <fills count="5">
    <fill>
      <patternFill patternType="none"/>
    </fill>
    <fill>
      <patternFill patternType="gray125"/>
    </fill>
    <fill>
      <patternFill patternType="solid">
        <fgColor rgb="FFFFFFFF"/>
      </patternFill>
    </fill>
    <fill>
      <patternFill patternType="solid">
        <fgColor rgb="FFE9EDF7"/>
      </patternFill>
    </fill>
    <fill>
      <patternFill patternType="solid">
        <fgColor theme="0"/>
        <bgColor indexed="64"/>
      </patternFill>
    </fill>
  </fills>
  <borders count="3">
    <border>
      <left/>
      <right/>
      <top/>
      <bottom/>
      <diagonal/>
    </border>
    <border>
      <left/>
      <right/>
      <top/>
      <bottom style="thin">
        <color rgb="FF000000"/>
      </bottom>
      <diagonal/>
    </border>
    <border>
      <left style="thin">
        <color rgb="FF2451B2"/>
      </left>
      <right style="thin">
        <color rgb="FF2451B2"/>
      </right>
      <top style="thin">
        <color rgb="FF2451B2"/>
      </top>
      <bottom style="thin">
        <color rgb="FF2451B2"/>
      </bottom>
      <diagonal/>
    </border>
  </borders>
  <cellStyleXfs count="1">
    <xf numFmtId="0" fontId="0" fillId="0" borderId="0"/>
  </cellStyleXfs>
  <cellXfs count="10">
    <xf numFmtId="0" fontId="0" fillId="0" borderId="0" xfId="0"/>
    <xf numFmtId="0" fontId="1" fillId="2" borderId="1" xfId="0" applyFont="1" applyFill="1" applyBorder="1" applyAlignment="1">
      <alignment wrapText="1"/>
    </xf>
    <xf numFmtId="0" fontId="1" fillId="0" borderId="0" xfId="0" applyFont="1" applyAlignment="1">
      <alignment wrapText="1"/>
    </xf>
    <xf numFmtId="164" fontId="1" fillId="0" borderId="0" xfId="0" applyNumberFormat="1" applyFont="1" applyAlignment="1">
      <alignment wrapText="1"/>
    </xf>
    <xf numFmtId="0" fontId="0" fillId="0" borderId="0" xfId="0" applyAlignment="1">
      <alignment wrapText="1"/>
    </xf>
    <xf numFmtId="164" fontId="0" fillId="0" borderId="0" xfId="0" applyNumberFormat="1" applyAlignment="1">
      <alignment wrapText="1"/>
    </xf>
    <xf numFmtId="164" fontId="0" fillId="3" borderId="2" xfId="0" applyNumberFormat="1" applyFill="1" applyBorder="1" applyAlignment="1">
      <alignment wrapText="1"/>
    </xf>
    <xf numFmtId="165" fontId="0" fillId="0" borderId="0" xfId="0" applyNumberFormat="1" applyAlignment="1">
      <alignment wrapText="1"/>
    </xf>
    <xf numFmtId="0" fontId="0" fillId="4" borderId="0" xfId="0" applyFill="1" applyAlignment="1">
      <alignment wrapText="1"/>
    </xf>
    <xf numFmtId="4"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abSelected="1" zoomScale="70" zoomScaleNormal="70" workbookViewId="0">
      <selection activeCell="D5" sqref="D5"/>
    </sheetView>
  </sheetViews>
  <sheetFormatPr defaultRowHeight="15" x14ac:dyDescent="0.25"/>
  <cols>
    <col min="1" max="1" width="19" customWidth="1"/>
    <col min="2" max="2" width="13.7109375" customWidth="1"/>
    <col min="3" max="3" width="27.28515625" customWidth="1"/>
    <col min="4" max="4" width="61" customWidth="1"/>
    <col min="5" max="5" width="18.85546875" customWidth="1"/>
    <col min="6" max="6" width="23.42578125" customWidth="1"/>
    <col min="7" max="7" width="19.85546875" customWidth="1"/>
    <col min="8" max="8" width="19.140625" customWidth="1"/>
    <col min="9" max="9" width="18" customWidth="1"/>
  </cols>
  <sheetData>
    <row r="1" spans="1:8" s="1" customFormat="1" x14ac:dyDescent="0.25">
      <c r="A1" s="1" t="s">
        <v>0</v>
      </c>
      <c r="B1" s="1" t="s">
        <v>1</v>
      </c>
      <c r="C1" s="1" t="s">
        <v>2</v>
      </c>
      <c r="D1" s="1" t="s">
        <v>3</v>
      </c>
    </row>
    <row r="3" spans="1:8" s="2" customFormat="1" x14ac:dyDescent="0.25">
      <c r="A3" s="2" t="s">
        <v>13</v>
      </c>
      <c r="C3" s="2" t="s">
        <v>14</v>
      </c>
    </row>
    <row r="4" spans="1:8" s="2" customFormat="1" x14ac:dyDescent="0.25">
      <c r="A4" s="2" t="s">
        <v>15</v>
      </c>
      <c r="C4" s="2" t="s">
        <v>9</v>
      </c>
      <c r="H4" s="9">
        <f>H8+H60</f>
        <v>235012.64</v>
      </c>
    </row>
    <row r="5" spans="1:8" s="4" customFormat="1" ht="409.5" x14ac:dyDescent="0.25">
      <c r="C5" s="4" t="s">
        <v>4</v>
      </c>
      <c r="D5" s="4" t="s">
        <v>5</v>
      </c>
    </row>
    <row r="6" spans="1:8" s="4" customFormat="1" ht="300" x14ac:dyDescent="0.25">
      <c r="C6" s="4" t="s">
        <v>16</v>
      </c>
      <c r="D6" s="4" t="s">
        <v>17</v>
      </c>
    </row>
    <row r="7" spans="1:8" s="4" customFormat="1" ht="345" x14ac:dyDescent="0.25">
      <c r="C7" s="4" t="s">
        <v>18</v>
      </c>
      <c r="D7" s="4" t="s">
        <v>19</v>
      </c>
    </row>
    <row r="8" spans="1:8" s="2" customFormat="1" x14ac:dyDescent="0.25">
      <c r="A8" s="2" t="s">
        <v>20</v>
      </c>
      <c r="C8" s="2" t="s">
        <v>11</v>
      </c>
      <c r="H8" s="3">
        <f>SUM(H9,H10,H11,H12,H13,H14,H15,H16,H17,H18,H19,H20,H21,H22,H23,H24,H25,H26,H27,H28,H29,H30,H31,H35,H37,H43,H48)</f>
        <v>190353.37</v>
      </c>
    </row>
    <row r="9" spans="1:8" s="4" customFormat="1" ht="210" x14ac:dyDescent="0.25">
      <c r="A9" s="4" t="s">
        <v>21</v>
      </c>
      <c r="B9" s="4" t="s">
        <v>6</v>
      </c>
      <c r="C9" s="4" t="s">
        <v>22</v>
      </c>
      <c r="D9" s="4" t="s">
        <v>23</v>
      </c>
      <c r="E9" s="4">
        <v>910</v>
      </c>
      <c r="F9" s="4" t="s">
        <v>10</v>
      </c>
      <c r="G9" s="6">
        <v>36.200000000000003</v>
      </c>
      <c r="H9" s="5">
        <f t="shared" ref="H9:H30" si="0">IF(AND(ISNUMBER(E9),ISNUMBER(G9)),ROUND(PRODUCT(PRODUCT(E9, G9), 1 - L9), 2),"")</f>
        <v>32942</v>
      </c>
    </row>
    <row r="10" spans="1:8" s="4" customFormat="1" ht="210" x14ac:dyDescent="0.25">
      <c r="A10" s="4" t="s">
        <v>24</v>
      </c>
      <c r="B10" s="4" t="s">
        <v>6</v>
      </c>
      <c r="C10" s="4" t="s">
        <v>25</v>
      </c>
      <c r="D10" s="4" t="s">
        <v>26</v>
      </c>
      <c r="E10" s="4">
        <v>210</v>
      </c>
      <c r="F10" s="4" t="s">
        <v>10</v>
      </c>
      <c r="G10" s="6">
        <v>35.799999999999997</v>
      </c>
      <c r="H10" s="5">
        <f t="shared" si="0"/>
        <v>7518</v>
      </c>
    </row>
    <row r="11" spans="1:8" s="4" customFormat="1" ht="240" x14ac:dyDescent="0.25">
      <c r="A11" s="4" t="s">
        <v>27</v>
      </c>
      <c r="B11" s="4" t="s">
        <v>6</v>
      </c>
      <c r="C11" s="4" t="s">
        <v>25</v>
      </c>
      <c r="D11" s="4" t="s">
        <v>28</v>
      </c>
      <c r="E11" s="4">
        <v>172</v>
      </c>
      <c r="F11" s="4" t="s">
        <v>10</v>
      </c>
      <c r="G11" s="6">
        <v>35.799999999999997</v>
      </c>
      <c r="H11" s="5">
        <f t="shared" si="0"/>
        <v>6157.6</v>
      </c>
    </row>
    <row r="12" spans="1:8" s="4" customFormat="1" ht="240" x14ac:dyDescent="0.25">
      <c r="A12" s="4" t="s">
        <v>29</v>
      </c>
      <c r="B12" s="4" t="s">
        <v>6</v>
      </c>
      <c r="C12" s="4" t="s">
        <v>30</v>
      </c>
      <c r="D12" s="4" t="s">
        <v>31</v>
      </c>
      <c r="E12" s="4">
        <v>1045</v>
      </c>
      <c r="F12" s="4" t="s">
        <v>10</v>
      </c>
      <c r="G12" s="6">
        <v>42.893835355765184</v>
      </c>
      <c r="H12" s="5">
        <f t="shared" si="0"/>
        <v>44824.06</v>
      </c>
    </row>
    <row r="13" spans="1:8" s="4" customFormat="1" ht="240" x14ac:dyDescent="0.25">
      <c r="A13" s="4" t="s">
        <v>32</v>
      </c>
      <c r="B13" s="4" t="s">
        <v>6</v>
      </c>
      <c r="C13" s="4" t="s">
        <v>30</v>
      </c>
      <c r="D13" s="4" t="s">
        <v>33</v>
      </c>
      <c r="E13" s="4">
        <v>56</v>
      </c>
      <c r="F13" s="4" t="s">
        <v>10</v>
      </c>
      <c r="G13" s="6">
        <v>46</v>
      </c>
      <c r="H13" s="5">
        <f t="shared" si="0"/>
        <v>2576</v>
      </c>
    </row>
    <row r="14" spans="1:8" s="4" customFormat="1" ht="225" x14ac:dyDescent="0.25">
      <c r="A14" s="4" t="s">
        <v>34</v>
      </c>
      <c r="B14" s="4" t="s">
        <v>6</v>
      </c>
      <c r="C14" s="4" t="s">
        <v>35</v>
      </c>
      <c r="D14" s="4" t="s">
        <v>36</v>
      </c>
      <c r="E14" s="4">
        <v>25</v>
      </c>
      <c r="F14" s="4" t="s">
        <v>10</v>
      </c>
      <c r="G14" s="6">
        <v>58.924321173925343</v>
      </c>
      <c r="H14" s="5">
        <f t="shared" si="0"/>
        <v>1473.11</v>
      </c>
    </row>
    <row r="15" spans="1:8" s="4" customFormat="1" ht="225" x14ac:dyDescent="0.25">
      <c r="A15" s="4" t="s">
        <v>37</v>
      </c>
      <c r="B15" s="4" t="s">
        <v>6</v>
      </c>
      <c r="C15" s="4" t="s">
        <v>38</v>
      </c>
      <c r="D15" s="4" t="s">
        <v>39</v>
      </c>
      <c r="E15" s="4">
        <v>28</v>
      </c>
      <c r="F15" s="4" t="s">
        <v>10</v>
      </c>
      <c r="G15" s="6">
        <v>37</v>
      </c>
      <c r="H15" s="5">
        <f t="shared" si="0"/>
        <v>1036</v>
      </c>
    </row>
    <row r="16" spans="1:8" s="4" customFormat="1" ht="240" x14ac:dyDescent="0.25">
      <c r="A16" s="4" t="s">
        <v>40</v>
      </c>
      <c r="B16" s="4" t="s">
        <v>6</v>
      </c>
      <c r="C16" s="4" t="s">
        <v>41</v>
      </c>
      <c r="D16" s="4" t="s">
        <v>42</v>
      </c>
      <c r="E16" s="4">
        <v>390</v>
      </c>
      <c r="F16" s="4" t="s">
        <v>10</v>
      </c>
      <c r="G16" s="6">
        <v>36</v>
      </c>
      <c r="H16" s="5">
        <f t="shared" si="0"/>
        <v>14040</v>
      </c>
    </row>
    <row r="17" spans="1:8" s="4" customFormat="1" ht="240" x14ac:dyDescent="0.25">
      <c r="A17" s="4" t="s">
        <v>43</v>
      </c>
      <c r="B17" s="4" t="s">
        <v>6</v>
      </c>
      <c r="C17" s="4" t="s">
        <v>44</v>
      </c>
      <c r="D17" s="4" t="s">
        <v>45</v>
      </c>
      <c r="E17" s="4">
        <v>65</v>
      </c>
      <c r="F17" s="4" t="s">
        <v>10</v>
      </c>
      <c r="G17" s="6">
        <v>36</v>
      </c>
      <c r="H17" s="5">
        <f t="shared" si="0"/>
        <v>2340</v>
      </c>
    </row>
    <row r="18" spans="1:8" s="4" customFormat="1" ht="30" x14ac:dyDescent="0.25">
      <c r="A18" s="4" t="s">
        <v>46</v>
      </c>
      <c r="B18" s="4" t="s">
        <v>6</v>
      </c>
      <c r="C18" s="4" t="s">
        <v>47</v>
      </c>
      <c r="D18" s="4" t="s">
        <v>48</v>
      </c>
      <c r="E18" s="4">
        <v>300</v>
      </c>
      <c r="F18" s="4" t="s">
        <v>8</v>
      </c>
      <c r="G18" s="6">
        <v>11</v>
      </c>
      <c r="H18" s="5">
        <f t="shared" si="0"/>
        <v>3300</v>
      </c>
    </row>
    <row r="19" spans="1:8" s="4" customFormat="1" ht="30" x14ac:dyDescent="0.25">
      <c r="A19" s="4" t="s">
        <v>49</v>
      </c>
      <c r="B19" s="4" t="s">
        <v>6</v>
      </c>
      <c r="C19" s="4" t="s">
        <v>50</v>
      </c>
      <c r="D19" s="4" t="s">
        <v>51</v>
      </c>
      <c r="E19" s="4">
        <v>8</v>
      </c>
      <c r="F19" s="4" t="s">
        <v>7</v>
      </c>
      <c r="G19" s="6">
        <v>12.998012023660005</v>
      </c>
      <c r="H19" s="5">
        <f t="shared" si="0"/>
        <v>103.98</v>
      </c>
    </row>
    <row r="20" spans="1:8" s="4" customFormat="1" ht="30" x14ac:dyDescent="0.25">
      <c r="A20" s="4" t="s">
        <v>52</v>
      </c>
      <c r="B20" s="4" t="s">
        <v>6</v>
      </c>
      <c r="C20" s="4" t="s">
        <v>53</v>
      </c>
      <c r="D20" s="4" t="s">
        <v>54</v>
      </c>
      <c r="E20" s="4">
        <v>60</v>
      </c>
      <c r="F20" s="4" t="s">
        <v>8</v>
      </c>
      <c r="G20" s="6">
        <v>12.998012023660005</v>
      </c>
      <c r="H20" s="5">
        <f t="shared" si="0"/>
        <v>779.88</v>
      </c>
    </row>
    <row r="21" spans="1:8" s="4" customFormat="1" ht="30" x14ac:dyDescent="0.25">
      <c r="A21" s="4" t="s">
        <v>55</v>
      </c>
      <c r="B21" s="4" t="s">
        <v>6</v>
      </c>
      <c r="C21" s="4" t="s">
        <v>56</v>
      </c>
      <c r="D21" s="4" t="s">
        <v>57</v>
      </c>
      <c r="E21" s="4">
        <v>150</v>
      </c>
      <c r="F21" s="4" t="s">
        <v>8</v>
      </c>
      <c r="G21" s="6">
        <v>14</v>
      </c>
      <c r="H21" s="5">
        <f t="shared" si="0"/>
        <v>2100</v>
      </c>
    </row>
    <row r="22" spans="1:8" s="4" customFormat="1" ht="180" x14ac:dyDescent="0.25">
      <c r="A22" s="4" t="s">
        <v>58</v>
      </c>
      <c r="B22" s="4" t="s">
        <v>6</v>
      </c>
      <c r="C22" s="4" t="s">
        <v>59</v>
      </c>
      <c r="D22" s="4" t="s">
        <v>60</v>
      </c>
      <c r="E22" s="4">
        <v>310</v>
      </c>
      <c r="F22" s="4" t="s">
        <v>10</v>
      </c>
      <c r="G22" s="6">
        <v>47.659377420086678</v>
      </c>
      <c r="H22" s="5">
        <f t="shared" si="0"/>
        <v>14774.41</v>
      </c>
    </row>
    <row r="23" spans="1:8" s="4" customFormat="1" ht="75" x14ac:dyDescent="0.25">
      <c r="A23" s="4" t="s">
        <v>61</v>
      </c>
      <c r="B23" s="4" t="s">
        <v>6</v>
      </c>
      <c r="C23" s="4" t="s">
        <v>62</v>
      </c>
      <c r="D23" s="4" t="s">
        <v>63</v>
      </c>
      <c r="E23" s="4">
        <v>17</v>
      </c>
      <c r="F23" s="4" t="s">
        <v>10</v>
      </c>
      <c r="G23" s="6">
        <v>60.657389443746688</v>
      </c>
      <c r="H23" s="5">
        <f t="shared" si="0"/>
        <v>1031.18</v>
      </c>
    </row>
    <row r="24" spans="1:8" s="4" customFormat="1" ht="255" x14ac:dyDescent="0.25">
      <c r="A24" s="4" t="s">
        <v>64</v>
      </c>
      <c r="B24" s="4" t="s">
        <v>6</v>
      </c>
      <c r="C24" s="4" t="s">
        <v>65</v>
      </c>
      <c r="D24" s="4" t="s">
        <v>66</v>
      </c>
      <c r="E24" s="4">
        <v>225</v>
      </c>
      <c r="F24" s="4" t="s">
        <v>8</v>
      </c>
      <c r="G24" s="6">
        <v>47.659377420086678</v>
      </c>
      <c r="H24" s="5">
        <f t="shared" si="0"/>
        <v>10723.36</v>
      </c>
    </row>
    <row r="25" spans="1:8" s="4" customFormat="1" ht="255" x14ac:dyDescent="0.25">
      <c r="A25" s="4" t="s">
        <v>67</v>
      </c>
      <c r="B25" s="4" t="s">
        <v>6</v>
      </c>
      <c r="C25" s="4" t="s">
        <v>65</v>
      </c>
      <c r="D25" s="4" t="s">
        <v>68</v>
      </c>
      <c r="E25" s="4">
        <v>13</v>
      </c>
      <c r="F25" s="4" t="s">
        <v>8</v>
      </c>
      <c r="G25" s="6">
        <v>47.66</v>
      </c>
      <c r="H25" s="5">
        <f t="shared" si="0"/>
        <v>619.58000000000004</v>
      </c>
    </row>
    <row r="26" spans="1:8" s="4" customFormat="1" ht="75" x14ac:dyDescent="0.25">
      <c r="A26" s="4" t="s">
        <v>69</v>
      </c>
      <c r="B26" s="4" t="s">
        <v>6</v>
      </c>
      <c r="C26" s="4" t="s">
        <v>70</v>
      </c>
      <c r="D26" s="4" t="s">
        <v>71</v>
      </c>
      <c r="E26" s="4">
        <v>120</v>
      </c>
      <c r="F26" s="4" t="s">
        <v>10</v>
      </c>
      <c r="G26" s="6">
        <v>6</v>
      </c>
      <c r="H26" s="5">
        <f t="shared" si="0"/>
        <v>720</v>
      </c>
    </row>
    <row r="27" spans="1:8" s="4" customFormat="1" ht="105" x14ac:dyDescent="0.25">
      <c r="A27" s="4" t="s">
        <v>72</v>
      </c>
      <c r="B27" s="4" t="s">
        <v>6</v>
      </c>
      <c r="C27" s="4" t="s">
        <v>73</v>
      </c>
      <c r="D27" s="4" t="s">
        <v>74</v>
      </c>
      <c r="E27" s="4">
        <v>2</v>
      </c>
      <c r="F27" s="4" t="s">
        <v>7</v>
      </c>
      <c r="G27" s="6">
        <v>151.64347360936668</v>
      </c>
      <c r="H27" s="5">
        <f t="shared" si="0"/>
        <v>303.29000000000002</v>
      </c>
    </row>
    <row r="28" spans="1:8" s="4" customFormat="1" ht="225" x14ac:dyDescent="0.25">
      <c r="A28" s="4" t="s">
        <v>75</v>
      </c>
      <c r="B28" s="4" t="s">
        <v>6</v>
      </c>
      <c r="C28" s="4" t="s">
        <v>76</v>
      </c>
      <c r="D28" s="4" t="s">
        <v>77</v>
      </c>
      <c r="E28" s="4">
        <v>25</v>
      </c>
      <c r="F28" s="4" t="s">
        <v>10</v>
      </c>
      <c r="G28" s="6">
        <v>37</v>
      </c>
      <c r="H28" s="5">
        <f t="shared" si="0"/>
        <v>925</v>
      </c>
    </row>
    <row r="29" spans="1:8" s="4" customFormat="1" ht="195" x14ac:dyDescent="0.25">
      <c r="A29" s="4" t="s">
        <v>78</v>
      </c>
      <c r="B29" s="4" t="s">
        <v>6</v>
      </c>
      <c r="C29" s="4" t="s">
        <v>79</v>
      </c>
      <c r="D29" s="4" t="s">
        <v>80</v>
      </c>
      <c r="E29" s="4">
        <v>15</v>
      </c>
      <c r="F29" s="4" t="s">
        <v>10</v>
      </c>
      <c r="G29" s="6">
        <v>37</v>
      </c>
      <c r="H29" s="5">
        <f t="shared" si="0"/>
        <v>555</v>
      </c>
    </row>
    <row r="30" spans="1:8" s="4" customFormat="1" ht="315" x14ac:dyDescent="0.25">
      <c r="A30" s="4" t="s">
        <v>81</v>
      </c>
      <c r="B30" s="4" t="s">
        <v>6</v>
      </c>
      <c r="C30" s="4" t="s">
        <v>82</v>
      </c>
      <c r="D30" s="4" t="s">
        <v>183</v>
      </c>
      <c r="E30" s="4">
        <v>21</v>
      </c>
      <c r="F30" s="4" t="s">
        <v>7</v>
      </c>
      <c r="G30" s="6">
        <v>55</v>
      </c>
      <c r="H30" s="5">
        <f t="shared" si="0"/>
        <v>1155</v>
      </c>
    </row>
    <row r="31" spans="1:8" s="2" customFormat="1" x14ac:dyDescent="0.25">
      <c r="A31" s="2" t="s">
        <v>83</v>
      </c>
      <c r="C31" s="2" t="s">
        <v>84</v>
      </c>
      <c r="H31" s="3">
        <f>SUM(H32,H33,H34)</f>
        <v>6036.83</v>
      </c>
    </row>
    <row r="32" spans="1:8" s="4" customFormat="1" ht="285" x14ac:dyDescent="0.25">
      <c r="A32" s="4" t="s">
        <v>85</v>
      </c>
      <c r="B32" s="4" t="s">
        <v>6</v>
      </c>
      <c r="C32" s="4" t="s">
        <v>86</v>
      </c>
      <c r="D32" s="4" t="s">
        <v>87</v>
      </c>
      <c r="E32" s="4">
        <v>92</v>
      </c>
      <c r="F32" s="4" t="s">
        <v>10</v>
      </c>
      <c r="G32" s="6">
        <v>41</v>
      </c>
      <c r="H32" s="5">
        <f>IF(AND(ISNUMBER(E32),ISNUMBER(G32)),ROUND(PRODUCT(PRODUCT(E32, G32), 1 - L32), 2),"")</f>
        <v>3772</v>
      </c>
    </row>
    <row r="33" spans="1:8" s="4" customFormat="1" ht="210" x14ac:dyDescent="0.25">
      <c r="A33" s="4" t="s">
        <v>88</v>
      </c>
      <c r="B33" s="4" t="s">
        <v>6</v>
      </c>
      <c r="C33" s="4" t="s">
        <v>89</v>
      </c>
      <c r="D33" s="4" t="s">
        <v>90</v>
      </c>
      <c r="E33" s="4">
        <v>27.5</v>
      </c>
      <c r="F33" s="4" t="s">
        <v>10</v>
      </c>
      <c r="G33" s="6">
        <v>41</v>
      </c>
      <c r="H33" s="5">
        <f>IF(AND(ISNUMBER(E33),ISNUMBER(G33)),ROUND(PRODUCT(PRODUCT(E33, G33), 1 - L33), 2),"")</f>
        <v>1127.5</v>
      </c>
    </row>
    <row r="34" spans="1:8" s="4" customFormat="1" ht="240" x14ac:dyDescent="0.25">
      <c r="A34" s="4" t="s">
        <v>91</v>
      </c>
      <c r="B34" s="4" t="s">
        <v>6</v>
      </c>
      <c r="C34" s="4" t="s">
        <v>92</v>
      </c>
      <c r="D34" s="8" t="s">
        <v>184</v>
      </c>
      <c r="E34" s="4">
        <v>17.5</v>
      </c>
      <c r="F34" s="4" t="s">
        <v>10</v>
      </c>
      <c r="G34" s="6">
        <v>64.990060118300008</v>
      </c>
      <c r="H34" s="5">
        <f>IF(AND(ISNUMBER(E34),ISNUMBER(G34)),ROUND(PRODUCT(PRODUCT(E34, G34), 1 - L34), 2),"")</f>
        <v>1137.33</v>
      </c>
    </row>
    <row r="35" spans="1:8" s="2" customFormat="1" x14ac:dyDescent="0.25">
      <c r="A35" s="2" t="s">
        <v>93</v>
      </c>
      <c r="C35" s="2" t="s">
        <v>94</v>
      </c>
      <c r="H35" s="3">
        <f>SUM(H36)</f>
        <v>525</v>
      </c>
    </row>
    <row r="36" spans="1:8" s="4" customFormat="1" ht="135" x14ac:dyDescent="0.25">
      <c r="A36" s="4" t="s">
        <v>95</v>
      </c>
      <c r="B36" s="4" t="s">
        <v>6</v>
      </c>
      <c r="C36" s="4" t="s">
        <v>96</v>
      </c>
      <c r="D36" s="4" t="s">
        <v>97</v>
      </c>
      <c r="E36" s="4">
        <v>75</v>
      </c>
      <c r="F36" s="4" t="s">
        <v>10</v>
      </c>
      <c r="G36" s="6">
        <v>7</v>
      </c>
      <c r="H36" s="5">
        <f>IF(AND(ISNUMBER(E36),ISNUMBER(G36)),ROUND(PRODUCT(PRODUCT(E36, G36), 1 - L36), 2),"")</f>
        <v>525</v>
      </c>
    </row>
    <row r="37" spans="1:8" s="2" customFormat="1" x14ac:dyDescent="0.25">
      <c r="A37" s="2" t="s">
        <v>98</v>
      </c>
      <c r="C37" s="2" t="s">
        <v>99</v>
      </c>
      <c r="H37" s="3">
        <f>SUM(H38,H39,H40,H42)</f>
        <v>5820.09</v>
      </c>
    </row>
    <row r="38" spans="1:8" s="4" customFormat="1" ht="240" x14ac:dyDescent="0.25">
      <c r="A38" s="4" t="s">
        <v>100</v>
      </c>
      <c r="B38" s="4" t="s">
        <v>6</v>
      </c>
      <c r="C38" s="4" t="s">
        <v>101</v>
      </c>
      <c r="D38" s="4" t="s">
        <v>102</v>
      </c>
      <c r="E38" s="4">
        <v>120</v>
      </c>
      <c r="F38" s="4" t="s">
        <v>10</v>
      </c>
      <c r="G38" s="6">
        <v>28</v>
      </c>
      <c r="H38" s="5">
        <f>IF(AND(ISNUMBER(E38),ISNUMBER(G38)),ROUND(PRODUCT(PRODUCT(E38, G38), 1 - L38), 2),"")</f>
        <v>3360</v>
      </c>
    </row>
    <row r="39" spans="1:8" s="4" customFormat="1" x14ac:dyDescent="0.25">
      <c r="A39" s="4" t="s">
        <v>103</v>
      </c>
      <c r="B39" s="4" t="s">
        <v>6</v>
      </c>
      <c r="C39" s="4" t="s">
        <v>104</v>
      </c>
      <c r="D39" s="4" t="s">
        <v>105</v>
      </c>
      <c r="E39" s="4">
        <v>5</v>
      </c>
      <c r="F39" s="4" t="s">
        <v>7</v>
      </c>
      <c r="G39" s="6">
        <v>69.322730792853335</v>
      </c>
      <c r="H39" s="5">
        <f>IF(AND(ISNUMBER(E39),ISNUMBER(G39)),ROUND(PRODUCT(PRODUCT(E39, G39), 1 - L39), 2),"")</f>
        <v>346.61</v>
      </c>
    </row>
    <row r="40" spans="1:8" s="4" customFormat="1" ht="315" x14ac:dyDescent="0.25">
      <c r="A40" s="4" t="s">
        <v>106</v>
      </c>
      <c r="B40" s="4" t="s">
        <v>6</v>
      </c>
      <c r="C40" s="4" t="s">
        <v>107</v>
      </c>
      <c r="D40" s="4" t="s">
        <v>108</v>
      </c>
      <c r="E40" s="4">
        <v>37</v>
      </c>
      <c r="F40" s="4" t="s">
        <v>10</v>
      </c>
      <c r="G40" s="6">
        <v>49.392445689908016</v>
      </c>
      <c r="H40" s="5">
        <f>IF(AND(ISNUMBER(E40),ISNUMBER(G40)),ROUND(PRODUCT(PRODUCT(E40, G40), 1 - L40), 2),"")</f>
        <v>1827.52</v>
      </c>
    </row>
    <row r="41" spans="1:8" s="4" customFormat="1" ht="285" x14ac:dyDescent="0.25">
      <c r="A41" s="4" t="s">
        <v>109</v>
      </c>
      <c r="B41" s="4" t="s">
        <v>12</v>
      </c>
      <c r="C41" s="4" t="s">
        <v>110</v>
      </c>
      <c r="D41" s="4" t="s">
        <v>111</v>
      </c>
      <c r="E41" s="4">
        <v>13</v>
      </c>
      <c r="F41" s="4" t="s">
        <v>10</v>
      </c>
      <c r="G41" s="6">
        <v>50.258979824818674</v>
      </c>
      <c r="H41" s="7">
        <f>E41*G41</f>
        <v>653.36673772264271</v>
      </c>
    </row>
    <row r="42" spans="1:8" s="4" customFormat="1" ht="30" x14ac:dyDescent="0.25">
      <c r="A42" s="4" t="s">
        <v>112</v>
      </c>
      <c r="B42" s="4" t="s">
        <v>6</v>
      </c>
      <c r="C42" s="4" t="s">
        <v>113</v>
      </c>
      <c r="D42" s="4" t="s">
        <v>114</v>
      </c>
      <c r="E42" s="4">
        <v>3</v>
      </c>
      <c r="F42" s="4" t="s">
        <v>7</v>
      </c>
      <c r="G42" s="6">
        <v>95.318754840173355</v>
      </c>
      <c r="H42" s="5">
        <f>IF(AND(ISNUMBER(E42),ISNUMBER(G42)),ROUND(PRODUCT(PRODUCT(E42, G42), 1 - L42), 2),"")</f>
        <v>285.95999999999998</v>
      </c>
    </row>
    <row r="43" spans="1:8" s="2" customFormat="1" x14ac:dyDescent="0.25">
      <c r="A43" s="2" t="s">
        <v>115</v>
      </c>
      <c r="C43" s="2" t="s">
        <v>116</v>
      </c>
      <c r="H43" s="3">
        <f>SUM(H44,H45,H46,H47)</f>
        <v>18517</v>
      </c>
    </row>
    <row r="44" spans="1:8" s="4" customFormat="1" ht="210" x14ac:dyDescent="0.25">
      <c r="A44" s="4" t="s">
        <v>117</v>
      </c>
      <c r="B44" s="4" t="s">
        <v>6</v>
      </c>
      <c r="C44" s="4" t="s">
        <v>118</v>
      </c>
      <c r="D44" s="4" t="s">
        <v>119</v>
      </c>
      <c r="E44" s="4">
        <v>355</v>
      </c>
      <c r="F44" s="4" t="s">
        <v>10</v>
      </c>
      <c r="G44" s="6">
        <v>36</v>
      </c>
      <c r="H44" s="5">
        <f>IF(AND(ISNUMBER(E44),ISNUMBER(G44)),ROUND(PRODUCT(PRODUCT(E44, G44), 1 - L44), 2),"")</f>
        <v>12780</v>
      </c>
    </row>
    <row r="45" spans="1:8" s="4" customFormat="1" ht="45" x14ac:dyDescent="0.25">
      <c r="A45" s="4" t="s">
        <v>120</v>
      </c>
      <c r="B45" s="4" t="s">
        <v>6</v>
      </c>
      <c r="C45" s="4" t="s">
        <v>121</v>
      </c>
      <c r="D45" s="4" t="s">
        <v>122</v>
      </c>
      <c r="E45" s="4">
        <v>105</v>
      </c>
      <c r="F45" s="4" t="s">
        <v>10</v>
      </c>
      <c r="G45" s="6">
        <v>17</v>
      </c>
      <c r="H45" s="5">
        <f>IF(AND(ISNUMBER(E45),ISNUMBER(G45)),ROUND(PRODUCT(PRODUCT(E45, G45), 1 - L45), 2),"")</f>
        <v>1785</v>
      </c>
    </row>
    <row r="46" spans="1:8" s="4" customFormat="1" ht="225" x14ac:dyDescent="0.25">
      <c r="A46" s="4" t="s">
        <v>123</v>
      </c>
      <c r="B46" s="4" t="s">
        <v>6</v>
      </c>
      <c r="C46" s="4" t="s">
        <v>124</v>
      </c>
      <c r="D46" s="4" t="s">
        <v>125</v>
      </c>
      <c r="E46" s="4">
        <v>76</v>
      </c>
      <c r="F46" s="4" t="s">
        <v>10</v>
      </c>
      <c r="G46" s="6">
        <v>35</v>
      </c>
      <c r="H46" s="5">
        <f>IF(AND(ISNUMBER(E46),ISNUMBER(G46)),ROUND(PRODUCT(PRODUCT(E46, G46), 1 - L46), 2),"")</f>
        <v>2660</v>
      </c>
    </row>
    <row r="47" spans="1:8" s="4" customFormat="1" ht="30" x14ac:dyDescent="0.25">
      <c r="A47" s="4" t="s">
        <v>126</v>
      </c>
      <c r="B47" s="4" t="s">
        <v>6</v>
      </c>
      <c r="C47" s="4" t="s">
        <v>121</v>
      </c>
      <c r="D47" s="4" t="s">
        <v>127</v>
      </c>
      <c r="E47" s="4">
        <v>76</v>
      </c>
      <c r="F47" s="4" t="s">
        <v>10</v>
      </c>
      <c r="G47" s="6">
        <v>17</v>
      </c>
      <c r="H47" s="5">
        <f>IF(AND(ISNUMBER(E47),ISNUMBER(G47)),ROUND(PRODUCT(PRODUCT(E47, G47), 1 - L47), 2),"")</f>
        <v>1292</v>
      </c>
    </row>
    <row r="48" spans="1:8" s="2" customFormat="1" x14ac:dyDescent="0.25">
      <c r="A48" s="2" t="s">
        <v>128</v>
      </c>
      <c r="C48" s="2" t="s">
        <v>129</v>
      </c>
      <c r="H48" s="3">
        <f>SUM(H49,H50,H51,H52,H53,H54)</f>
        <v>9457</v>
      </c>
    </row>
    <row r="49" spans="1:8" s="4" customFormat="1" ht="195" x14ac:dyDescent="0.25">
      <c r="A49" s="4" t="s">
        <v>130</v>
      </c>
      <c r="B49" s="4" t="s">
        <v>6</v>
      </c>
      <c r="C49" s="4" t="s">
        <v>131</v>
      </c>
      <c r="D49" s="8" t="s">
        <v>132</v>
      </c>
      <c r="E49" s="4">
        <v>40</v>
      </c>
      <c r="F49" s="4" t="s">
        <v>10</v>
      </c>
      <c r="G49" s="6">
        <v>45</v>
      </c>
      <c r="H49" s="5">
        <f t="shared" ref="H49:H54" si="1">IF(AND(ISNUMBER(E49),ISNUMBER(G49)),ROUND(PRODUCT(PRODUCT(E49, G49), 1 - L49), 2),"")</f>
        <v>1800</v>
      </c>
    </row>
    <row r="50" spans="1:8" s="4" customFormat="1" ht="210" x14ac:dyDescent="0.25">
      <c r="A50" s="4" t="s">
        <v>133</v>
      </c>
      <c r="B50" s="4" t="s">
        <v>6</v>
      </c>
      <c r="C50" s="4" t="s">
        <v>134</v>
      </c>
      <c r="D50" s="4" t="s">
        <v>135</v>
      </c>
      <c r="E50" s="4">
        <v>31</v>
      </c>
      <c r="F50" s="4" t="s">
        <v>10</v>
      </c>
      <c r="G50" s="6">
        <v>45</v>
      </c>
      <c r="H50" s="5">
        <f t="shared" si="1"/>
        <v>1395</v>
      </c>
    </row>
    <row r="51" spans="1:8" s="4" customFormat="1" ht="180" x14ac:dyDescent="0.25">
      <c r="A51" s="4" t="s">
        <v>136</v>
      </c>
      <c r="B51" s="4" t="s">
        <v>6</v>
      </c>
      <c r="C51" s="4" t="s">
        <v>137</v>
      </c>
      <c r="D51" s="4" t="s">
        <v>138</v>
      </c>
      <c r="E51" s="4">
        <v>69</v>
      </c>
      <c r="F51" s="4" t="s">
        <v>10</v>
      </c>
      <c r="G51" s="6">
        <v>45</v>
      </c>
      <c r="H51" s="5">
        <f t="shared" si="1"/>
        <v>3105</v>
      </c>
    </row>
    <row r="52" spans="1:8" s="4" customFormat="1" ht="390" x14ac:dyDescent="0.25">
      <c r="A52" s="4" t="s">
        <v>139</v>
      </c>
      <c r="B52" s="4" t="s">
        <v>6</v>
      </c>
      <c r="C52" s="4" t="s">
        <v>140</v>
      </c>
      <c r="D52" s="4" t="s">
        <v>141</v>
      </c>
      <c r="E52" s="4">
        <v>31</v>
      </c>
      <c r="F52" s="4" t="s">
        <v>10</v>
      </c>
      <c r="G52" s="6">
        <v>45</v>
      </c>
      <c r="H52" s="5">
        <f t="shared" si="1"/>
        <v>1395</v>
      </c>
    </row>
    <row r="53" spans="1:8" s="4" customFormat="1" ht="60" x14ac:dyDescent="0.25">
      <c r="A53" s="4" t="s">
        <v>142</v>
      </c>
      <c r="B53" s="4" t="s">
        <v>6</v>
      </c>
      <c r="C53" s="4" t="s">
        <v>143</v>
      </c>
      <c r="D53" s="4" t="s">
        <v>127</v>
      </c>
      <c r="E53" s="4">
        <v>69</v>
      </c>
      <c r="F53" s="4" t="s">
        <v>10</v>
      </c>
      <c r="G53" s="6">
        <v>17</v>
      </c>
      <c r="H53" s="5">
        <f t="shared" si="1"/>
        <v>1173</v>
      </c>
    </row>
    <row r="54" spans="1:8" s="4" customFormat="1" ht="45" x14ac:dyDescent="0.25">
      <c r="A54" s="4" t="s">
        <v>144</v>
      </c>
      <c r="B54" s="4" t="s">
        <v>6</v>
      </c>
      <c r="C54" s="4" t="s">
        <v>145</v>
      </c>
      <c r="D54" s="4" t="s">
        <v>146</v>
      </c>
      <c r="E54" s="4">
        <v>31</v>
      </c>
      <c r="F54" s="4" t="s">
        <v>10</v>
      </c>
      <c r="G54" s="6">
        <v>19</v>
      </c>
      <c r="H54" s="5">
        <f t="shared" si="1"/>
        <v>589</v>
      </c>
    </row>
    <row r="55" spans="1:8" s="2" customFormat="1" x14ac:dyDescent="0.25">
      <c r="A55" s="2" t="s">
        <v>147</v>
      </c>
      <c r="C55" s="2" t="s">
        <v>148</v>
      </c>
      <c r="H55" s="3"/>
    </row>
    <row r="56" spans="1:8" s="2" customFormat="1" x14ac:dyDescent="0.25">
      <c r="A56" s="2" t="s">
        <v>149</v>
      </c>
      <c r="C56" s="2" t="s">
        <v>9</v>
      </c>
      <c r="H56" s="3">
        <v>0</v>
      </c>
    </row>
    <row r="57" spans="1:8" s="4" customFormat="1" ht="409.5" x14ac:dyDescent="0.25">
      <c r="C57" s="4" t="s">
        <v>4</v>
      </c>
      <c r="D57" s="4" t="s">
        <v>5</v>
      </c>
    </row>
    <row r="58" spans="1:8" s="4" customFormat="1" ht="240" x14ac:dyDescent="0.25">
      <c r="C58" s="4" t="s">
        <v>150</v>
      </c>
      <c r="D58" s="4" t="s">
        <v>151</v>
      </c>
    </row>
    <row r="59" spans="1:8" s="2" customFormat="1" x14ac:dyDescent="0.25">
      <c r="A59" s="2" t="s">
        <v>152</v>
      </c>
      <c r="C59" s="2" t="s">
        <v>153</v>
      </c>
      <c r="H59" s="3">
        <v>0</v>
      </c>
    </row>
    <row r="60" spans="1:8" s="2" customFormat="1" x14ac:dyDescent="0.25">
      <c r="A60" s="2" t="s">
        <v>154</v>
      </c>
      <c r="C60" s="2" t="s">
        <v>155</v>
      </c>
      <c r="H60" s="3">
        <f>SUM(H61,H62,H63,H64,H65,H66,H67,H68,H69)</f>
        <v>44659.270000000004</v>
      </c>
    </row>
    <row r="61" spans="1:8" s="4" customFormat="1" ht="165" x14ac:dyDescent="0.25">
      <c r="A61" s="4" t="s">
        <v>156</v>
      </c>
      <c r="B61" s="4" t="s">
        <v>6</v>
      </c>
      <c r="C61" s="4" t="s">
        <v>157</v>
      </c>
      <c r="D61" s="4" t="s">
        <v>158</v>
      </c>
      <c r="E61" s="4">
        <v>2302.84</v>
      </c>
      <c r="F61" s="4" t="s">
        <v>10</v>
      </c>
      <c r="G61" s="6">
        <v>6.8</v>
      </c>
      <c r="H61" s="5">
        <f t="shared" ref="H61:H69" si="2">IF(AND(ISNUMBER(E61),ISNUMBER(G61)),ROUND(PRODUCT(PRODUCT(E61, G61), 1 - L61), 2),"")</f>
        <v>15659.31</v>
      </c>
    </row>
    <row r="62" spans="1:8" s="4" customFormat="1" ht="150" x14ac:dyDescent="0.25">
      <c r="A62" s="4" t="s">
        <v>159</v>
      </c>
      <c r="B62" s="4" t="s">
        <v>6</v>
      </c>
      <c r="C62" s="4" t="s">
        <v>160</v>
      </c>
      <c r="D62" s="4" t="s">
        <v>161</v>
      </c>
      <c r="E62" s="4">
        <v>18.690000000000001</v>
      </c>
      <c r="F62" s="4" t="s">
        <v>10</v>
      </c>
      <c r="G62" s="6">
        <v>6.8</v>
      </c>
      <c r="H62" s="5">
        <f t="shared" si="2"/>
        <v>127.09</v>
      </c>
    </row>
    <row r="63" spans="1:8" s="4" customFormat="1" ht="165" x14ac:dyDescent="0.25">
      <c r="A63" s="4" t="s">
        <v>162</v>
      </c>
      <c r="B63" s="4" t="s">
        <v>6</v>
      </c>
      <c r="C63" s="4" t="s">
        <v>163</v>
      </c>
      <c r="D63" s="4" t="s">
        <v>164</v>
      </c>
      <c r="E63" s="4">
        <v>2187.6</v>
      </c>
      <c r="F63" s="4" t="s">
        <v>10</v>
      </c>
      <c r="G63" s="6">
        <v>6.8</v>
      </c>
      <c r="H63" s="5">
        <f t="shared" si="2"/>
        <v>14875.68</v>
      </c>
    </row>
    <row r="64" spans="1:8" s="4" customFormat="1" ht="225" x14ac:dyDescent="0.25">
      <c r="A64" s="4" t="s">
        <v>165</v>
      </c>
      <c r="B64" s="4" t="s">
        <v>6</v>
      </c>
      <c r="C64" s="4" t="s">
        <v>166</v>
      </c>
      <c r="D64" s="4" t="s">
        <v>167</v>
      </c>
      <c r="E64" s="4">
        <v>472.36</v>
      </c>
      <c r="F64" s="4" t="s">
        <v>10</v>
      </c>
      <c r="G64" s="6">
        <v>6.8</v>
      </c>
      <c r="H64" s="5">
        <f t="shared" si="2"/>
        <v>3212.05</v>
      </c>
    </row>
    <row r="65" spans="1:8" s="4" customFormat="1" ht="255" x14ac:dyDescent="0.25">
      <c r="A65" s="4" t="s">
        <v>168</v>
      </c>
      <c r="B65" s="4" t="s">
        <v>6</v>
      </c>
      <c r="C65" s="4" t="s">
        <v>169</v>
      </c>
      <c r="D65" s="4" t="s">
        <v>170</v>
      </c>
      <c r="E65" s="4">
        <v>862.6</v>
      </c>
      <c r="F65" s="4" t="s">
        <v>10</v>
      </c>
      <c r="G65" s="6">
        <v>6.8</v>
      </c>
      <c r="H65" s="5">
        <f t="shared" si="2"/>
        <v>5865.68</v>
      </c>
    </row>
    <row r="66" spans="1:8" s="4" customFormat="1" ht="165" x14ac:dyDescent="0.25">
      <c r="A66" s="4" t="s">
        <v>171</v>
      </c>
      <c r="B66" s="4" t="s">
        <v>6</v>
      </c>
      <c r="C66" s="4" t="s">
        <v>172</v>
      </c>
      <c r="D66" s="4" t="s">
        <v>173</v>
      </c>
      <c r="E66" s="4">
        <v>44.09</v>
      </c>
      <c r="F66" s="4" t="s">
        <v>10</v>
      </c>
      <c r="G66" s="6">
        <v>6.8</v>
      </c>
      <c r="H66" s="5">
        <f t="shared" si="2"/>
        <v>299.81</v>
      </c>
    </row>
    <row r="67" spans="1:8" s="4" customFormat="1" ht="150" x14ac:dyDescent="0.25">
      <c r="A67" s="4" t="s">
        <v>174</v>
      </c>
      <c r="B67" s="4" t="s">
        <v>6</v>
      </c>
      <c r="C67" s="4" t="s">
        <v>175</v>
      </c>
      <c r="D67" s="4" t="s">
        <v>176</v>
      </c>
      <c r="E67" s="4">
        <v>3.56</v>
      </c>
      <c r="F67" s="4" t="s">
        <v>10</v>
      </c>
      <c r="G67" s="6">
        <v>6.8</v>
      </c>
      <c r="H67" s="5">
        <f t="shared" si="2"/>
        <v>24.21</v>
      </c>
    </row>
    <row r="68" spans="1:8" s="4" customFormat="1" ht="135" x14ac:dyDescent="0.25">
      <c r="A68" s="4" t="s">
        <v>177</v>
      </c>
      <c r="B68" s="4" t="s">
        <v>6</v>
      </c>
      <c r="C68" s="4" t="s">
        <v>178</v>
      </c>
      <c r="D68" s="4" t="s">
        <v>182</v>
      </c>
      <c r="E68" s="4">
        <v>88.45</v>
      </c>
      <c r="F68" s="4" t="s">
        <v>10</v>
      </c>
      <c r="G68" s="6">
        <v>6.8</v>
      </c>
      <c r="H68" s="5">
        <f t="shared" si="2"/>
        <v>601.46</v>
      </c>
    </row>
    <row r="69" spans="1:8" s="4" customFormat="1" ht="150" x14ac:dyDescent="0.25">
      <c r="A69" s="4" t="s">
        <v>179</v>
      </c>
      <c r="B69" s="4" t="s">
        <v>6</v>
      </c>
      <c r="C69" s="4" t="s">
        <v>180</v>
      </c>
      <c r="D69" s="4" t="s">
        <v>181</v>
      </c>
      <c r="E69" s="4">
        <v>587.35</v>
      </c>
      <c r="F69" s="4" t="s">
        <v>10</v>
      </c>
      <c r="G69" s="6">
        <v>6.8</v>
      </c>
      <c r="H69" s="5">
        <f t="shared" si="2"/>
        <v>3993.98</v>
      </c>
    </row>
  </sheetData>
  <autoFilter ref="A1:D69" xr:uid="{00000000-0001-0000-0000-000000000000}"/>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A51507092ABC42A1F78E63565BAFD7" ma:contentTypeVersion="13" ma:contentTypeDescription="Create a new document." ma:contentTypeScope="" ma:versionID="734188f9c1b952b39dcdf50d050f4aa5">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775bb8f63432d086516b657537b92153"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713C39BE-D748-4E63-BE05-009A71E035E5}">
  <ds:schemaRefs>
    <ds:schemaRef ds:uri="http://schemas.microsoft.com/sharepoint/v3/contenttype/forms"/>
  </ds:schemaRefs>
</ds:datastoreItem>
</file>

<file path=customXml/itemProps2.xml><?xml version="1.0" encoding="utf-8"?>
<ds:datastoreItem xmlns:ds="http://schemas.openxmlformats.org/officeDocument/2006/customXml" ds:itemID="{793CDB06-23AE-45CE-90F1-58414F8094EE}"/>
</file>

<file path=customXml/itemProps3.xml><?xml version="1.0" encoding="utf-8"?>
<ds:datastoreItem xmlns:ds="http://schemas.openxmlformats.org/officeDocument/2006/customXml" ds:itemID="{4884CDAF-748D-4DB5-AB4E-CC9EFEEEDB44}">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Metadata/LabelInfo.xml><?xml version="1.0" encoding="utf-8"?>
<clbl:labelList xmlns:clbl="http://schemas.microsoft.com/office/2020/mipLabelMetadata">
  <clbl:label id="{60b37cb2-a399-4c31-a85a-411fc8b623d3}" enabled="1" method="Standard" siteId="{d04f4717-5a6e-4b98-b3f9-6918e0385f4c}"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2025-03-21T05:48:34Z</dcterms:created>
  <dcterms:modified xsi:type="dcterms:W3CDTF">2025-05-29T13:58:43Z</dcterms:modified>
  <cp:category/>
  <dc:language>hr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Order">
    <vt:r8>1168500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ies>
</file>
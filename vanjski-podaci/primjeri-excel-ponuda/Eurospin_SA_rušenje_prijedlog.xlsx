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bengineering-my.sharepoint.com/personal/vedran_zderic_3b-engineering_hr/Documents/Desktop/"/>
    </mc:Choice>
  </mc:AlternateContent>
  <xr:revisionPtr revIDLastSave="2" documentId="8_{83AEF046-B041-4EEC-924D-9EDAB214BDEA}" xr6:coauthVersionLast="47" xr6:coauthVersionMax="47" xr10:uidLastSave="{56AF9BFC-A890-4A1E-9089-95F1D8F20A6F}"/>
  <bookViews>
    <workbookView xWindow="-108" yWindow="-108" windowWidth="23256" windowHeight="12456" xr2:uid="{9A93165A-75AB-4C19-A465-024B3E202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1" i="1" l="1"/>
  <c r="G307" i="1"/>
  <c r="G302" i="1"/>
  <c r="G301" i="1"/>
  <c r="G300" i="1"/>
  <c r="G299" i="1"/>
  <c r="G298" i="1"/>
  <c r="G297" i="1"/>
  <c r="G293" i="1"/>
  <c r="G292" i="1"/>
  <c r="G291" i="1"/>
  <c r="G290" i="1"/>
  <c r="G287" i="1"/>
  <c r="G284" i="1"/>
  <c r="G280" i="1"/>
  <c r="G279" i="1"/>
  <c r="G278" i="1"/>
  <c r="G275" i="1"/>
  <c r="G272" i="1"/>
  <c r="G268" i="1"/>
  <c r="G267" i="1"/>
  <c r="G266" i="1"/>
  <c r="G262" i="1"/>
  <c r="G261" i="1"/>
  <c r="G260" i="1"/>
  <c r="G256" i="1"/>
  <c r="G255" i="1"/>
  <c r="G254" i="1"/>
  <c r="G253" i="1"/>
  <c r="G252" i="1"/>
  <c r="G251" i="1"/>
  <c r="G250" i="1"/>
  <c r="G246" i="1"/>
  <c r="G245" i="1"/>
  <c r="G244" i="1"/>
  <c r="G241" i="1"/>
  <c r="G237" i="1"/>
  <c r="G236" i="1"/>
  <c r="G233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1" i="1"/>
  <c r="G210" i="1"/>
  <c r="G207" i="1"/>
  <c r="G204" i="1"/>
  <c r="G201" i="1"/>
  <c r="G198" i="1"/>
  <c r="G195" i="1"/>
  <c r="G191" i="1"/>
  <c r="G190" i="1"/>
  <c r="G186" i="1"/>
  <c r="G185" i="1"/>
  <c r="G182" i="1"/>
  <c r="G178" i="1"/>
  <c r="G177" i="1"/>
  <c r="G174" i="1"/>
  <c r="G171" i="1"/>
  <c r="G167" i="1"/>
  <c r="G164" i="1"/>
  <c r="G150" i="1"/>
  <c r="G147" i="1"/>
  <c r="G144" i="1"/>
  <c r="G141" i="1"/>
  <c r="G138" i="1"/>
  <c r="G135" i="1"/>
  <c r="G132" i="1"/>
  <c r="G129" i="1"/>
  <c r="G126" i="1"/>
  <c r="G123" i="1"/>
  <c r="G120" i="1"/>
  <c r="G117" i="1"/>
  <c r="G114" i="1"/>
  <c r="G111" i="1"/>
  <c r="G108" i="1"/>
  <c r="G105" i="1"/>
  <c r="G102" i="1"/>
  <c r="G99" i="1"/>
  <c r="G96" i="1"/>
  <c r="G93" i="1"/>
  <c r="G90" i="1"/>
  <c r="G87" i="1"/>
  <c r="G84" i="1"/>
  <c r="G81" i="1"/>
  <c r="G78" i="1"/>
  <c r="G75" i="1"/>
  <c r="G72" i="1"/>
  <c r="G68" i="1"/>
  <c r="G67" i="1"/>
  <c r="G66" i="1"/>
  <c r="G65" i="1"/>
  <c r="G61" i="1"/>
  <c r="G60" i="1"/>
  <c r="G59" i="1"/>
  <c r="G56" i="1"/>
  <c r="G53" i="1"/>
  <c r="G50" i="1"/>
  <c r="G30" i="1"/>
  <c r="G27" i="1"/>
  <c r="G20" i="1"/>
  <c r="G22" i="1" s="1"/>
  <c r="G238" i="1"/>
  <c r="H32" i="1"/>
  <c r="H22" i="1"/>
  <c r="G313" i="1" l="1"/>
  <c r="G303" i="1"/>
  <c r="G152" i="1"/>
  <c r="G179" i="1"/>
  <c r="G263" i="1"/>
  <c r="G230" i="1"/>
  <c r="G69" i="1"/>
  <c r="G257" i="1"/>
  <c r="G192" i="1"/>
  <c r="G62" i="1"/>
  <c r="G294" i="1"/>
  <c r="G212" i="1"/>
  <c r="G269" i="1"/>
  <c r="G247" i="1"/>
  <c r="G187" i="1"/>
  <c r="G281" i="1"/>
  <c r="G154" i="1"/>
  <c r="G32" i="1"/>
  <c r="G315" i="1" l="1"/>
  <c r="G317" i="1" s="1"/>
</calcChain>
</file>

<file path=xl/sharedStrings.xml><?xml version="1.0" encoding="utf-8"?>
<sst xmlns="http://schemas.openxmlformats.org/spreadsheetml/2006/main" count="523" uniqueCount="351">
  <si>
    <t>0.</t>
  </si>
  <si>
    <t xml:space="preserve">PRIPREMNI RADOVI I RUŠENJA </t>
  </si>
  <si>
    <t>OPĆI UVJETI</t>
  </si>
  <si>
    <t>NAPOMENA: Radovi se izvode prema opisu u troškovniku, prema podacima iz projektne dokumentacije, uz rješavanje svih eventualnih pitanja u suradnji s projektantom i u skladu sa važećim standardima. Sav upotrebljeni materijal mora odgovarati postojećim propisima i standardima. U svemu se strogo pridržavati zahtjeva, uputa i tehnologije proizvođača upotrebljenih materijala, kao i materijala i uređaja koji se montiraju. Sve su dimenzije konstruktivnih elemenata date okvirno. Prije izvedbe obavezno uzeti točne mjere na građevini.
Radovi vezani za blindiranje, demontažu, uklanjanje i/ili sl. elemenata kanalizacije, vodovoda, priključaka elektrike, telefona, grijanja, ventilacija i svih ostalih priključaka nisu predmet obrade ovog troškovnika. U jedinične cijene stavki ukalkulirati sav odvoz na gradilišni deponij (u dvorištu i/ili sl.). Sve radove rušenja i demontaža izvesti na način da se</t>
  </si>
  <si>
    <t>ne oštećuje i ne narušava geometrija postojeće konstrukcije građevine (uglovi, plohe i/ili sl.) i/ili sl.
Prilikom demontaža pojedinih elemenata, vezano uz prenamjenu prostorija, postojeće konstrukcije i pročelja, demontaža postojećih ustakljenih stijena, izvođač se mora u potpunosti pridržavati Pravilnika o zaštiti na radu u građevinarstvu. Voditi računa da se ne oštete dijelovi zgrade koji se ne ruše. Po izvršenom čišćenju, skidanje starog nalića i hrđe, elemenata konstrukcije obavezno je pozvati nadzornog inženjera i projektanta radi detaljnog pregleda postojeće konstrukcije i dogovora odnosno rješavanja detalja za zamjenu uništenih elemenata odnosno za eventualno potrebna ojačanja.
Rad se izvodi uz gradske ukice te je nužno ograditi porstor gradilišta i po potrebi izvesti zaštitnu skelu za prolaznike. Visinu radi dizanja</t>
  </si>
  <si>
    <t>i spuštanja materijala ukalkulirati kod svih radova.
Obaveza je izvođača proučiti sve projekte predmetne građevine, te u jedinične cijene stavki uračunati sve radove, potrebne materijale, njihove količine i/ili sl. (eventualno ne specificirane posebno u samom troškovniku), a koji su (prema uzancama struke, pravilima dobrog zanata i sl.) potrebni za potpuno dovršenje građevine, tj. dovođenje u stanje "potpuno spremno za uporabu". Svi takvi radovi i materijali trebaju biti uračunati u jedinične cijene, tj. neće se posebno priznati ni plaćati nikakvi vantroškovnički radovi, materijali, količine i/ili sl. Prije davanja ponude potreban je uvid na licu mjesta.
Obračun radova vrši se prema važećim propisima, po stvarno izvedenim količinama. Jediničnom cijenom obuhvaćen je sav rad, potreban materijal</t>
  </si>
  <si>
    <t>s transportom na gradilište, skele potrebne za izvođenje pojedinih radova, primjena mjera zaštite na radu i drugih važećih propisa. Svi opći opisi, opći uvjeti, obračunsko-tehničke specifikacije i sl. sastavni su dio troškovnika i moraju biti priloženi i ovjereni prilikom davanja ponude.</t>
  </si>
  <si>
    <t>RB</t>
  </si>
  <si>
    <t>STAVKA</t>
  </si>
  <si>
    <t>JEDINICA MJERE</t>
  </si>
  <si>
    <t>KOLIČINA</t>
  </si>
  <si>
    <t>JEDINIČNA CIJENA</t>
  </si>
  <si>
    <t>UKUPNA CIJENA</t>
  </si>
  <si>
    <t>0.1.</t>
  </si>
  <si>
    <t>UREĐENJE GRADILIŠTA</t>
  </si>
  <si>
    <t>0.1.1.</t>
  </si>
  <si>
    <t>Uređenje i organizacija gradilišta</t>
  </si>
  <si>
    <r>
      <t xml:space="preserve">Stavka obuhvaća provedbu mjera Plana izvođenja radova, a u skladu sa Pravilnikom o zaštiti na radu:
- mobilizaciju, održavanje i demobilizaciju </t>
    </r>
    <r>
      <rPr>
        <sz val="9"/>
        <color rgb="FFFF0000"/>
        <rFont val="Calibri"/>
        <family val="2"/>
        <charset val="238"/>
      </rPr>
      <t>kontejnera uprave gradilišta</t>
    </r>
    <r>
      <rPr>
        <sz val="9"/>
        <color rgb="FF000000"/>
        <rFont val="Calibri"/>
        <family val="2"/>
      </rPr>
      <t>, sanitarnih čvorova, opreme, alata i strojeva;
- izradu potrebnih privremenih priključaka (voda, el.energija, i/ili sl.), pogonske energije i pomoćnih građevina;
- označavanje gradilišta pločom dimenzija 2,0x1,5 m, s fotografijom 3D vizualizacije građevine i postava ostalih znakova upozorenja prema Pravilniku o zaštiti na radu;
- ishođenje potrebnih suglasnosti i dozvola lokalne uprave i komunalnih službi;
- izrada i regulacija privremenih putova, zaštita okoline od oštećenja, čišćenje manipulativnih površina i osiguranje mjesta za skladištenje i deponiranje materijala;
- mobilizacija i amortizacija vertikalnog i</t>
    </r>
  </si>
  <si>
    <r>
      <t xml:space="preserve">horizontalnog transporta;
</t>
    </r>
    <r>
      <rPr>
        <sz val="9"/>
        <color rgb="FFFF0000"/>
        <rFont val="Calibri"/>
        <family val="2"/>
        <charset val="238"/>
      </rPr>
      <t>- izrada zaštitnih ograda i konstrukcija za sprječavanje utjecaja radova na susjedne građevine, okolinu i gotove dijelove građevine;</t>
    </r>
    <r>
      <rPr>
        <sz val="9"/>
        <color rgb="FF000000"/>
        <rFont val="Calibri"/>
        <family val="2"/>
      </rPr>
      <t xml:space="preserve">
- formiranje pristupnih koridora do mjesta rada;
- provedbu zbrinjavanja otpada prema važećim propisima.</t>
    </r>
  </si>
  <si>
    <t>0.1.1.a.</t>
  </si>
  <si>
    <t>Obračun u kompletu.</t>
  </si>
  <si>
    <t>komplet</t>
  </si>
  <si>
    <t>UREĐENJE GRADILIŠTA UKUPNO:</t>
  </si>
  <si>
    <t>0.2.</t>
  </si>
  <si>
    <t>ZAŠTITA POSTOJEĆIH INSTALACIJA</t>
  </si>
  <si>
    <t>0.2.1.</t>
  </si>
  <si>
    <t>Pažljivi i precizni ručni iskop probnih šliceva na prosječnom razmaku od 25 m, te na mjestima koja odredi nadzorni inženjer radi utvrđivanja položaja (visinski i tlocrtno) postojećih instalacija, do dužine iskopa od 1,5 m. Iskope izvesti, te ograditi, uz primjenu mjera zaštite na radu i korištenje osobne zaštitne opreme. Stavka se izvodi isključivo po odobrenju i uputama nadzornog inžinjera.
Obračun po kompletu izvedenih radova.</t>
  </si>
  <si>
    <t>0.2.1.a.</t>
  </si>
  <si>
    <t/>
  </si>
  <si>
    <t>0.2.2.</t>
  </si>
  <si>
    <t>Zaštita postojećih komunalnih instalacija. Stavka obuhvaća: ručni otkop zemlje radi detektiranja instalacija, oblaganje instalacija PVC prefabrikatima - polucijevima Ø100-150 mm, zatrpavanje, te zbrinjavanje viška zemlje. Stavka se izvodi isključivo po odobrenju i uputama nadzornog inženjera.
Obračun po m1 kompletne izvedbe obložnih cijevi za zaštitu instalacija.</t>
  </si>
  <si>
    <t>0.2.2.a.</t>
  </si>
  <si>
    <t>m</t>
  </si>
  <si>
    <t>ZAŠTITA POSTOJEĆIH INSTALACIJA UKUPNO:</t>
  </si>
  <si>
    <t>0.3.</t>
  </si>
  <si>
    <t>RUŠENJA I UKLANJANJA (NS02-1.)</t>
  </si>
  <si>
    <t>Izvedba u svemu prema standardnoj tehničkoj specifikaciji prodajnog mjesta Eurospin - NS02 - točka 1.1.
Sve dolje opisane stavke podrazumijevaju sve troškove za pravilno izvođenje posla u skladu sa zaštitom na radu i prema važećim zakonima (poštivanje ograničenja razine buke, radove privremenog pridržavanja i sve potrebne mjere opreza za zaštitu postrojenja, podkonstrukcija, susjednih građevina, mogućih popravaka, itd.)</t>
  </si>
  <si>
    <t xml:space="preserve">Napomena: svu metalnu konstrukciju, limove i ostale elemente bivši vlasnik deponira i odvozi. </t>
  </si>
  <si>
    <t>0.3.1.</t>
  </si>
  <si>
    <t>RUŠENJA (NS02-1.1.)</t>
  </si>
  <si>
    <t>0.3.1.1.</t>
  </si>
  <si>
    <t>Djelomično rušenje spojenih objekata (NS02-1.1.2.)</t>
  </si>
  <si>
    <t>Izvedba u svemu prema standardnoj tehničkoj specifikaciji prodajnog mjesta Eurospin NS02 - točka 1.1.2.
Djelomično rušenje građevinskih objekata koje se izvodi radnim strojevima, uključuje demontažu i uklanjanje svih dodatnih elemenata, utovar i transport nastalih materijala na ovlaštena javna odlagališta, troškove odlagališta i podizanje skela. Procijenjeno je prema stvarnom volumenu. Za zgrade i/ili ograde:
- s konstrukcijom u kamenu ili opeci
- s armiranobetonskim zidovima izvedenim na gradilištu</t>
  </si>
  <si>
    <t>0.3.1.1.2.</t>
  </si>
  <si>
    <t>Provedba postupka isključenja vodovodnih instalacija postojeće zgrade s vodoopskrbnog sustava grada, prema uvjetima nadležne komunalne tvrtke. Odvajanje od vodovoda, te blindiranje uličnog priključaka izvesti u dosadašnjem vodomjernom oknu.
Obračun po kompletu kompletno izvršenog isključenja.</t>
  </si>
  <si>
    <t>0.3.1.1.2.a.</t>
  </si>
  <si>
    <t>0.3.1.1.3.</t>
  </si>
  <si>
    <t>Provedba postupka isključenja instalacija jake struje postojeće zgrade s elektroenergetske NN mreže, prema uvjetima nadležnog distributera električne energije HEP-ODS.
Obračun po komadu kompletno izvršenog isključenja.</t>
  </si>
  <si>
    <t>0.3.1.1.3.a.</t>
  </si>
  <si>
    <t>0.3.1.1.4.</t>
  </si>
  <si>
    <t>Provedba postupka isključenja instalacija slabe struje postojeće zgrade s fiksne telefonske mreže, prema uvjetima nadležnog telekomunikacijskog operatera. Priključni je vod postavljen podzemno.
Obračun po komadu kompletno izvršenog isključenja.</t>
  </si>
  <si>
    <t>0.3.1.1.4.a.</t>
  </si>
  <si>
    <t>0.3.1.1.5.</t>
  </si>
  <si>
    <t>Demontaža pokrova ravnog krova i nadstrešnica blagog nagiba autosalona i autopraonice sastavljenog od trapeznog lima, parne brane, ploča toplinske izolacije od mineralne vune i podgleda od profiliranog lima, komplet sa svjetlarnicima od ploča polikarbonata i sl., oblogom atike, opšavima, vodolovnim grlima, instalacijom za zaštitu od munje i sl.. Krov je na visini do 6,0 m od nivoa uređenog terena. Obavezna je primjena svih mjera zaštite na radu, zaštite okoliša i drugih važećih propisa. Uključivo potreban rad, sortiranje uklonjenog materijala po vrstama otpada, horizontalni i vertikalni transport na gradilištu, te odvoz na gradski deponij. Slojevi su pretpostavljeni, a obračun se vrši bez obzira na stvarne slojeve.
Obračun po m2 kompletno svih slojeva pokrova.</t>
  </si>
  <si>
    <t>0.3.1.1.5.a.</t>
  </si>
  <si>
    <t>pokrov</t>
  </si>
  <si>
    <t>m²</t>
  </si>
  <si>
    <t>0.3.1.1.5.b.</t>
  </si>
  <si>
    <t>svjetlarnici</t>
  </si>
  <si>
    <t>0.3.1.1.5.c.</t>
  </si>
  <si>
    <t>obloga atike</t>
  </si>
  <si>
    <t>0.3.1.1.6.</t>
  </si>
  <si>
    <t>Demontaža pokrova ravnog krova blagog nagiba konzolnih nadstrešnica sastavljenog od trapeznog lima, OSB ploča i završno hidroizolacijske obloge od mekog PVC-a, komplet sa pokrovom spojne nadstrešnice od polikarbonata te oblogom atike, opšavima, vodolovnim grlima, instalacijom za zaštitu od munje i sl.. Krov je na visini do 4,0, odnosno do 6,2 m od nivoa uređenog terena. Obavezna je primjena svih mjera zaštite na radu, zaštite okoliša i drugih važećih propisa. Uključivo potreban rad, sortiranje uklonjenog materijala po vrstama otpada, horizontalni i vertikalni transport na gradilištu, te odvoz na gradski deponij. Slojevi su pretpostavljeni, a obračun se vrši bez obzira na stvarne slojeve.
Obračun po m2 kompletno svih slojeva pokrova.</t>
  </si>
  <si>
    <t>0.3.1.1.6.a.</t>
  </si>
  <si>
    <t>nadstrešnica na visini do 6,2 m</t>
  </si>
  <si>
    <t>0.3.1.1.6.b.</t>
  </si>
  <si>
    <t>nadstrešnica na visini do cca 4 m</t>
  </si>
  <si>
    <t>0.3.1.1.6.c.</t>
  </si>
  <si>
    <t>nadstrešnica na visini do cca 3,5 m</t>
  </si>
  <si>
    <t>0.3.1.1.6.d.</t>
  </si>
  <si>
    <t>0.3.1.1.7.</t>
  </si>
  <si>
    <t>Demontaža čelične nosive konstrukcije autosalona i autopraonice. Konstrukcija se sastoji od vertikalne nosive konstrukcije (čeličnih stupova) i čelične konstrukcije ravnog krova i nadstrešnice.
Uključivo potreban rad, sortiranje uklonjenog materijala po vrstama otpada, horizontalni i vertikalni transport na gradilištu, te odvoz na gradski deponij.
Obračun po m2 ortogonalne projekcije kompletne konstrukcije.</t>
  </si>
  <si>
    <t>0.3.1.1.7.a.</t>
  </si>
  <si>
    <t>0.3.1.1.8.</t>
  </si>
  <si>
    <t>Demontaža čelične konstrukcije konzolnih nadstrešnica. Konstrukcija se sastoji od konzolne nosive čelične konstrukcije, čeličnih zatega i/ili sl.
Uključivo potreban rad, sortiranje uklonjenog materijala po vrstama otpada, horizontalni i vertikalni transport na gradilištu, te odvoz na gradski deponij.
Obračun po m2 ortogonalne projekcije kompletne konstrukcije.</t>
  </si>
  <si>
    <t>0.3.1.1.8.a.</t>
  </si>
  <si>
    <t>0.3.1.1.9.</t>
  </si>
  <si>
    <t>Demontaža čelične konstrukcije za reklame. Konstrukcija se sastoji od konzolne nosive čelične konstrukcije učvršćene u zid i/ili sl.
Uključivo potreban rad, sortiranje uklonjenog materijala po vrstama otpada, horizontalni i vertikalni transport na gradilištu, te odvoz na gradski deponij.
Obračun po m2 ortogonalne projekcije kompletne konstrukcije.</t>
  </si>
  <si>
    <t>0.3.1.1.9.a.</t>
  </si>
  <si>
    <t>0.3.1.1.10.</t>
  </si>
  <si>
    <t>Pažljivo rušenje (izrezivanje) armirano betonske konstrukcije konzolnih nadstrešnica. Konstrukcija se sastoji od konzolne AB ploče duljine 90 i 160 cm. Kod rušenja u cijenu stavke treba uključiti potrebna podupiranja - prihvat izrezanih elemenata i sva potrebna osiguranja. Rušenja treba vršiti rezanjem dijamantnom pilom. Uključivo uredno izveden rub prema dijelu zida koji se ne ruši.
Uključivo potreban rad, sortiranje uklonjenog materijala po vrstama otpada, horizontalni i vertikalni transport na gradilištu, te odvoz na gradski deponij.
Obračun po m2 ortogonalne projekcije kompletne konstrukcije.</t>
  </si>
  <si>
    <t>0.3.1.1.10.a.</t>
  </si>
  <si>
    <t>Stavka je alternativna koliko se utvrdi da nadstrešnice nemaju čeličnu nego AB konstrukciju</t>
  </si>
  <si>
    <t>0.3.1.1.11.</t>
  </si>
  <si>
    <t>Rušenje (uklanjanje) armiranobetonskog unutarnjeg stubišta između podruma i prizemlja, koje se sastoji od dva kraka s ukupno 21 stubom i podesta, obloženog keramičkim pločicama.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uklonjenog dvokrakog stubišta.
Uključivo potrebna skela, horizontalni i vertikalni transport na gradilištu, te odvoz na gradski deponij.
Obračun po m2 tlocrtne projekcije komplet. uklonjenog stubišta.</t>
  </si>
  <si>
    <t>0.3.1.1.11.a.</t>
  </si>
  <si>
    <t>0.3.1.1.12.</t>
  </si>
  <si>
    <t>Rušenje (uklanjanje) armiranobetonskog unutarnjeg stubišta između prizemlja i međukata, koje se sastoji od dva kraka s ukupno 16 stuba i dva podesta, obloženog keramičkim pločicama.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uklonjenog dvokrakog stubišta.
Uključivo potrebna skela, horizontalni i vertikalni transport na gradilištu, te odvoz na gradski deponij.
Obračun po m2 tlocrtne projekcije komplet. uklonjenog stubišta.</t>
  </si>
  <si>
    <t>0.3.1.1.12.a.</t>
  </si>
  <si>
    <t>komad</t>
  </si>
  <si>
    <t>0.3.1.1.13.</t>
  </si>
  <si>
    <t>Rušenje (uklanjanje) armiranobetonskog unutarnjeg stubišta između međukata i prvog kata, koje se sastoji od dva kraka s ukupno 16 stuba i dva podesta, obloženog keramičkim pločicama.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uklonjenog dvokrakog stubišta.
Uključivo potrebna skela, horizontalni i vertikalni transport na gradilištu, te odvoz na gradski deponij.
Obračun po m2 tlocrtne projekcije komplet. uklonjenog stubišta.</t>
  </si>
  <si>
    <t>0.3.1.1.13.a.</t>
  </si>
  <si>
    <t>0.3.1.1.14.</t>
  </si>
  <si>
    <t>Rušenje (uklanjanje) dijela stropne konstrukcije podruma, a koja se sastoji od nosive arm. bet. ploče stropa debljine 25,0 cm. Debljina ploče je pretpostavljena.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uklonjene ploče debljine 25 cm.
Uključivo potrebna skela, horizontalni i vertikalni transport na gradilištu, te odvoz na gradski deponij.
Obračun po m2 komplet. uklonjenog stropa.</t>
  </si>
  <si>
    <t>0.3.1.1.14.a.</t>
  </si>
  <si>
    <t>0.3.1.1.15.</t>
  </si>
  <si>
    <t>Rušenje (uklanjanje) dijela stropne konstrukcije prizemlja, na koti +2,30, pod međukata, a koja se sastoji od nosive arm. bet. ploče stropa debljine 25,0 cm. Debljina ploče je pretpostavljena.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uklonjene ploče debljine 25 cm.
Uključivo potrebna skela, horizontalni i vertikalni transport na gradilištu, te odvoz na gradski deponij.
Obračun po m2 komplet. uklonjenog stropa.</t>
  </si>
  <si>
    <t>0.3.1.1.15.a.</t>
  </si>
  <si>
    <t>0.3.1.1.16.</t>
  </si>
  <si>
    <t>Rušenje (uklanjanje) dijela stropne konstrukcije prizemlja, na koti +3,65, a koja se sastoji od nosive arm. bet. ploče stropa debljine 25,0 cm. Debljina ploče je pretpostavljena.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uklonjene ploče debljine 25 cm.
Uključivo potrebna skela, horizontalni i vertikalni transport na gradilištu, te odvoz na gradski deponij.
Obračun po m2 komplet. uklonjenog stropa.</t>
  </si>
  <si>
    <t>0.3.1.1.16.a.</t>
  </si>
  <si>
    <t>0.3.1.1.17.</t>
  </si>
  <si>
    <t>Rušenje (uklanjanje) dijela stropne konstrukcije međukata, na koti +4,93, a koja se sastoji od nosive arm. bet. ploče stropa debljine 25,0 cm. Debljina ploče je pretpostavljena. Kod rušenja u cijenu stavke treba uključiti potrebna podupiranja - prihvat izrezanih elemenata te potrebna osiguranja. Rušenja treba vršiti rezanjem dijamantnom pilom. Komadi do max 200 kg kontinuirano se iznose van zgrade (bez gomilanja na zgradi), utovaruju u kamion i odvoze na gradsku deponiju a to je uključeno u cijenu stavke komplet sa postotkom na rastresitost. Obračun po m2 što uključuje bušenje rupa, rezanje i/ili sl., u svemu do potpuno uklonjene ploče debljine 25 cm.
Uključivo potrebna skela, horizontalni i vertikalni transport na gradilištu, te odvoz na gradski deponij.
Obračun po m2 komplet. uklonjenog stropa.</t>
  </si>
  <si>
    <t>0.3.1.1.17.a.</t>
  </si>
  <si>
    <t>m³</t>
  </si>
  <si>
    <t>0.3.1.1.18.</t>
  </si>
  <si>
    <t>Rušenje (uklanjanje) pregradnih zidova, zidova ispune, parapeta, dijelova zidova i/ili sl. od od gipskartonskih ploča na metalnoj potkonstrukciji, deblj. do 15 cm, eventualno obloženi jednostrano ili obostrano keramičkim pločicama, komplet s instalacijama, visine do 4,0 m.
Uključivo odvoz na gradski deponij.
Mjesto uklanjanja: prizemlje.
Obračun po m2 kompletno uklonjenog zida.</t>
  </si>
  <si>
    <t>0.3.1.1.18.a.</t>
  </si>
  <si>
    <t>0.3.1.1.19.</t>
  </si>
  <si>
    <t>Rušenje (uklanjanje) pregradnih zidova, zidova ispune, parapeta, dijelova zidova i/ili sl. od opeke debljine 10-12 cm, eventualno s arm.bet. elementima (nadvoji, serklaži i/ili sl.), instalacijama i/ili sl., obostrano ožbukanih, eventualno obloženih keramičkim pločicama jednostrano i/ili obostrano, visine do 4,0 m.
Uključivo odvoz na gradski deponij.
Mjesto uklanjanja: podrum, prizemlje, prvi kat
Obračun po m2 kompletno uklonjenog zida.</t>
  </si>
  <si>
    <t>0.3.1.1.19.a.</t>
  </si>
  <si>
    <t>0.3.1.1.20.</t>
  </si>
  <si>
    <t>Rušenje (uklanjanje) pregradnih zidova, zidova ispune, parapeta, dijelova zidova i/ili sl. od od šuplje opeke debljine 19 cm, obostrano ožbukanih, komplet s instalacijama, visine do 4,0 m. Uključivo uredno izveden rub prema dijelu zida koji se ne ruši.
Uključivo odvoz na gradski deponij.
Mjesto uklanjanja: podrum.
Obračun po m2 kompletno uklonjenog zida.</t>
  </si>
  <si>
    <t>0.3.1.1.20.a.</t>
  </si>
  <si>
    <t>0.3.1.1.21.</t>
  </si>
  <si>
    <t>Rušenje (uklanjanje) nosivih zidova i zidova ispune okvirnog sustava postojeće zgrade, od blok opeke debljine 25-30 cm, obostrano ožbukanih i/ili obloženih keramičkim pločicama. Uključivo uredno izveden rub prema dijelu zida koji se ne ruši.
Uključivo potrebna skela, te odvoz na gradski deponij.
Obračun po m3 kompletno uklonjenog zida.</t>
  </si>
  <si>
    <t>0.3.1.1.21.a.</t>
  </si>
  <si>
    <t>0.3.1.1.22.</t>
  </si>
  <si>
    <t>Rušenje (uklanjanje) nosivih zidova, i/ili dijelova nosivih zidova, postojeće zgrade, od armiranog betona debljine 25-30 cm, obostrano ožbukanih i/ili obloženih keramičkim pločicama. Uključivo uredno izveden rub prema dijelu zida koji se ne ruši.
Uključivo potrebna skela i odvoz na gradski deponij.
Mjesto uklanjanja: podrum, prizemlje, kat.
Obračun po m3 kompletno uklonjenog zida.</t>
  </si>
  <si>
    <t>0.3.1.1.22.a.</t>
  </si>
  <si>
    <t>0.3.1.1.23.</t>
  </si>
  <si>
    <t>Izrezivanje otvora, parapeta, ležajeva za nove nadvoje, vertikalne serklaže, i sl. u nosivim ab zidovima postojeće zgrade, debljine 25-30 cm, obostrano ožbukanih i/ili obloženih keramičkim pločicama, uključivo uredno izveden rub prema dijelu zidova koji se ne ruši (rezalicama).
Uključivo potrebna skela i odvoz na gradski deponij.
Mjesto uklanjanja: podrum, prizemlje, kat.
Obračun po m3 kompletno uklonjenog zida.</t>
  </si>
  <si>
    <t>0.3.1.1.23.a.</t>
  </si>
  <si>
    <t>0.3.1.1.24.</t>
  </si>
  <si>
    <t>Izrezivanje otvora, parapeta, ležajeva za nove nadvoje, vertikalne serklaže, i sl. u nosivim zidovima, zidovima ispune postojeće zgrade,
od blok opeke debljine 25-30 cm, obostrano ožbukanih i/ili obloženih keramičkim pločicama, uključivo uredno izveden rub prema dijelu zidova koji se ne ruši.
Uključivo potrebna skela i odvoz na gradski deponij.
Mjesto uklanjanja: podrum, prizemlje, kat.
Obračun po m3 kompletno uklonjenog zida.</t>
  </si>
  <si>
    <t>0.3.1.1.24.a.</t>
  </si>
  <si>
    <t>0.3.1.1.25.</t>
  </si>
  <si>
    <t>Izrezivanje otvora, ležajeva za nove nadvoje, i sl. u nosivim ukopanim ab zidovima postojeće zgrade, debljine 25-30 cm, ožbukanih s unutarnje strane, obloženih toplinskom i hidroizolacijom te zaštitom hidroizolacije i sl. s vanjske strane , uključivo uredno izveden rub prema dijelu zidova koji se ne ruši (rezalicama).
Uključivo potrebna skela i odvoz na gradski deponij.
Mjesto uklanjanja: podrum.
Obračun po m3 kompletno uklonjenog zida.</t>
  </si>
  <si>
    <t>0.3.1.1.25.a.</t>
  </si>
  <si>
    <t>0.3.1.1.28.</t>
  </si>
  <si>
    <t>Strojno rušenje (uklanjanje) armiranobetonske podne ploče podruma, pretpostavljene debljine 15 cm s cementnim estrihom debljine cca 4 cm, s razbijanjem na manje komade (do 300 kg).
Uključivo odvoz na gradski deponij.
Obračun po m3 kompletno uklonjene ploče.</t>
  </si>
  <si>
    <t>0.3.1.1.28.a.</t>
  </si>
  <si>
    <t>0.3.1.1.29.</t>
  </si>
  <si>
    <t>Strojno rušenje (uklanjanje) armiranobetonske podne ploče autosalona, pretpostavljene debljine 20-30 cm s cementnim estrihom debljine cca 5 cm, rampe, pasice i sl. s razbijanjem na manje komade (do 300 kg).
Uključivo odvoz na gradski deponij.
Obračun po m3 kompletno uklonjene ploče.</t>
  </si>
  <si>
    <t>0.3.1.1.29.a.</t>
  </si>
  <si>
    <t>0.3.1.1.30.</t>
  </si>
  <si>
    <t>Strojno rušenje (uklanjanje) betonskih podnih ploča parkirališta ostalih ispod poda autosalona, pretpostavljene debljine 15 cm, nakon uklanjanja poda autosalona, s razbijanjem na manje komade (do 300 kg).
Uključivo odvoz na gradski deponij.
Obračun po m3 kompletno uklonjene ploče.</t>
  </si>
  <si>
    <t>0.3.1.1.30.a.</t>
  </si>
  <si>
    <t>0.3.1.1.31.</t>
  </si>
  <si>
    <t>Strojno rušenje (uklanjanje) betonskih podnih ploča autopraonice, pretpostavljene debljine 15 cm, s razbijanjem na manje komade (do 300 kg).
Uključivo odvoz na gradski deponij.
Obračun po m3 kompletno uklonjene ploče.</t>
  </si>
  <si>
    <t>0.3.1.1.31.a.</t>
  </si>
  <si>
    <t>0.3.1.1.32.</t>
  </si>
  <si>
    <t>Pažljivo rušenje (uklanjanje) tipskog dimnjaka od predgotovljenih elemenata tipa Schiedel ili sl. u etažama podruma i prizemlja, visine max. 7,5 m. Uključivo uklanjanje svih elemenata dimnjaka i eventualnih veza (metalnih) sa obodnom konstrukcijom (stropovi) i sl.. Dimnjak se ne uklanja u etaži prvog kata i iznad te je potrebno izvesti novo oslanjanje u razini stropa prizemlja prije početka rušenja, obračunato posebno.
Radove na uklanjanju dimnjaka obavezno izvoditi pažljivo. Otpadni materijal treba kontinuirano uklanjati s građevine (bez gomilanja).
U jediničnu cijenu uključeno skela, sav potreban rad, svi transporti, te sortiranje uklonjenog materijala po vrstama otpada i zbrinjavanje.
Obračun po m3 kompletno uklonjenog dimnjaka.</t>
  </si>
  <si>
    <t>0.3.1.1.32.a.</t>
  </si>
  <si>
    <t>0.3.1.1.33.</t>
  </si>
  <si>
    <t>Strojno rušenje (uklanjanje) armiranobetonskih zidova i podne ploče ukopanih svjetlarnika podrumskih prozora, cementnog estriha i sl., s razbijanjem na manje komade (do 300 kg).
Uključivo odvoz na gradski deponij.
Obračun po m3 kompletno uklonjene ploče.</t>
  </si>
  <si>
    <t>0.3.1.1.33.a.</t>
  </si>
  <si>
    <t>0.3.1.1.34.</t>
  </si>
  <si>
    <t>Rušenje (uklanjanje) betonskih zidića - sokla autosalona i autopraonice. Uključivo odvoz na gradski deponij.
Obračun po m3 kompletno uklonjenog sokla.</t>
  </si>
  <si>
    <t>0.3.1.1.34.a.</t>
  </si>
  <si>
    <t>0.3.1.1.35.</t>
  </si>
  <si>
    <t>Rušenje (uklanjanje) betonskih temeljnih traka i temeljnih stopa autosalona i autopraonice. Uključivo odvoz na gradski deponij.
Obračun po m3 kompletno uklonjenih temelja.</t>
  </si>
  <si>
    <t>0.3.1.1.35.a.</t>
  </si>
  <si>
    <t>Djelomično rušenje spojenih objekata (NS02-1.1.2.) UKUPNO:</t>
  </si>
  <si>
    <t>RUŠENJA (NS02-1.1.) UKUPNO:</t>
  </si>
  <si>
    <t>0.3.2.</t>
  </si>
  <si>
    <t>UKLANJANJA (NS02- 1.2.)</t>
  </si>
  <si>
    <t>Izvedba u svemu prema standardnoj tehničkoj specifikaciji prodajnog mjesta Eurospin - NS02 - točka 1.2.
Uklanjanje podova, uključujući podlogu, odrađuje se mehanizacijom ili ručno do nosive konstrukcije.
Uklanjanje obloga od keramike, uključujući i podlogu ukoliko je u lošem stanju, izvodi se mehanizacijom ili ručno.
Uklanjanje spuštenih stropova od gipskartonskih ploča, mineralnovlaknastih ploča, metala, uključuje i nosivu konstrukciju (lamele, profili, ovjesi, klinovi, itd.), te se izvodi mehanički ili ručno za sve visine po potrebi.
Uklanjanje unutarnje i/ili vanjske stolarije uključujući ostakljene dijelove, izvodi se ručno. Uključuje utovar, pakiranje ako je potrebno, prijevoz unutar gradilišta, istovar i prijem na odgovarajuće mjesto. Tamo gdje nije predviđen</t>
  </si>
  <si>
    <t>povrat, bit će uključen utovar, prijevoz do ovlaštenih odlagališta otpada, istovar, troškove odlagališta otpada i sve naknade za izvršenje posla na stručan način u skladu s pravilima struke i važećim zakonodavstvom.
Uklanjanje i zbrinjavanje sanitarne keramike i opreme, uključujući eventualni povrat i odlaganje na odgovarajuće mjesto, izvodi se ručno.
Uključuje i utovar, prijevoz do javnih ovlaštenih odlagališta otpadnih materijala, istovar, zbrinjavanja, troškove odlagališta otpada i sve troškove za izvršenje posla na stručan način u skladu s pravilima struke i važećim zakonodavstvom.</t>
  </si>
  <si>
    <t>0.3.2.1.</t>
  </si>
  <si>
    <t>Rušenje (uklanjanje) svih slojeva poda podruma postojeće zgrade do betonske ploče, a koji se sastoje od, pretpostavljeno, cementnog estriha debljine 5,0 cm s epoksi premazom. Uključivo odvoz na gradski deponij.
Obračun po m2 kompletno uklonjenog poda.</t>
  </si>
  <si>
    <t>0.3.2.1.a.</t>
  </si>
  <si>
    <t>0.3.2.2.</t>
  </si>
  <si>
    <t>Rušenje (uklanjanje) svih slojeva poda podruma postojeće zgrade do betonske ploče, a koji se sastoje od, pretpostavljeno, cementnog estriha debljine 5,0 cm i završno keramičkih pločica i sl.. Uključivo odvoz na gradski deponij.
Obračun po m2 kompletno uklonjenog poda.</t>
  </si>
  <si>
    <t>0.3.2.2.a.</t>
  </si>
  <si>
    <t>0.3.2.3.</t>
  </si>
  <si>
    <t>Uklanjanje industrijskog epoksidnog poda</t>
  </si>
  <si>
    <t>Uklanjanje završnog sloja poda postojećeg dijela građevine od epoksidne smole dijamantnim brušenjem, radi izvedbe novog završnog sloja poda od keramičkih pločica.
Obračun po m2.</t>
  </si>
  <si>
    <t>0.3.2.3.a.</t>
  </si>
  <si>
    <t>0.3.2.4.</t>
  </si>
  <si>
    <t>0.3.2.4.a.</t>
  </si>
  <si>
    <t>0.3.2.5.</t>
  </si>
  <si>
    <t>Rušenje (uklanjanje) svih slojeva poda prizemlja postojeće zgrade do nosive konstrukcije, a koji se sastoje od završne podne obloge (laminat i/ili sl.) podložne folije, cementnog estriha 6,0 cm, Pe folije, te okipora 2,0 cm i sokla od kutne letvce. Ukupna debljina slojeva 9-12 cm, pretpostavljeno. Uključivo odvoz na gradski deponij.
Obračun po m2 kompletno uklonjenog poda i m sokla.</t>
  </si>
  <si>
    <t>0.3.2.5.a.</t>
  </si>
  <si>
    <t>pod</t>
  </si>
  <si>
    <t>0.3.2.5.b.</t>
  </si>
  <si>
    <t>sokl</t>
  </si>
  <si>
    <t>0.3.2.6.</t>
  </si>
  <si>
    <t>Rušenje (uklanjanje) svih slojeva poda prizemlja autosalona do nosive konstrukcije, a koji se sastoje od završne podne obloge (laminat i/ili sl.), podložne folije, cementnog estriha 5,0 cm, PE folije, te okipora 2,0 cm. Uključivo odvoz na gradski deponij.
Obračun po m2 kompletno uklonjenog poda.</t>
  </si>
  <si>
    <t>0.3.2.6.a.</t>
  </si>
  <si>
    <t>0.3.2.7.</t>
  </si>
  <si>
    <t>Skidanje (otucavanje) keramičkih pločica sa zidova u podrumu postojeće zgrade, visine do 2,8 m. U cijenu uključeno sortiranje i zbrinjavanje uklonjenog materijala. Obračun po m2 stvarne površine obrađenog zida i/ili stupa i po m1 sokla.</t>
  </si>
  <si>
    <t>0.3.2.7.a.</t>
  </si>
  <si>
    <t>zidno opločenje</t>
  </si>
  <si>
    <t>0.3.2.7.b.</t>
  </si>
  <si>
    <t>0.3.2.8.</t>
  </si>
  <si>
    <t>Skidanje (otucavanje) keramičkih pločica sa zidova i stupova u prizemlju i međukatu postojeće zgrade, visine do 2,1 m i sokla. U cijenu uključeno sortiranje i zbrinjavanje uklonjenog materijala. Obračun po m2 stvarne površine obrađenog zida i/ili stupa i m1 sokla.</t>
  </si>
  <si>
    <t>0.3.2.8.a.</t>
  </si>
  <si>
    <t>0.3.2.8.b.</t>
  </si>
  <si>
    <t>1.3.2.9.</t>
  </si>
  <si>
    <t>1.3.2.9.a.</t>
  </si>
  <si>
    <t>1.3.2.10.</t>
  </si>
  <si>
    <t>Skidanje (otucavanje) oštećene i neravne unutarnje žbuke sa zidova, visine do 3,50 m. Prije izvođenja radova izvođač i nadzorni inženjer će označiti zidove koje treba otući i očistiti od ostataka morta. Obračun po m2 stvarne površine obrađenog zida.</t>
  </si>
  <si>
    <t>1.3.2.10.a.</t>
  </si>
  <si>
    <t>0.3.2.11.</t>
  </si>
  <si>
    <t>Demontaža spuštenog stropa od tipskih mineralnovlaknastih ploča, na tipskoj pocinčanoj potkonstrukciji učvršćenoj u ab stropnu ploču, u prizemlju. Ploče su vel. cca 62,5/62,5 cm, sa upuštenim fugama. Uključivo demontaža ugradbenih lampi. Obračun po m2 finalizirane plohe. Ovjes je visine cca 30-50 cm. Visina spuštenog stropa do 3,40 m. Sav otpadni materijal prevesti na deponij bez gomilanja na gradnji. Obračun po m2 kompletno uklonjenog podgleda stropa sa potkonstrukcijom. U cijenu uključeno sortiranje i zbrinjavanje uklonjenog materijala.</t>
  </si>
  <si>
    <t>0.3.2.11.a.</t>
  </si>
  <si>
    <t>0.3.2.12.</t>
  </si>
  <si>
    <t>Demontaža spuštenog stropa od gipskartonskih ploča, na tipskoj pocinčanoj potkonstrukciji učvršćenoj u ab stropnu ploču i/ili ploča od mineralne vune i sl., u podrumu i prizemlju. Uključivo demontaža ugradbenih lampi, ventilacijskih rešetki i sl. Obračun po m2 finalizirane plohe. Ovjes je visine cca 30-100 cm. Visina spuštenog stropa 2,70-3,40 m. Sav otpadni materijal prevesti na deponij bez gomilanja na gradnji. Obračun po m2 kompletno uklonjenog podgleda stropa sa potkonstrukcijom. U cijenu uključeno sortiranje i zbrinjavanje uklonjenog materijala.</t>
  </si>
  <si>
    <t>0.3.2.12.a.</t>
  </si>
  <si>
    <t>0.3.2.14.</t>
  </si>
  <si>
    <t>Demontaža vanjskih punih dvokrilnih vrata od crne bravarije.
Uključivo odvoz na gradski deponij.</t>
  </si>
  <si>
    <t>0.3.2.14.a.</t>
  </si>
  <si>
    <t>dvokrilna vrata dim. 165x250 cm</t>
  </si>
  <si>
    <t>0.3.2.15.</t>
  </si>
  <si>
    <t>Demontaža vanjskih punih jednokrilnih zaokretnih vrata od crne bravarije.
Uključivo odvoz na gradski deponij.</t>
  </si>
  <si>
    <t>0.3.2.15.a.</t>
  </si>
  <si>
    <t>jednokrilna vrata dim. 96x226 cm</t>
  </si>
  <si>
    <t>0.3.2.15.b.</t>
  </si>
  <si>
    <t>jednokrilna vrata dim. 117x210 cm</t>
  </si>
  <si>
    <t>0.3.2.16.</t>
  </si>
  <si>
    <t>Demontaža vanjskih prozora iz PVC profila s ustakljenjem iz IZO stakla, na postojećoj zgradi, u etažama podruma, prizemlja, međukata i prvog kata.
Uključivo odvoz na gradski deponij.</t>
  </si>
  <si>
    <t>0.3.2.16.a.</t>
  </si>
  <si>
    <t>jednokrilni prozor dim. 98x170 cm</t>
  </si>
  <si>
    <t>0.3.2.16.b.</t>
  </si>
  <si>
    <t>jednokrilni prozor dim. 100x125 cm</t>
  </si>
  <si>
    <t>0.3.2.16.c.</t>
  </si>
  <si>
    <t>jednokrilni prozor dim. 140x55 cm</t>
  </si>
  <si>
    <t>0.3.2.16.d.</t>
  </si>
  <si>
    <t>jednokrilni prozor dim. 135x55 cm</t>
  </si>
  <si>
    <t>0.3.2.16.e.</t>
  </si>
  <si>
    <t>jednokrilni prozor - žaluzina dim. 135x55 cm</t>
  </si>
  <si>
    <t>0.3.2.16.f.</t>
  </si>
  <si>
    <t>jednokrilni prozor dim. 125x55 cm</t>
  </si>
  <si>
    <t>0.3.2.16.g.</t>
  </si>
  <si>
    <t>jednokrilni prozor dim. 65x55 cm</t>
  </si>
  <si>
    <t>0.3.2.16.h.</t>
  </si>
  <si>
    <t>jednokrilni prozor dim. 50x55 cm</t>
  </si>
  <si>
    <t>0.3.2.16.i.</t>
  </si>
  <si>
    <t>fiksni prozor dim. 100x82 cm</t>
  </si>
  <si>
    <t>0.3.2.16.j.</t>
  </si>
  <si>
    <t>fiksni prozor dim. 278x135 cm</t>
  </si>
  <si>
    <t>0.3.2.16.k.</t>
  </si>
  <si>
    <t>dvodjelni prozor dim. 135x125 cm</t>
  </si>
  <si>
    <t>0.3.2.16.l.</t>
  </si>
  <si>
    <t>dvodjelni prozor dim. 158x94 cm</t>
  </si>
  <si>
    <t>0.3.2.16.m.</t>
  </si>
  <si>
    <t>dvodjelni prozor dim. 150x60 cm</t>
  </si>
  <si>
    <t>0.3.2.16.n.</t>
  </si>
  <si>
    <t>trodjelni prozor dim. 238x94 cm</t>
  </si>
  <si>
    <t>0.3.2.16.o.</t>
  </si>
  <si>
    <t>trodjelni prozor dim. 290x128 cm</t>
  </si>
  <si>
    <t>0.3.2.17.</t>
  </si>
  <si>
    <t>Demontaža vanjskih zaokretnih jednokrilnih vratiju iz PVC profila s ustakljenjem iz IZO stakla i nadsvjetlom, dim. 110x267 cm, na postojećoj zgradi, u etaži prizemlja.
Uključivo odvoz na gradski deponij.</t>
  </si>
  <si>
    <t>0.3.2.17.a.</t>
  </si>
  <si>
    <t>0.3.2.18.</t>
  </si>
  <si>
    <t>Demontaža vanjskih ostakljenih višedjelnih stijena iz PVC profila s ustakljenjem iz IZO stakla, sastavljenim od fiksnih i otklopnih polja i zaokretnih ostakljenih vratiju, na postojećoj zgradi, u etaži prizemlja. Uključivo potkonstrukcija, okov, opšav i sl.
Uključivo odvoz na gradski deponij.</t>
  </si>
  <si>
    <t>0.3.2.18.a.</t>
  </si>
  <si>
    <t>staklena stijena dim. 463x321 cm</t>
  </si>
  <si>
    <t>0.3.2.18.b.</t>
  </si>
  <si>
    <t>staklena stijena sa zaokretnim vratima, dim. 450x321 cm</t>
  </si>
  <si>
    <t>0.3.2.19.</t>
  </si>
  <si>
    <t>Demontaža svjetlarnika - svjetlosne kupole dim. 100x220 cm na ravnom krovu.
Uključivo okov, opšav, potkonstrukcija, spojna sredstva i sl.
Uključivo odvoz na gradski deponij.</t>
  </si>
  <si>
    <t>0.3.2.19.a.</t>
  </si>
  <si>
    <t>0.3.2.20.</t>
  </si>
  <si>
    <t>Demontaža vanjskih i unutarnjih kamenih, PVC i sl. prozorskih i sl. klupčica.
Uključivo odvoz na gradski deponij.
Obračun po m1.</t>
  </si>
  <si>
    <t>0.3.2.20.a.</t>
  </si>
  <si>
    <t>vanjske kamene klupčice</t>
  </si>
  <si>
    <t>0.3.2.20.b.</t>
  </si>
  <si>
    <t>unutarnje kamene prozorske klupčice</t>
  </si>
  <si>
    <t>0.3.2.20.c.</t>
  </si>
  <si>
    <t>unutarnje PVC prozorske klupčice</t>
  </si>
  <si>
    <t>0.3.2.21.</t>
  </si>
  <si>
    <t>Demontaža unutarnjih zaokretnih jednokrilnih vrata s ili bez nadsvjetla, iz crnih profila i limova, komplet s okovom, spojnim sredstvima, opšavima i/ili sl.
Uključivo odvoz na gradski deponij.</t>
  </si>
  <si>
    <t>0.3.2.21.a.</t>
  </si>
  <si>
    <t>vrata dim. 120x218 cm</t>
  </si>
  <si>
    <t>0.3.2.21.b.</t>
  </si>
  <si>
    <t>vrata dim. 95x218 cm</t>
  </si>
  <si>
    <t>0.3.2.21.c.</t>
  </si>
  <si>
    <t>vrata dim. 95x215 cm</t>
  </si>
  <si>
    <t>0.3.2.21.d.</t>
  </si>
  <si>
    <t>dvodijelno nadsvjetlo dim.95x83 cm</t>
  </si>
  <si>
    <t>0.3.2.21.e.</t>
  </si>
  <si>
    <t>vrata s nadsvjetlom dim. 115x244 cm</t>
  </si>
  <si>
    <t>0.3.2.21.f.</t>
  </si>
  <si>
    <t>vrata s nadsvjetlom dim. 122x277 cm</t>
  </si>
  <si>
    <t>0.3.2.21.g.</t>
  </si>
  <si>
    <t>vrata s nadsvjetlom dim. 120x287 cm</t>
  </si>
  <si>
    <t>0.3.2.22.</t>
  </si>
  <si>
    <t>Demontaža unutarnje stolarije od PVC profila.
Uključivo odvoz na gradski deponij.</t>
  </si>
  <si>
    <t>0.3.2.22.a.</t>
  </si>
  <si>
    <t>jednokrilna ustakljena zaokretna vrata s nadsvjetlom, dim. 125x274 cm</t>
  </si>
  <si>
    <t>0.3.2.22.b.</t>
  </si>
  <si>
    <t>unutarnji dvodijelni prozor dim. 122x79 cm</t>
  </si>
  <si>
    <t>0.3.2.22.c.</t>
  </si>
  <si>
    <t>unutarnji jednokrilni prozor dim. 55x80 cm</t>
  </si>
  <si>
    <t>0.3.2.23.</t>
  </si>
  <si>
    <t>Demontaža unutarnjih zaokretnih jednokrilnih drvenih vrata, s punim zaokretnim krilom.
Uključivo odvoz na gradski deponij.</t>
  </si>
  <si>
    <t>0.3.2.23.a.</t>
  </si>
  <si>
    <t>vrata dim. 90x205 cm</t>
  </si>
  <si>
    <t>0.3.2.23.b.</t>
  </si>
  <si>
    <t>vrata dim. 75x205 cm</t>
  </si>
  <si>
    <t>0.3.2.23.c.</t>
  </si>
  <si>
    <t>vrata dim. 70x205 cm</t>
  </si>
  <si>
    <t>0.3.2.24.</t>
  </si>
  <si>
    <t>Demontaža kompletne ostakljene aluminijske fasade autosalona, uključivo profili, ostakljena polja, prozori i vrata.
Uključivo odvoz na gradski deponij.
Obračun po m2 kompletno demontirane fasade</t>
  </si>
  <si>
    <t>0.3.2.24.a.</t>
  </si>
  <si>
    <t>0.3.2.25.</t>
  </si>
  <si>
    <t>Demontaža kompletne pune fasade autopraonice od trapeznog lima i, uključivo, potkonstrukcije.
Uključivo odvoz na gradski deponij.
Obračun po m2 kompletno demontirane fasade</t>
  </si>
  <si>
    <t>0.3.2.25.a.</t>
  </si>
  <si>
    <t>0.3.2.26.</t>
  </si>
  <si>
    <t>Demontaža podgleda konzolnih nadstrešnica od trapeznog i ravnog lima, komplet s opšavima i potkonstrukcijom.
Obračun po m2 podgleda.</t>
  </si>
  <si>
    <t>0.3.2.26.a.</t>
  </si>
  <si>
    <t>nadstrešnica na visini do cca 6,2 m</t>
  </si>
  <si>
    <t>0.3.2.26.b.</t>
  </si>
  <si>
    <t>nadstrešnica na visini do cca 4,0 m</t>
  </si>
  <si>
    <t>0.3.2.26.c.</t>
  </si>
  <si>
    <t>0.3.2.27.</t>
  </si>
  <si>
    <t>Demontaža kompletnog dizala za vertikalni transport između etaže podruma i prizemlja sa strojarnicom iznad gornje stanice, uključivo kabina, pogon, konstrukcija, instalacije, strojarnica, dvokrilna vrata na oknu i sl..
Uključivo odvoz na gradski deponij.
Obračun po kompletu</t>
  </si>
  <si>
    <t>0.3.2.27.a.</t>
  </si>
  <si>
    <t>0.3.2.28.</t>
  </si>
  <si>
    <t>Demontaža dijelova, opreme i uređaja postojećeg sustava ventilacije. Uključivo odvoz na gradski deponij.
Obračun po kompletu.</t>
  </si>
  <si>
    <t>0.3.2.28.a.</t>
  </si>
  <si>
    <t>0.3.2.29.</t>
  </si>
  <si>
    <t>Demontaža instalacija, sanitarne opreme i uređaja vodoopskrbe i odvodnje u postojećoj zgradi, komplet sa svim priključcima, fazonskim komadima, pričvrsnim elementima, spojnim sredstvima i/ili sl. Uključivo odvoz na gradski deponij.
Obračun po komadu stvarno demontiranih instalacija, opreme i uređaja.</t>
  </si>
  <si>
    <t>0.3.2.29.a.</t>
  </si>
  <si>
    <t>WC školjka - komplet</t>
  </si>
  <si>
    <t>0.3.2.29.b.</t>
  </si>
  <si>
    <t>pisoar - komplet</t>
  </si>
  <si>
    <t>0.3.2.29.c.</t>
  </si>
  <si>
    <t>umivaonik - komplet</t>
  </si>
  <si>
    <t>0.3.2.29.d.</t>
  </si>
  <si>
    <t xml:space="preserve">tuš </t>
  </si>
  <si>
    <t>0.3.2.30.</t>
  </si>
  <si>
    <t>Demontaža limenih opšava, žlijebova, vertikalnih oluka, sandučastih kotlića, i/ili sl., sa svim fazonskim komadima, pričvrsnim elementima i spojnim sredstvima, komplet s odvozom na gradski deponij.</t>
  </si>
  <si>
    <t>0.3.2.30.a.</t>
  </si>
  <si>
    <t>horizontalni sandučasti žlijeb</t>
  </si>
  <si>
    <t>0.3.2.30.b.</t>
  </si>
  <si>
    <t>vertikalna olučna cijev</t>
  </si>
  <si>
    <t>0.3.2.30.c.</t>
  </si>
  <si>
    <t>sandučasti kotlić</t>
  </si>
  <si>
    <t>0.3.2.30.d.</t>
  </si>
  <si>
    <t>labuđi vrat</t>
  </si>
  <si>
    <t>0.3.2.30.e.</t>
  </si>
  <si>
    <t>izljevno koljeno</t>
  </si>
  <si>
    <t>0.3.2.30.f.</t>
  </si>
  <si>
    <t>opšav atike postojeće zgrade</t>
  </si>
  <si>
    <t>0.3.2.31.</t>
  </si>
  <si>
    <t>Obračun po kompletu</t>
  </si>
  <si>
    <t>0.3.2.31.a.</t>
  </si>
  <si>
    <t>0.3.2.33.</t>
  </si>
  <si>
    <t>Demontaža instalacija i opreme s nosačima instalacija dovoda i odvoda vode u postojećem objektu.</t>
  </si>
  <si>
    <t>0.3.2.32.a.</t>
  </si>
  <si>
    <t>UKLANJANJA (NS02- 1.2.) UKUPNO:</t>
  </si>
  <si>
    <t>RUŠENJA I UKLANJANJA (NS02-1.) UKUPNO:</t>
  </si>
  <si>
    <t>PRIPREMNI RADOVI I RUŠENJA  UKUPNO:</t>
  </si>
  <si>
    <t>Rušenje (uklanjanje) svih slojeva poda prizemlja postojeće zgrade do nosive konstrukcije, a koji se sastoje od završne podne obloge (keramičke pločice, kamene ploče, teraco i/ili sl.) u građevinskom ljepilu, cementnog estriha 6,0 cm, Pe folije, te okipora 2,0 cm. Ukupna debljina slojeva 9-12 cm. Uključivo odvoz na gradski deponij.
Obračun po m2 kompletno uklonjenog poda.</t>
  </si>
  <si>
    <t>Skidanje (otucavanje) fasadne žbuke sa zidova, visine do 3,50 m. Prije izvođenja radova izvođač i nadzorni inženjer će označiti zidove koje treba otući i očistiti od ostataka morta.</t>
  </si>
  <si>
    <t>IZVODI NARUČITELJ</t>
  </si>
  <si>
    <t>Demontaža strojarskih i elektro instalacija i strojarske opreme s nosačima u postojećem objektu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</si>
</sst>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0" x14ac:knownFonts="1">
    <font>
      <sz val="11"/>
      <color theme="1"/>
      <name val="Calibri"/>
      <family val="2"/>
      <charset val="238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0000"/>
      <name val="Calibri"/>
      <family val="2"/>
      <charset val="238"/>
    </font>
    <font>
      <sz val="9"/>
      <color rgb="FFC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9"/>
      <color rgb="FFFF0000"/>
      <name val="Calibri"/>
      <family val="2"/>
    </font>
    <font>
      <sz val="10"/>
      <color rgb="FFFF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B4B4"/>
      </patternFill>
    </fill>
    <fill>
      <patternFill patternType="solid">
        <fgColor rgb="FFD3D3D3"/>
      </patternFill>
    </fill>
    <fill>
      <patternFill patternType="solid">
        <fgColor rgb="FFC8C8C8"/>
      </patternFill>
    </fill>
    <fill>
      <patternFill patternType="solid">
        <fgColor rgb="FFDCDCDC"/>
      </patternFill>
    </fill>
    <fill>
      <patternFill patternType="solid">
        <fgColor rgb="FFF0F0F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justify" vertical="top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justify" wrapText="1"/>
    </xf>
    <xf numFmtId="4" fontId="1" fillId="0" borderId="0" xfId="0" applyNumberFormat="1" applyFont="1"/>
    <xf numFmtId="4" fontId="5" fillId="0" borderId="0" xfId="0" applyNumberFormat="1" applyFont="1" applyAlignment="1">
      <alignment horizontal="center"/>
    </xf>
    <xf numFmtId="4" fontId="7" fillId="0" borderId="0" xfId="1" applyNumberFormat="1" applyFont="1" applyProtection="1">
      <protection locked="0"/>
    </xf>
    <xf numFmtId="164" fontId="2" fillId="5" borderId="0" xfId="0" applyNumberFormat="1" applyFont="1" applyFill="1"/>
    <xf numFmtId="0" fontId="8" fillId="0" borderId="0" xfId="0" applyFont="1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7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3" fillId="0" borderId="0" xfId="0" applyFont="1"/>
    <xf numFmtId="4" fontId="9" fillId="0" borderId="0" xfId="1" applyNumberFormat="1" applyFont="1" applyProtection="1">
      <protection locked="0"/>
    </xf>
    <xf numFmtId="4" fontId="9" fillId="0" borderId="0" xfId="1" applyNumberFormat="1" applyFont="1" applyAlignment="1" applyProtection="1">
      <alignment wrapText="1"/>
      <protection locked="0"/>
    </xf>
    <xf numFmtId="0" fontId="8" fillId="0" borderId="0" xfId="0" applyFont="1"/>
    <xf numFmtId="164" fontId="2" fillId="7" borderId="0" xfId="0" applyNumberFormat="1" applyFont="1" applyFill="1"/>
    <xf numFmtId="164" fontId="2" fillId="6" borderId="0" xfId="0" applyNumberFormat="1" applyFont="1" applyFill="1"/>
    <xf numFmtId="164" fontId="2" fillId="3" borderId="0" xfId="0" applyNumberFormat="1" applyFont="1" applyFill="1"/>
    <xf numFmtId="4" fontId="5" fillId="8" borderId="0" xfId="0" applyNumberFormat="1" applyFont="1" applyFill="1" applyAlignment="1">
      <alignment horizontal="center"/>
    </xf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 applyAlignment="1">
      <alignment wrapText="1"/>
    </xf>
    <xf numFmtId="0" fontId="2" fillId="7" borderId="0" xfId="0" applyFont="1" applyFill="1" applyAlignment="1">
      <alignment horizontal="center"/>
    </xf>
    <xf numFmtId="0" fontId="2" fillId="7" borderId="0" xfId="0" applyFont="1" applyFill="1"/>
  </cellXfs>
  <cellStyles count="2">
    <cellStyle name="Normal" xfId="0" builtinId="0"/>
    <cellStyle name="Normal 127" xfId="1" xr:uid="{89E41707-D0DF-461D-818D-1E82CE116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F77E-C448-43CB-B79F-3590C46CB7FB}">
  <dimension ref="A1:H317"/>
  <sheetViews>
    <sheetView tabSelected="1" topLeftCell="A301" workbookViewId="0">
      <selection activeCell="C305" sqref="C305"/>
    </sheetView>
  </sheetViews>
  <sheetFormatPr defaultRowHeight="14.4" x14ac:dyDescent="0.3"/>
  <cols>
    <col min="1" max="1" width="9.109375" customWidth="1"/>
    <col min="2" max="2" width="9.6640625" customWidth="1"/>
    <col min="3" max="3" width="37.6640625" customWidth="1"/>
    <col min="4" max="4" width="7.6640625" customWidth="1"/>
    <col min="5" max="6" width="10.6640625" customWidth="1"/>
    <col min="7" max="7" width="12.6640625" customWidth="1"/>
    <col min="8" max="8" width="16.44140625" customWidth="1"/>
  </cols>
  <sheetData>
    <row r="1" spans="1:8" x14ac:dyDescent="0.3">
      <c r="A1" s="1"/>
      <c r="B1" s="2"/>
      <c r="C1" s="3"/>
      <c r="D1" s="4"/>
      <c r="E1" s="2"/>
      <c r="F1" s="2"/>
      <c r="G1" s="2"/>
      <c r="H1" s="2"/>
    </row>
    <row r="2" spans="1:8" x14ac:dyDescent="0.3">
      <c r="A2" s="1"/>
      <c r="B2" s="2"/>
      <c r="C2" s="3"/>
      <c r="D2" s="4"/>
      <c r="E2" s="2"/>
      <c r="F2" s="2"/>
      <c r="G2" s="2"/>
      <c r="H2" s="2"/>
    </row>
    <row r="3" spans="1:8" x14ac:dyDescent="0.3">
      <c r="A3" s="1"/>
      <c r="B3" s="2"/>
      <c r="C3" s="3"/>
      <c r="D3" s="4"/>
      <c r="E3" s="2"/>
      <c r="F3" s="2"/>
      <c r="G3" s="2"/>
      <c r="H3" s="2"/>
    </row>
    <row r="4" spans="1:8" x14ac:dyDescent="0.3">
      <c r="A4" s="1"/>
      <c r="B4" s="5" t="s">
        <v>0</v>
      </c>
      <c r="C4" s="43" t="s">
        <v>1</v>
      </c>
      <c r="D4" s="44"/>
      <c r="E4" s="45"/>
      <c r="F4" s="45"/>
      <c r="G4" s="45"/>
      <c r="H4" s="2"/>
    </row>
    <row r="5" spans="1:8" x14ac:dyDescent="0.3">
      <c r="A5" s="1"/>
      <c r="B5" s="2"/>
      <c r="C5" s="3"/>
      <c r="D5" s="4"/>
      <c r="E5" s="2"/>
      <c r="F5" s="2"/>
      <c r="G5" s="2"/>
      <c r="H5" s="2"/>
    </row>
    <row r="6" spans="1:8" x14ac:dyDescent="0.3">
      <c r="A6" s="1"/>
      <c r="B6" s="5"/>
      <c r="C6" s="6" t="s">
        <v>2</v>
      </c>
      <c r="D6" s="7"/>
      <c r="E6" s="5"/>
      <c r="F6" s="5"/>
      <c r="G6" s="5"/>
      <c r="H6" s="2"/>
    </row>
    <row r="7" spans="1:8" x14ac:dyDescent="0.3">
      <c r="A7" s="1"/>
      <c r="B7" s="2"/>
      <c r="C7" s="3"/>
      <c r="D7" s="4"/>
      <c r="E7" s="2"/>
      <c r="F7" s="2"/>
      <c r="G7" s="2"/>
      <c r="H7" s="2"/>
    </row>
    <row r="8" spans="1:8" ht="228" x14ac:dyDescent="0.3">
      <c r="A8" s="1"/>
      <c r="B8" s="2"/>
      <c r="C8" s="8" t="s">
        <v>3</v>
      </c>
      <c r="D8" s="4"/>
      <c r="E8" s="2"/>
      <c r="F8" s="2"/>
      <c r="G8" s="2"/>
      <c r="H8" s="2"/>
    </row>
    <row r="9" spans="1:8" ht="216" x14ac:dyDescent="0.3">
      <c r="A9" s="1"/>
      <c r="B9" s="2"/>
      <c r="C9" s="8" t="s">
        <v>4</v>
      </c>
      <c r="D9" s="4"/>
      <c r="E9" s="2"/>
      <c r="F9" s="2"/>
      <c r="G9" s="2"/>
      <c r="H9" s="2"/>
    </row>
    <row r="10" spans="1:8" ht="216" x14ac:dyDescent="0.3">
      <c r="A10" s="1"/>
      <c r="B10" s="2"/>
      <c r="C10" s="8" t="s">
        <v>5</v>
      </c>
      <c r="D10" s="4"/>
      <c r="E10" s="2"/>
      <c r="F10" s="2"/>
      <c r="G10" s="2"/>
      <c r="H10" s="2"/>
    </row>
    <row r="11" spans="1:8" ht="72" x14ac:dyDescent="0.3">
      <c r="A11" s="1"/>
      <c r="B11" s="2"/>
      <c r="C11" s="8" t="s">
        <v>6</v>
      </c>
      <c r="D11" s="4"/>
      <c r="E11" s="2"/>
      <c r="F11" s="2"/>
      <c r="G11" s="2"/>
      <c r="H11" s="2"/>
    </row>
    <row r="12" spans="1:8" x14ac:dyDescent="0.3">
      <c r="A12" s="1"/>
      <c r="B12" s="2"/>
      <c r="C12" s="3"/>
      <c r="D12" s="4"/>
      <c r="E12" s="2"/>
      <c r="F12" s="2"/>
      <c r="G12" s="2"/>
      <c r="H12" s="2"/>
    </row>
    <row r="13" spans="1:8" ht="24" x14ac:dyDescent="0.3">
      <c r="A13" s="1"/>
      <c r="B13" s="9" t="s">
        <v>7</v>
      </c>
      <c r="C13" s="9" t="s">
        <v>8</v>
      </c>
      <c r="D13" s="9" t="s">
        <v>9</v>
      </c>
      <c r="E13" s="9" t="s">
        <v>10</v>
      </c>
      <c r="F13" s="9" t="s">
        <v>11</v>
      </c>
      <c r="G13" s="9" t="s">
        <v>12</v>
      </c>
      <c r="H13" s="2"/>
    </row>
    <row r="14" spans="1:8" x14ac:dyDescent="0.3">
      <c r="A14" s="1"/>
      <c r="B14" s="2"/>
      <c r="C14" s="3"/>
      <c r="D14" s="4"/>
      <c r="E14" s="2"/>
      <c r="F14" s="2"/>
      <c r="G14" s="2"/>
      <c r="H14" s="2"/>
    </row>
    <row r="15" spans="1:8" x14ac:dyDescent="0.3">
      <c r="A15" s="1"/>
      <c r="B15" s="10" t="s">
        <v>13</v>
      </c>
      <c r="C15" s="40" t="s">
        <v>14</v>
      </c>
      <c r="D15" s="41"/>
      <c r="E15" s="42"/>
      <c r="F15" s="42"/>
      <c r="G15" s="42"/>
      <c r="H15" s="2"/>
    </row>
    <row r="16" spans="1:8" x14ac:dyDescent="0.3">
      <c r="A16" s="1"/>
      <c r="B16" s="2"/>
      <c r="C16" s="3"/>
      <c r="D16" s="4"/>
      <c r="E16" s="2"/>
      <c r="F16" s="2"/>
      <c r="G16" s="2"/>
      <c r="H16" s="2"/>
    </row>
    <row r="17" spans="1:8" x14ac:dyDescent="0.3">
      <c r="A17" s="1"/>
      <c r="B17" s="13" t="s">
        <v>15</v>
      </c>
      <c r="C17" s="14" t="s">
        <v>16</v>
      </c>
      <c r="D17" s="4"/>
      <c r="E17" s="2"/>
      <c r="F17" s="2"/>
      <c r="G17" s="2"/>
      <c r="H17" s="2"/>
    </row>
    <row r="18" spans="1:8" ht="228" x14ac:dyDescent="0.3">
      <c r="A18" s="1"/>
      <c r="B18" s="2"/>
      <c r="C18" s="8" t="s">
        <v>17</v>
      </c>
      <c r="D18" s="4"/>
      <c r="E18" s="2"/>
      <c r="F18" s="2"/>
      <c r="G18" s="2"/>
      <c r="H18" s="15"/>
    </row>
    <row r="19" spans="1:8" ht="84" x14ac:dyDescent="0.3">
      <c r="A19" s="1"/>
      <c r="B19" s="2"/>
      <c r="C19" s="8" t="s">
        <v>18</v>
      </c>
      <c r="D19" s="4"/>
      <c r="E19" s="2"/>
      <c r="F19" s="2"/>
      <c r="G19" s="2"/>
      <c r="H19" s="16"/>
    </row>
    <row r="20" spans="1:8" x14ac:dyDescent="0.3">
      <c r="A20" s="17"/>
      <c r="B20" s="2" t="s">
        <v>19</v>
      </c>
      <c r="C20" s="18" t="s">
        <v>20</v>
      </c>
      <c r="D20" s="4" t="s">
        <v>21</v>
      </c>
      <c r="E20" s="19">
        <v>1</v>
      </c>
      <c r="F20" s="20"/>
      <c r="G20" s="20" t="str">
        <f>IF(OR(OR(F20=0,F20=""),OR(E20=0,E20="")),"",$E20*F20)</f>
        <v/>
      </c>
      <c r="H20" s="21"/>
    </row>
    <row r="21" spans="1:8" x14ac:dyDescent="0.3">
      <c r="A21" s="1"/>
      <c r="B21" s="2"/>
      <c r="C21" s="3"/>
      <c r="D21" s="4"/>
      <c r="E21" s="2"/>
      <c r="F21" s="2"/>
      <c r="G21" s="2"/>
      <c r="H21" s="2"/>
    </row>
    <row r="22" spans="1:8" x14ac:dyDescent="0.3">
      <c r="A22" s="1"/>
      <c r="B22" s="10" t="s">
        <v>13</v>
      </c>
      <c r="C22" s="40" t="s">
        <v>22</v>
      </c>
      <c r="D22" s="41"/>
      <c r="E22" s="42"/>
      <c r="F22" s="42"/>
      <c r="G22" s="22">
        <f>SUM(G20)</f>
        <v>0</v>
      </c>
      <c r="H22" s="22">
        <f t="shared" ref="H22" si="0">SUM(H20)</f>
        <v>0</v>
      </c>
    </row>
    <row r="23" spans="1:8" x14ac:dyDescent="0.3">
      <c r="A23" s="1"/>
      <c r="B23" s="2"/>
      <c r="C23" s="3"/>
      <c r="D23" s="4"/>
      <c r="E23" s="2"/>
      <c r="F23" s="2"/>
      <c r="G23" s="2"/>
      <c r="H23" s="2"/>
    </row>
    <row r="24" spans="1:8" x14ac:dyDescent="0.3">
      <c r="A24" s="1"/>
      <c r="B24" s="10" t="s">
        <v>23</v>
      </c>
      <c r="C24" s="40" t="s">
        <v>24</v>
      </c>
      <c r="D24" s="41"/>
      <c r="E24" s="42"/>
      <c r="F24" s="42"/>
      <c r="G24" s="42"/>
      <c r="H24" s="2"/>
    </row>
    <row r="25" spans="1:8" x14ac:dyDescent="0.3">
      <c r="A25" s="1"/>
      <c r="B25" s="2"/>
      <c r="C25" s="3"/>
      <c r="D25" s="4"/>
      <c r="E25" s="2"/>
      <c r="F25" s="2"/>
      <c r="G25" s="2"/>
      <c r="H25" s="2"/>
    </row>
    <row r="26" spans="1:8" ht="108" x14ac:dyDescent="0.3">
      <c r="A26" s="1"/>
      <c r="B26" s="13" t="s">
        <v>25</v>
      </c>
      <c r="C26" s="8" t="s">
        <v>26</v>
      </c>
      <c r="D26" s="4"/>
      <c r="E26" s="2"/>
      <c r="F26" s="2"/>
      <c r="G26" s="2"/>
      <c r="H26" s="2"/>
    </row>
    <row r="27" spans="1:8" x14ac:dyDescent="0.3">
      <c r="A27" s="1"/>
      <c r="B27" s="2" t="s">
        <v>27</v>
      </c>
      <c r="C27" s="18" t="s">
        <v>28</v>
      </c>
      <c r="D27" s="4" t="s">
        <v>21</v>
      </c>
      <c r="E27" s="19">
        <v>1</v>
      </c>
      <c r="F27" s="20">
        <v>750</v>
      </c>
      <c r="G27" s="20">
        <f>IF(OR(OR(F27=0,F27=""),OR(E27=0,E27="")),"",$E27*F27)</f>
        <v>750</v>
      </c>
      <c r="H27" s="21"/>
    </row>
    <row r="28" spans="1:8" x14ac:dyDescent="0.3">
      <c r="A28" s="1"/>
      <c r="B28" s="2"/>
      <c r="C28" s="3"/>
      <c r="D28" s="4"/>
      <c r="E28" s="2"/>
      <c r="F28" s="2"/>
      <c r="G28" s="2"/>
      <c r="H28" s="2"/>
    </row>
    <row r="29" spans="1:8" ht="96" x14ac:dyDescent="0.3">
      <c r="A29" s="1"/>
      <c r="B29" s="13" t="s">
        <v>29</v>
      </c>
      <c r="C29" s="8" t="s">
        <v>30</v>
      </c>
      <c r="D29" s="4"/>
      <c r="E29" s="2"/>
      <c r="F29" s="2"/>
      <c r="G29" s="2"/>
      <c r="H29" s="2"/>
    </row>
    <row r="30" spans="1:8" x14ac:dyDescent="0.3">
      <c r="A30" s="1"/>
      <c r="B30" s="2" t="s">
        <v>31</v>
      </c>
      <c r="C30" s="18" t="s">
        <v>28</v>
      </c>
      <c r="D30" s="4" t="s">
        <v>32</v>
      </c>
      <c r="E30" s="19">
        <v>10</v>
      </c>
      <c r="F30" s="20">
        <v>25</v>
      </c>
      <c r="G30" s="20">
        <f>IF(OR(OR(F30=0,F30=""),OR(E30=0,E30="")),"",$E30*F30)</f>
        <v>250</v>
      </c>
      <c r="H30" s="21"/>
    </row>
    <row r="31" spans="1:8" x14ac:dyDescent="0.3">
      <c r="A31" s="1"/>
      <c r="B31" s="2"/>
      <c r="C31" s="3"/>
      <c r="D31" s="4"/>
      <c r="E31" s="2"/>
      <c r="F31" s="2"/>
      <c r="G31" s="2"/>
      <c r="H31" s="2"/>
    </row>
    <row r="32" spans="1:8" x14ac:dyDescent="0.3">
      <c r="A32" s="1"/>
      <c r="B32" s="10" t="s">
        <v>23</v>
      </c>
      <c r="C32" s="40" t="s">
        <v>33</v>
      </c>
      <c r="D32" s="41"/>
      <c r="E32" s="42"/>
      <c r="F32" s="42"/>
      <c r="G32" s="22">
        <f>SUM(G27,G30)</f>
        <v>1000</v>
      </c>
      <c r="H32" s="22">
        <f t="shared" ref="H32" si="1">SUM(H27,H30)</f>
        <v>0</v>
      </c>
    </row>
    <row r="33" spans="1:8" x14ac:dyDescent="0.3">
      <c r="A33" s="1"/>
      <c r="B33" s="2"/>
      <c r="C33" s="3"/>
      <c r="D33" s="4"/>
      <c r="E33" s="2"/>
      <c r="F33" s="2"/>
      <c r="G33" s="2"/>
      <c r="H33" s="2"/>
    </row>
    <row r="34" spans="1:8" x14ac:dyDescent="0.3">
      <c r="A34" s="1"/>
      <c r="B34" s="10" t="s">
        <v>34</v>
      </c>
      <c r="C34" s="40" t="s">
        <v>35</v>
      </c>
      <c r="D34" s="41"/>
      <c r="E34" s="42"/>
      <c r="F34" s="42"/>
      <c r="G34" s="42"/>
      <c r="H34" s="2"/>
    </row>
    <row r="35" spans="1:8" x14ac:dyDescent="0.3">
      <c r="A35" s="1"/>
      <c r="B35" s="2"/>
      <c r="C35" s="3"/>
      <c r="D35" s="4"/>
      <c r="E35" s="2"/>
      <c r="F35" s="2"/>
      <c r="G35" s="2"/>
      <c r="H35" s="2"/>
    </row>
    <row r="36" spans="1:8" x14ac:dyDescent="0.3">
      <c r="A36" s="1"/>
      <c r="B36" s="10"/>
      <c r="C36" s="11" t="s">
        <v>2</v>
      </c>
      <c r="D36" s="12"/>
      <c r="E36" s="10"/>
      <c r="F36" s="10"/>
      <c r="G36" s="10"/>
      <c r="H36" s="2"/>
    </row>
    <row r="37" spans="1:8" x14ac:dyDescent="0.3">
      <c r="A37" s="1"/>
      <c r="B37" s="2"/>
      <c r="C37" s="3"/>
      <c r="D37" s="4"/>
      <c r="E37" s="2"/>
      <c r="F37" s="2"/>
      <c r="G37" s="2"/>
      <c r="H37" s="2"/>
    </row>
    <row r="38" spans="1:8" ht="132" x14ac:dyDescent="0.3">
      <c r="A38" s="1"/>
      <c r="B38" s="2"/>
      <c r="C38" s="8" t="s">
        <v>36</v>
      </c>
      <c r="D38" s="4"/>
      <c r="E38" s="2"/>
      <c r="F38" s="2"/>
      <c r="G38" s="2"/>
      <c r="H38" s="23" t="s">
        <v>37</v>
      </c>
    </row>
    <row r="39" spans="1:8" x14ac:dyDescent="0.3">
      <c r="A39" s="1"/>
      <c r="B39" s="2"/>
      <c r="C39" s="3"/>
      <c r="D39" s="4"/>
      <c r="E39" s="2"/>
      <c r="F39" s="2"/>
      <c r="G39" s="2"/>
      <c r="H39" s="2"/>
    </row>
    <row r="40" spans="1:8" x14ac:dyDescent="0.3">
      <c r="A40" s="1"/>
      <c r="B40" s="24" t="s">
        <v>38</v>
      </c>
      <c r="C40" s="46" t="s">
        <v>39</v>
      </c>
      <c r="D40" s="47"/>
      <c r="E40" s="48"/>
      <c r="F40" s="48"/>
      <c r="G40" s="48"/>
      <c r="H40" s="2"/>
    </row>
    <row r="41" spans="1:8" x14ac:dyDescent="0.3">
      <c r="A41" s="1"/>
      <c r="B41" s="2"/>
      <c r="C41" s="3"/>
      <c r="D41" s="4"/>
      <c r="E41" s="2"/>
      <c r="F41" s="2"/>
      <c r="G41" s="2"/>
      <c r="H41" s="2"/>
    </row>
    <row r="42" spans="1:8" x14ac:dyDescent="0.3">
      <c r="A42" s="1"/>
      <c r="B42" s="27" t="s">
        <v>40</v>
      </c>
      <c r="C42" s="49" t="s">
        <v>41</v>
      </c>
      <c r="D42" s="50"/>
      <c r="E42" s="51"/>
      <c r="F42" s="51"/>
      <c r="G42" s="51"/>
      <c r="H42" s="2"/>
    </row>
    <row r="43" spans="1:8" x14ac:dyDescent="0.3">
      <c r="A43" s="1"/>
      <c r="B43" s="2"/>
      <c r="C43" s="3"/>
      <c r="D43" s="4"/>
      <c r="E43" s="2"/>
      <c r="F43" s="2"/>
      <c r="G43" s="2"/>
      <c r="H43" s="2"/>
    </row>
    <row r="44" spans="1:8" x14ac:dyDescent="0.3">
      <c r="A44" s="1"/>
      <c r="B44" s="27"/>
      <c r="C44" s="28" t="s">
        <v>2</v>
      </c>
      <c r="D44" s="29"/>
      <c r="E44" s="27"/>
      <c r="F44" s="27"/>
      <c r="G44" s="27"/>
      <c r="H44" s="2"/>
    </row>
    <row r="45" spans="1:8" x14ac:dyDescent="0.3">
      <c r="A45" s="1"/>
      <c r="B45" s="2"/>
      <c r="C45" s="3"/>
      <c r="D45" s="4"/>
      <c r="E45" s="2"/>
      <c r="F45" s="2"/>
      <c r="G45" s="2"/>
      <c r="H45" s="2"/>
    </row>
    <row r="46" spans="1:8" ht="168" x14ac:dyDescent="0.3">
      <c r="A46" s="1"/>
      <c r="B46" s="2"/>
      <c r="C46" s="8" t="s">
        <v>42</v>
      </c>
      <c r="D46" s="4"/>
      <c r="E46" s="2"/>
      <c r="F46" s="2"/>
      <c r="G46" s="2"/>
      <c r="H46" s="2"/>
    </row>
    <row r="47" spans="1:8" x14ac:dyDescent="0.3">
      <c r="A47" s="1"/>
      <c r="B47" s="2"/>
      <c r="C47" s="3"/>
      <c r="D47" s="4"/>
      <c r="E47" s="2"/>
      <c r="F47" s="2"/>
      <c r="G47" s="2"/>
      <c r="H47" s="2"/>
    </row>
    <row r="48" spans="1:8" x14ac:dyDescent="0.3">
      <c r="A48" s="1"/>
      <c r="B48" s="2"/>
      <c r="C48" s="3"/>
      <c r="D48" s="4"/>
      <c r="E48" s="2"/>
      <c r="F48" s="2"/>
      <c r="G48" s="2"/>
      <c r="H48" s="2"/>
    </row>
    <row r="49" spans="1:8" ht="96" x14ac:dyDescent="0.3">
      <c r="A49" s="1"/>
      <c r="B49" s="13" t="s">
        <v>43</v>
      </c>
      <c r="C49" s="8" t="s">
        <v>44</v>
      </c>
      <c r="D49" s="4"/>
      <c r="E49" s="2"/>
      <c r="F49" s="2"/>
      <c r="G49" s="2"/>
      <c r="H49" s="2"/>
    </row>
    <row r="50" spans="1:8" x14ac:dyDescent="0.3">
      <c r="A50" s="1"/>
      <c r="B50" s="2" t="s">
        <v>45</v>
      </c>
      <c r="C50" s="18" t="s">
        <v>28</v>
      </c>
      <c r="D50" s="4" t="s">
        <v>21</v>
      </c>
      <c r="E50" s="19">
        <v>1</v>
      </c>
      <c r="F50" s="39"/>
      <c r="G50" s="20" t="str">
        <f>IF(OR(OR(F50=0,F50=""),OR(E50=0,E50="")),"",$E50*F50)</f>
        <v/>
      </c>
      <c r="H50" s="21" t="s">
        <v>349</v>
      </c>
    </row>
    <row r="51" spans="1:8" x14ac:dyDescent="0.3">
      <c r="A51" s="1"/>
      <c r="B51" s="2"/>
      <c r="C51" s="3"/>
      <c r="D51" s="4"/>
      <c r="E51" s="2"/>
      <c r="F51" s="2"/>
      <c r="G51" s="2"/>
      <c r="H51" s="2"/>
    </row>
    <row r="52" spans="1:8" ht="72" x14ac:dyDescent="0.3">
      <c r="A52" s="1"/>
      <c r="B52" s="13" t="s">
        <v>46</v>
      </c>
      <c r="C52" s="8" t="s">
        <v>47</v>
      </c>
      <c r="D52" s="4"/>
      <c r="E52" s="2"/>
      <c r="F52" s="2"/>
      <c r="G52" s="2"/>
      <c r="H52" s="2"/>
    </row>
    <row r="53" spans="1:8" x14ac:dyDescent="0.3">
      <c r="A53" s="1"/>
      <c r="B53" s="2" t="s">
        <v>48</v>
      </c>
      <c r="C53" s="18" t="s">
        <v>28</v>
      </c>
      <c r="D53" s="4" t="s">
        <v>21</v>
      </c>
      <c r="E53" s="19">
        <v>1</v>
      </c>
      <c r="F53" s="39"/>
      <c r="G53" s="20" t="str">
        <f>IF(OR(OR(F53=0,F53=""),OR(E53=0,E53="")),"",$E53*F53)</f>
        <v/>
      </c>
      <c r="H53" s="21" t="s">
        <v>349</v>
      </c>
    </row>
    <row r="54" spans="1:8" x14ac:dyDescent="0.3">
      <c r="A54" s="1"/>
      <c r="B54" s="2"/>
      <c r="C54" s="3"/>
      <c r="D54" s="4"/>
      <c r="E54" s="2"/>
      <c r="F54" s="2"/>
      <c r="G54" s="2"/>
      <c r="H54" s="2"/>
    </row>
    <row r="55" spans="1:8" ht="72" x14ac:dyDescent="0.3">
      <c r="A55" s="1"/>
      <c r="B55" s="13" t="s">
        <v>49</v>
      </c>
      <c r="C55" s="8" t="s">
        <v>50</v>
      </c>
      <c r="D55" s="4"/>
      <c r="E55" s="2"/>
      <c r="F55" s="2"/>
      <c r="G55" s="2"/>
      <c r="H55" s="2"/>
    </row>
    <row r="56" spans="1:8" x14ac:dyDescent="0.3">
      <c r="A56" s="1"/>
      <c r="B56" s="2" t="s">
        <v>51</v>
      </c>
      <c r="C56" s="18" t="s">
        <v>28</v>
      </c>
      <c r="D56" s="4" t="s">
        <v>21</v>
      </c>
      <c r="E56" s="19">
        <v>1</v>
      </c>
      <c r="F56" s="39"/>
      <c r="G56" s="20" t="str">
        <f>IF(OR(OR(F56=0,F56=""),OR(E56=0,E56="")),"",$E56*F56)</f>
        <v/>
      </c>
      <c r="H56" s="21" t="s">
        <v>349</v>
      </c>
    </row>
    <row r="57" spans="1:8" x14ac:dyDescent="0.3">
      <c r="A57" s="1"/>
      <c r="B57" s="2"/>
      <c r="C57" s="3"/>
      <c r="D57" s="4"/>
      <c r="E57" s="2"/>
      <c r="F57" s="2"/>
      <c r="G57" s="2"/>
      <c r="H57" s="2"/>
    </row>
    <row r="58" spans="1:8" ht="192" x14ac:dyDescent="0.3">
      <c r="A58" s="1"/>
      <c r="B58" s="13" t="s">
        <v>52</v>
      </c>
      <c r="C58" s="8" t="s">
        <v>53</v>
      </c>
      <c r="D58" s="4"/>
      <c r="E58" s="2"/>
      <c r="F58" s="2"/>
      <c r="G58" s="2"/>
      <c r="H58" s="2"/>
    </row>
    <row r="59" spans="1:8" x14ac:dyDescent="0.3">
      <c r="A59" s="1"/>
      <c r="B59" s="2" t="s">
        <v>54</v>
      </c>
      <c r="C59" s="18" t="s">
        <v>55</v>
      </c>
      <c r="D59" s="4" t="s">
        <v>56</v>
      </c>
      <c r="E59" s="19">
        <v>322</v>
      </c>
      <c r="F59" s="20">
        <v>5</v>
      </c>
      <c r="G59" s="20">
        <f t="shared" ref="G59:G61" si="2">IF(OR(OR(F59=0,F59=""),OR(E59=0,E59="")),"",$E59*F59)</f>
        <v>1610</v>
      </c>
      <c r="H59" s="21"/>
    </row>
    <row r="60" spans="1:8" x14ac:dyDescent="0.3">
      <c r="A60" s="1"/>
      <c r="B60" s="2" t="s">
        <v>57</v>
      </c>
      <c r="C60" s="18" t="s">
        <v>58</v>
      </c>
      <c r="D60" s="4" t="s">
        <v>56</v>
      </c>
      <c r="E60" s="19">
        <v>15</v>
      </c>
      <c r="F60" s="20">
        <v>5</v>
      </c>
      <c r="G60" s="20">
        <f t="shared" si="2"/>
        <v>75</v>
      </c>
      <c r="H60" s="21"/>
    </row>
    <row r="61" spans="1:8" x14ac:dyDescent="0.3">
      <c r="A61" s="1"/>
      <c r="B61" s="2" t="s">
        <v>59</v>
      </c>
      <c r="C61" s="18" t="s">
        <v>60</v>
      </c>
      <c r="D61" s="4" t="s">
        <v>56</v>
      </c>
      <c r="E61" s="19">
        <v>102.95</v>
      </c>
      <c r="F61" s="20">
        <v>5</v>
      </c>
      <c r="G61" s="20">
        <f t="shared" si="2"/>
        <v>514.75</v>
      </c>
      <c r="H61" s="21"/>
    </row>
    <row r="62" spans="1:8" x14ac:dyDescent="0.3">
      <c r="A62" s="1"/>
      <c r="B62" s="2"/>
      <c r="C62" s="3"/>
      <c r="D62" s="4"/>
      <c r="E62" s="2"/>
      <c r="F62" s="30"/>
      <c r="G62" s="31">
        <f>SUM(G59:G61)</f>
        <v>2199.75</v>
      </c>
      <c r="H62" s="30"/>
    </row>
    <row r="63" spans="1:8" x14ac:dyDescent="0.3">
      <c r="A63" s="1"/>
      <c r="B63" s="2"/>
      <c r="C63" s="3"/>
      <c r="D63" s="4"/>
      <c r="E63" s="2"/>
      <c r="F63" s="2"/>
      <c r="G63" s="2"/>
      <c r="H63" s="2"/>
    </row>
    <row r="64" spans="1:8" ht="180" x14ac:dyDescent="0.3">
      <c r="A64" s="1"/>
      <c r="B64" s="13" t="s">
        <v>61</v>
      </c>
      <c r="C64" s="8" t="s">
        <v>62</v>
      </c>
      <c r="D64" s="4"/>
      <c r="E64" s="2"/>
      <c r="F64" s="2"/>
      <c r="G64" s="2"/>
      <c r="H64" s="2"/>
    </row>
    <row r="65" spans="1:8" x14ac:dyDescent="0.3">
      <c r="A65" s="1"/>
      <c r="B65" s="2" t="s">
        <v>63</v>
      </c>
      <c r="C65" s="18" t="s">
        <v>64</v>
      </c>
      <c r="D65" s="4" t="s">
        <v>56</v>
      </c>
      <c r="E65" s="19">
        <v>78</v>
      </c>
      <c r="F65" s="20">
        <v>5</v>
      </c>
      <c r="G65" s="20">
        <f t="shared" ref="G65:G68" si="3">IF(OR(OR(F65=0,F65=""),OR(E65=0,E65="")),"",$E65*F65)</f>
        <v>390</v>
      </c>
      <c r="H65" s="21"/>
    </row>
    <row r="66" spans="1:8" x14ac:dyDescent="0.3">
      <c r="A66" s="1"/>
      <c r="B66" s="2" t="s">
        <v>65</v>
      </c>
      <c r="C66" s="18" t="s">
        <v>66</v>
      </c>
      <c r="D66" s="4" t="s">
        <v>56</v>
      </c>
      <c r="E66" s="19">
        <v>29</v>
      </c>
      <c r="F66" s="20">
        <v>5</v>
      </c>
      <c r="G66" s="20">
        <f t="shared" si="3"/>
        <v>145</v>
      </c>
      <c r="H66" s="21"/>
    </row>
    <row r="67" spans="1:8" x14ac:dyDescent="0.3">
      <c r="A67" s="1"/>
      <c r="B67" s="2" t="s">
        <v>67</v>
      </c>
      <c r="C67" s="18" t="s">
        <v>68</v>
      </c>
      <c r="D67" s="4" t="s">
        <v>56</v>
      </c>
      <c r="E67" s="19">
        <v>3.5</v>
      </c>
      <c r="F67" s="20">
        <v>5</v>
      </c>
      <c r="G67" s="20">
        <f t="shared" si="3"/>
        <v>17.5</v>
      </c>
      <c r="H67" s="21"/>
    </row>
    <row r="68" spans="1:8" x14ac:dyDescent="0.3">
      <c r="A68" s="1"/>
      <c r="B68" s="2" t="s">
        <v>69</v>
      </c>
      <c r="C68" s="18" t="s">
        <v>60</v>
      </c>
      <c r="D68" s="4" t="s">
        <v>56</v>
      </c>
      <c r="E68" s="19">
        <v>66.47</v>
      </c>
      <c r="F68" s="20">
        <v>5</v>
      </c>
      <c r="G68" s="20">
        <f t="shared" si="3"/>
        <v>332.35</v>
      </c>
      <c r="H68" s="21"/>
    </row>
    <row r="69" spans="1:8" x14ac:dyDescent="0.3">
      <c r="A69" s="1"/>
      <c r="B69" s="2"/>
      <c r="C69" s="3"/>
      <c r="D69" s="4"/>
      <c r="E69" s="2"/>
      <c r="F69" s="30"/>
      <c r="G69" s="31">
        <f>SUM(G65:G68)</f>
        <v>884.85</v>
      </c>
      <c r="H69" s="30"/>
    </row>
    <row r="70" spans="1:8" x14ac:dyDescent="0.3">
      <c r="A70" s="1"/>
      <c r="B70" s="2"/>
      <c r="C70" s="3"/>
      <c r="D70" s="4"/>
      <c r="E70" s="2"/>
      <c r="F70" s="2"/>
      <c r="G70" s="2"/>
      <c r="H70" s="2"/>
    </row>
    <row r="71" spans="1:8" ht="120" x14ac:dyDescent="0.3">
      <c r="A71" s="1"/>
      <c r="B71" s="13" t="s">
        <v>70</v>
      </c>
      <c r="C71" s="8" t="s">
        <v>71</v>
      </c>
      <c r="D71" s="4"/>
      <c r="E71" s="2"/>
      <c r="F71" s="2"/>
      <c r="G71" s="2"/>
      <c r="H71" s="2"/>
    </row>
    <row r="72" spans="1:8" x14ac:dyDescent="0.3">
      <c r="A72" s="1"/>
      <c r="B72" s="2" t="s">
        <v>72</v>
      </c>
      <c r="C72" s="18" t="s">
        <v>28</v>
      </c>
      <c r="D72" s="4" t="s">
        <v>56</v>
      </c>
      <c r="E72" s="19">
        <v>337</v>
      </c>
      <c r="F72" s="20">
        <v>10.5</v>
      </c>
      <c r="G72" s="20">
        <f>IF(OR(OR(F72=0,F72=""),OR(E72=0,E72="")),"",$E72*F72)</f>
        <v>3538.5</v>
      </c>
      <c r="H72" s="21"/>
    </row>
    <row r="73" spans="1:8" x14ac:dyDescent="0.3">
      <c r="A73" s="1"/>
      <c r="B73" s="2"/>
      <c r="C73" s="3"/>
      <c r="D73" s="4"/>
      <c r="E73" s="2"/>
      <c r="F73" s="2"/>
      <c r="G73" s="2"/>
      <c r="H73" s="2"/>
    </row>
    <row r="74" spans="1:8" ht="108" x14ac:dyDescent="0.3">
      <c r="A74" s="1"/>
      <c r="B74" s="13" t="s">
        <v>73</v>
      </c>
      <c r="C74" s="8" t="s">
        <v>74</v>
      </c>
      <c r="D74" s="4"/>
      <c r="E74" s="2"/>
      <c r="F74" s="2"/>
      <c r="G74" s="2"/>
      <c r="H74" s="2"/>
    </row>
    <row r="75" spans="1:8" x14ac:dyDescent="0.3">
      <c r="A75" s="1"/>
      <c r="B75" s="2" t="s">
        <v>75</v>
      </c>
      <c r="C75" s="18" t="s">
        <v>28</v>
      </c>
      <c r="D75" s="4" t="s">
        <v>56</v>
      </c>
      <c r="E75" s="19">
        <v>110.5</v>
      </c>
      <c r="F75" s="20">
        <v>10.5</v>
      </c>
      <c r="G75" s="20">
        <f>IF(OR(OR(F75=0,F75=""),OR(E75=0,E75="")),"",$E75*F75)</f>
        <v>1160.25</v>
      </c>
      <c r="H75" s="21"/>
    </row>
    <row r="76" spans="1:8" x14ac:dyDescent="0.3">
      <c r="A76" s="1"/>
      <c r="B76" s="2"/>
      <c r="C76" s="3"/>
      <c r="D76" s="4"/>
      <c r="E76" s="2"/>
      <c r="F76" s="2"/>
      <c r="G76" s="2"/>
      <c r="H76" s="2"/>
    </row>
    <row r="77" spans="1:8" ht="108" x14ac:dyDescent="0.3">
      <c r="A77" s="1"/>
      <c r="B77" s="13" t="s">
        <v>76</v>
      </c>
      <c r="C77" s="8" t="s">
        <v>77</v>
      </c>
      <c r="D77" s="4"/>
      <c r="E77" s="2"/>
      <c r="F77" s="2"/>
      <c r="G77" s="2"/>
      <c r="H77" s="2"/>
    </row>
    <row r="78" spans="1:8" x14ac:dyDescent="0.3">
      <c r="A78" s="1"/>
      <c r="B78" s="2" t="s">
        <v>78</v>
      </c>
      <c r="C78" s="18" t="s">
        <v>28</v>
      </c>
      <c r="D78" s="4" t="s">
        <v>56</v>
      </c>
      <c r="E78" s="19">
        <v>10</v>
      </c>
      <c r="F78" s="20">
        <v>10.5</v>
      </c>
      <c r="G78" s="20">
        <f>IF(OR(OR(F78=0,F78=""),OR(E78=0,E78="")),"",$E78*F78)</f>
        <v>105</v>
      </c>
      <c r="H78" s="21"/>
    </row>
    <row r="79" spans="1:8" x14ac:dyDescent="0.3">
      <c r="A79" s="1"/>
      <c r="B79" s="2"/>
      <c r="C79" s="3"/>
      <c r="D79" s="4"/>
      <c r="E79" s="2"/>
      <c r="F79" s="2"/>
      <c r="G79" s="2"/>
      <c r="H79" s="2"/>
    </row>
    <row r="80" spans="1:8" ht="168" x14ac:dyDescent="0.3">
      <c r="A80" s="1"/>
      <c r="B80" s="13" t="s">
        <v>79</v>
      </c>
      <c r="C80" s="8" t="s">
        <v>80</v>
      </c>
      <c r="D80" s="4"/>
      <c r="E80" s="2"/>
      <c r="F80" s="2"/>
      <c r="G80" s="2"/>
      <c r="H80" s="2"/>
    </row>
    <row r="81" spans="1:8" ht="24.6" x14ac:dyDescent="0.3">
      <c r="A81" s="1"/>
      <c r="B81" s="2" t="s">
        <v>81</v>
      </c>
      <c r="C81" s="18" t="s">
        <v>82</v>
      </c>
      <c r="D81" s="4" t="s">
        <v>56</v>
      </c>
      <c r="E81" s="19">
        <v>32.5</v>
      </c>
      <c r="F81" s="20">
        <v>88.32</v>
      </c>
      <c r="G81" s="20">
        <f>IF(OR(OR(F81=0,F81=""),OR(E81=0,E81="")),"",$E81*F81)</f>
        <v>2870.3999999999996</v>
      </c>
      <c r="H81" s="21"/>
    </row>
    <row r="82" spans="1:8" x14ac:dyDescent="0.3">
      <c r="A82" s="1"/>
      <c r="B82" s="2"/>
      <c r="C82" s="3"/>
      <c r="D82" s="4"/>
      <c r="E82" s="2"/>
      <c r="F82" s="2"/>
      <c r="G82" s="2"/>
      <c r="H82" s="2"/>
    </row>
    <row r="83" spans="1:8" ht="216" x14ac:dyDescent="0.3">
      <c r="A83" s="1"/>
      <c r="B83" s="13" t="s">
        <v>83</v>
      </c>
      <c r="C83" s="8" t="s">
        <v>84</v>
      </c>
      <c r="D83" s="4"/>
      <c r="E83" s="2"/>
      <c r="F83" s="2"/>
      <c r="G83" s="2"/>
      <c r="H83" s="2"/>
    </row>
    <row r="84" spans="1:8" x14ac:dyDescent="0.3">
      <c r="A84" s="1"/>
      <c r="B84" s="2" t="s">
        <v>85</v>
      </c>
      <c r="C84" s="18" t="s">
        <v>28</v>
      </c>
      <c r="D84" s="4" t="s">
        <v>56</v>
      </c>
      <c r="E84" s="19">
        <v>10.3</v>
      </c>
      <c r="F84" s="20">
        <v>126.72</v>
      </c>
      <c r="G84" s="20">
        <f>IF(OR(OR(F84=0,F84=""),OR(E84=0,E84="")),"",$E84*F84)</f>
        <v>1305.2160000000001</v>
      </c>
      <c r="H84" s="21"/>
    </row>
    <row r="85" spans="1:8" x14ac:dyDescent="0.3">
      <c r="A85" s="1"/>
      <c r="B85" s="2"/>
      <c r="C85" s="3"/>
      <c r="D85" s="4"/>
      <c r="E85" s="2"/>
      <c r="F85" s="2"/>
      <c r="G85" s="2"/>
      <c r="H85" s="2"/>
    </row>
    <row r="86" spans="1:8" ht="216" x14ac:dyDescent="0.3">
      <c r="A86" s="1"/>
      <c r="B86" s="13" t="s">
        <v>86</v>
      </c>
      <c r="C86" s="8" t="s">
        <v>87</v>
      </c>
      <c r="D86" s="4"/>
      <c r="E86" s="2"/>
      <c r="F86" s="2"/>
      <c r="G86" s="2"/>
      <c r="H86" s="2"/>
    </row>
    <row r="87" spans="1:8" x14ac:dyDescent="0.3">
      <c r="A87" s="1"/>
      <c r="B87" s="2" t="s">
        <v>88</v>
      </c>
      <c r="C87" s="18" t="s">
        <v>28</v>
      </c>
      <c r="D87" s="4" t="s">
        <v>89</v>
      </c>
      <c r="E87" s="19">
        <v>15.24</v>
      </c>
      <c r="F87" s="20">
        <v>126.72</v>
      </c>
      <c r="G87" s="20">
        <f>IF(OR(OR(F87=0,F87=""),OR(E87=0,E87="")),"",$E87*F87)</f>
        <v>1931.2128</v>
      </c>
      <c r="H87" s="21"/>
    </row>
    <row r="88" spans="1:8" x14ac:dyDescent="0.3">
      <c r="A88" s="1"/>
      <c r="B88" s="2"/>
      <c r="C88" s="3"/>
      <c r="D88" s="4"/>
      <c r="E88" s="2"/>
      <c r="F88" s="2"/>
      <c r="G88" s="2"/>
      <c r="H88" s="2"/>
    </row>
    <row r="89" spans="1:8" ht="216" x14ac:dyDescent="0.3">
      <c r="A89" s="1"/>
      <c r="B89" s="13" t="s">
        <v>90</v>
      </c>
      <c r="C89" s="8" t="s">
        <v>91</v>
      </c>
      <c r="D89" s="4"/>
      <c r="E89" s="2"/>
      <c r="F89" s="2"/>
      <c r="G89" s="2"/>
      <c r="H89" s="2"/>
    </row>
    <row r="90" spans="1:8" x14ac:dyDescent="0.3">
      <c r="A90" s="1"/>
      <c r="B90" s="2" t="s">
        <v>92</v>
      </c>
      <c r="C90" s="18" t="s">
        <v>28</v>
      </c>
      <c r="D90" s="4" t="s">
        <v>89</v>
      </c>
      <c r="E90" s="19">
        <v>15.45</v>
      </c>
      <c r="F90" s="20">
        <v>126.72</v>
      </c>
      <c r="G90" s="20">
        <f>IF(OR(OR(F90=0,F90=""),OR(E90=0,E90="")),"",$E90*F90)</f>
        <v>1957.8239999999998</v>
      </c>
      <c r="H90" s="21"/>
    </row>
    <row r="91" spans="1:8" x14ac:dyDescent="0.3">
      <c r="A91" s="1"/>
      <c r="B91" s="2"/>
      <c r="C91" s="3"/>
      <c r="D91" s="4"/>
      <c r="E91" s="2"/>
      <c r="F91" s="2"/>
      <c r="G91" s="2"/>
      <c r="H91" s="2"/>
    </row>
    <row r="92" spans="1:8" ht="192" x14ac:dyDescent="0.3">
      <c r="A92" s="1"/>
      <c r="B92" s="13" t="s">
        <v>93</v>
      </c>
      <c r="C92" s="8" t="s">
        <v>94</v>
      </c>
      <c r="D92" s="4"/>
      <c r="E92" s="2"/>
      <c r="F92" s="2"/>
      <c r="G92" s="2"/>
      <c r="H92" s="2"/>
    </row>
    <row r="93" spans="1:8" x14ac:dyDescent="0.3">
      <c r="A93" s="1"/>
      <c r="B93" s="2" t="s">
        <v>95</v>
      </c>
      <c r="C93" s="18" t="s">
        <v>28</v>
      </c>
      <c r="D93" s="4" t="s">
        <v>56</v>
      </c>
      <c r="E93" s="19">
        <v>11.95</v>
      </c>
      <c r="F93" s="20">
        <v>126.72</v>
      </c>
      <c r="G93" s="20">
        <f>IF(OR(OR(F93=0,F93=""),OR(E93=0,E93="")),"",$E93*F93)</f>
        <v>1514.3039999999999</v>
      </c>
      <c r="H93" s="21"/>
    </row>
    <row r="94" spans="1:8" x14ac:dyDescent="0.3">
      <c r="A94" s="1"/>
      <c r="B94" s="2"/>
      <c r="C94" s="3"/>
      <c r="D94" s="4"/>
      <c r="E94" s="2"/>
      <c r="F94" s="2"/>
      <c r="G94" s="2"/>
      <c r="H94" s="2"/>
    </row>
    <row r="95" spans="1:8" ht="204" x14ac:dyDescent="0.3">
      <c r="A95" s="1"/>
      <c r="B95" s="13" t="s">
        <v>96</v>
      </c>
      <c r="C95" s="8" t="s">
        <v>97</v>
      </c>
      <c r="D95" s="4"/>
      <c r="E95" s="2"/>
      <c r="F95" s="2"/>
      <c r="G95" s="2"/>
      <c r="H95" s="2"/>
    </row>
    <row r="96" spans="1:8" x14ac:dyDescent="0.3">
      <c r="A96" s="1"/>
      <c r="B96" s="2" t="s">
        <v>98</v>
      </c>
      <c r="C96" s="18" t="s">
        <v>28</v>
      </c>
      <c r="D96" s="4" t="s">
        <v>56</v>
      </c>
      <c r="E96" s="19">
        <v>5.2</v>
      </c>
      <c r="F96" s="20">
        <v>126.72</v>
      </c>
      <c r="G96" s="20">
        <f>IF(OR(OR(F96=0,F96=""),OR(E96=0,E96="")),"",$E96*F96)</f>
        <v>658.94399999999996</v>
      </c>
      <c r="H96" s="21"/>
    </row>
    <row r="97" spans="1:8" x14ac:dyDescent="0.3">
      <c r="A97" s="1"/>
      <c r="B97" s="2"/>
      <c r="C97" s="3"/>
      <c r="D97" s="4"/>
      <c r="E97" s="2"/>
      <c r="F97" s="2"/>
      <c r="G97" s="2"/>
      <c r="H97" s="2"/>
    </row>
    <row r="98" spans="1:8" ht="204" x14ac:dyDescent="0.3">
      <c r="A98" s="1"/>
      <c r="B98" s="13" t="s">
        <v>99</v>
      </c>
      <c r="C98" s="8" t="s">
        <v>100</v>
      </c>
      <c r="D98" s="4"/>
      <c r="E98" s="2"/>
      <c r="F98" s="2"/>
      <c r="G98" s="2"/>
      <c r="H98" s="2"/>
    </row>
    <row r="99" spans="1:8" x14ac:dyDescent="0.3">
      <c r="A99" s="1"/>
      <c r="B99" s="2" t="s">
        <v>101</v>
      </c>
      <c r="C99" s="18" t="s">
        <v>28</v>
      </c>
      <c r="D99" s="4" t="s">
        <v>56</v>
      </c>
      <c r="E99" s="19">
        <v>13.43</v>
      </c>
      <c r="F99" s="20">
        <v>126.72</v>
      </c>
      <c r="G99" s="20">
        <f>IF(OR(OR(F99=0,F99=""),OR(E99=0,E99="")),"",$E99*F99)</f>
        <v>1701.8496</v>
      </c>
      <c r="H99" s="21"/>
    </row>
    <row r="100" spans="1:8" x14ac:dyDescent="0.3">
      <c r="A100" s="1"/>
      <c r="B100" s="2"/>
      <c r="C100" s="3"/>
      <c r="D100" s="4"/>
      <c r="E100" s="2"/>
      <c r="F100" s="2"/>
      <c r="G100" s="2"/>
      <c r="H100" s="2"/>
    </row>
    <row r="101" spans="1:8" ht="204" x14ac:dyDescent="0.3">
      <c r="A101" s="1"/>
      <c r="B101" s="13" t="s">
        <v>102</v>
      </c>
      <c r="C101" s="8" t="s">
        <v>103</v>
      </c>
      <c r="D101" s="4"/>
      <c r="E101" s="2"/>
      <c r="F101" s="2"/>
      <c r="G101" s="2"/>
      <c r="H101" s="2"/>
    </row>
    <row r="102" spans="1:8" x14ac:dyDescent="0.3">
      <c r="A102" s="1"/>
      <c r="B102" s="2" t="s">
        <v>104</v>
      </c>
      <c r="C102" s="18" t="s">
        <v>28</v>
      </c>
      <c r="D102" s="4" t="s">
        <v>105</v>
      </c>
      <c r="E102" s="19">
        <v>8.81</v>
      </c>
      <c r="F102" s="20">
        <v>126.72</v>
      </c>
      <c r="G102" s="20">
        <f>IF(OR(OR(F102=0,F102=""),OR(E102=0,E102="")),"",$E102*F102)</f>
        <v>1116.4032</v>
      </c>
      <c r="H102" s="21"/>
    </row>
    <row r="103" spans="1:8" x14ac:dyDescent="0.3">
      <c r="A103" s="1"/>
      <c r="B103" s="2"/>
      <c r="C103" s="3"/>
      <c r="D103" s="4"/>
      <c r="E103" s="2"/>
      <c r="F103" s="2"/>
      <c r="G103" s="2"/>
      <c r="H103" s="2"/>
    </row>
    <row r="104" spans="1:8" ht="108" x14ac:dyDescent="0.3">
      <c r="A104" s="1"/>
      <c r="B104" s="13" t="s">
        <v>106</v>
      </c>
      <c r="C104" s="8" t="s">
        <v>107</v>
      </c>
      <c r="D104" s="4"/>
      <c r="E104" s="2"/>
      <c r="F104" s="2"/>
      <c r="G104" s="2"/>
      <c r="H104" s="2"/>
    </row>
    <row r="105" spans="1:8" x14ac:dyDescent="0.3">
      <c r="A105" s="1"/>
      <c r="B105" s="2" t="s">
        <v>108</v>
      </c>
      <c r="C105" s="18" t="s">
        <v>28</v>
      </c>
      <c r="D105" s="4" t="s">
        <v>56</v>
      </c>
      <c r="E105" s="19">
        <v>40.020000000000003</v>
      </c>
      <c r="F105" s="20">
        <v>31</v>
      </c>
      <c r="G105" s="20">
        <f>IF(OR(OR(F105=0,F105=""),OR(E105=0,E105="")),"",$E105*F105)</f>
        <v>1240.6200000000001</v>
      </c>
      <c r="H105" s="21"/>
    </row>
    <row r="106" spans="1:8" x14ac:dyDescent="0.3">
      <c r="A106" s="1"/>
      <c r="B106" s="2"/>
      <c r="C106" s="3"/>
      <c r="D106" s="4"/>
      <c r="E106" s="2"/>
      <c r="F106" s="2"/>
      <c r="G106" s="2"/>
      <c r="H106" s="2"/>
    </row>
    <row r="107" spans="1:8" ht="120" x14ac:dyDescent="0.3">
      <c r="A107" s="1"/>
      <c r="B107" s="13" t="s">
        <v>109</v>
      </c>
      <c r="C107" s="8" t="s">
        <v>110</v>
      </c>
      <c r="D107" s="4"/>
      <c r="E107" s="2"/>
      <c r="F107" s="2"/>
      <c r="G107" s="2"/>
      <c r="H107" s="2"/>
    </row>
    <row r="108" spans="1:8" x14ac:dyDescent="0.3">
      <c r="A108" s="1"/>
      <c r="B108" s="2" t="s">
        <v>111</v>
      </c>
      <c r="C108" s="18" t="s">
        <v>28</v>
      </c>
      <c r="D108" s="4" t="s">
        <v>56</v>
      </c>
      <c r="E108" s="19">
        <v>62.96</v>
      </c>
      <c r="F108" s="20">
        <v>49</v>
      </c>
      <c r="G108" s="20">
        <f>IF(OR(OR(F108=0,F108=""),OR(E108=0,E108="")),"",$E108*F108)</f>
        <v>3085.04</v>
      </c>
      <c r="H108" s="21"/>
    </row>
    <row r="109" spans="1:8" x14ac:dyDescent="0.3">
      <c r="A109" s="1"/>
      <c r="B109" s="2"/>
      <c r="C109" s="3"/>
      <c r="D109" s="4"/>
      <c r="E109" s="2"/>
      <c r="F109" s="2"/>
      <c r="G109" s="2"/>
      <c r="H109" s="2"/>
    </row>
    <row r="110" spans="1:8" ht="96" x14ac:dyDescent="0.3">
      <c r="A110" s="1"/>
      <c r="B110" s="13" t="s">
        <v>112</v>
      </c>
      <c r="C110" s="8" t="s">
        <v>113</v>
      </c>
      <c r="D110" s="4"/>
      <c r="E110" s="2"/>
      <c r="F110" s="2"/>
      <c r="G110" s="2"/>
      <c r="H110" s="2"/>
    </row>
    <row r="111" spans="1:8" x14ac:dyDescent="0.3">
      <c r="A111" s="1"/>
      <c r="B111" s="2" t="s">
        <v>114</v>
      </c>
      <c r="C111" s="18" t="s">
        <v>28</v>
      </c>
      <c r="D111" s="4" t="s">
        <v>56</v>
      </c>
      <c r="E111" s="19">
        <v>15.05</v>
      </c>
      <c r="F111" s="20">
        <v>49</v>
      </c>
      <c r="G111" s="20">
        <f>IF(OR(OR(F111=0,F111=""),OR(E111=0,E111="")),"",$E111*F111)</f>
        <v>737.45</v>
      </c>
      <c r="H111" s="21"/>
    </row>
    <row r="112" spans="1:8" x14ac:dyDescent="0.3">
      <c r="A112" s="1"/>
      <c r="B112" s="2"/>
      <c r="C112" s="3"/>
      <c r="D112" s="4"/>
      <c r="E112" s="2"/>
      <c r="F112" s="2"/>
      <c r="G112" s="2"/>
      <c r="H112" s="2"/>
    </row>
    <row r="113" spans="1:8" ht="96" x14ac:dyDescent="0.3">
      <c r="A113" s="1"/>
      <c r="B113" s="13" t="s">
        <v>115</v>
      </c>
      <c r="C113" s="8" t="s">
        <v>116</v>
      </c>
      <c r="D113" s="4"/>
      <c r="E113" s="2"/>
      <c r="F113" s="2"/>
      <c r="G113" s="2"/>
      <c r="H113" s="2"/>
    </row>
    <row r="114" spans="1:8" x14ac:dyDescent="0.3">
      <c r="A114" s="1"/>
      <c r="B114" s="2" t="s">
        <v>117</v>
      </c>
      <c r="C114" s="18" t="s">
        <v>28</v>
      </c>
      <c r="D114" s="4" t="s">
        <v>105</v>
      </c>
      <c r="E114" s="19">
        <v>35.94</v>
      </c>
      <c r="F114" s="20">
        <v>98</v>
      </c>
      <c r="G114" s="20">
        <f>IF(OR(OR(F114=0,F114=""),OR(E114=0,E114="")),"",$E114*F114)</f>
        <v>3522.12</v>
      </c>
      <c r="H114" s="21"/>
    </row>
    <row r="115" spans="1:8" x14ac:dyDescent="0.3">
      <c r="A115" s="1"/>
      <c r="B115" s="2"/>
      <c r="C115" s="3"/>
      <c r="D115" s="4"/>
      <c r="E115" s="2"/>
      <c r="F115" s="2"/>
      <c r="G115" s="2"/>
      <c r="H115" s="2"/>
    </row>
    <row r="116" spans="1:8" ht="96" x14ac:dyDescent="0.3">
      <c r="A116" s="1"/>
      <c r="B116" s="13" t="s">
        <v>118</v>
      </c>
      <c r="C116" s="8" t="s">
        <v>119</v>
      </c>
      <c r="D116" s="4"/>
      <c r="E116" s="2"/>
      <c r="F116" s="2"/>
      <c r="G116" s="2"/>
      <c r="H116" s="2"/>
    </row>
    <row r="117" spans="1:8" x14ac:dyDescent="0.3">
      <c r="A117" s="1"/>
      <c r="B117" s="2" t="s">
        <v>120</v>
      </c>
      <c r="C117" s="18" t="s">
        <v>28</v>
      </c>
      <c r="D117" s="4" t="s">
        <v>105</v>
      </c>
      <c r="E117" s="19">
        <v>79.040000000000006</v>
      </c>
      <c r="F117" s="20">
        <v>108.8</v>
      </c>
      <c r="G117" s="20">
        <f>IF(OR(OR(F117=0,F117=""),OR(E117=0,E117="")),"",$E117*F117)</f>
        <v>8599.5519999999997</v>
      </c>
      <c r="H117" s="21"/>
    </row>
    <row r="118" spans="1:8" x14ac:dyDescent="0.3">
      <c r="A118" s="1"/>
      <c r="B118" s="2"/>
      <c r="C118" s="3"/>
      <c r="D118" s="4"/>
      <c r="E118" s="2"/>
      <c r="F118" s="2"/>
      <c r="G118" s="2"/>
      <c r="H118" s="2"/>
    </row>
    <row r="119" spans="1:8" ht="108" x14ac:dyDescent="0.3">
      <c r="A119" s="1"/>
      <c r="B119" s="13" t="s">
        <v>121</v>
      </c>
      <c r="C119" s="8" t="s">
        <v>122</v>
      </c>
      <c r="D119" s="4"/>
      <c r="E119" s="2"/>
      <c r="F119" s="2"/>
      <c r="G119" s="2"/>
      <c r="H119" s="2"/>
    </row>
    <row r="120" spans="1:8" x14ac:dyDescent="0.3">
      <c r="A120" s="1"/>
      <c r="B120" s="2" t="s">
        <v>123</v>
      </c>
      <c r="C120" s="18" t="s">
        <v>28</v>
      </c>
      <c r="D120" s="4" t="s">
        <v>105</v>
      </c>
      <c r="E120" s="19">
        <v>3.5</v>
      </c>
      <c r="F120" s="20">
        <v>194</v>
      </c>
      <c r="G120" s="20">
        <f>IF(OR(OR(F120=0,F120=""),OR(E120=0,E120="")),"",$E120*F120)</f>
        <v>679</v>
      </c>
      <c r="H120" s="21"/>
    </row>
    <row r="121" spans="1:8" x14ac:dyDescent="0.3">
      <c r="A121" s="1"/>
      <c r="B121" s="2"/>
      <c r="C121" s="3"/>
      <c r="D121" s="4"/>
      <c r="E121" s="2"/>
      <c r="F121" s="2"/>
      <c r="G121" s="2"/>
      <c r="H121" s="2"/>
    </row>
    <row r="122" spans="1:8" ht="120" x14ac:dyDescent="0.3">
      <c r="A122" s="1"/>
      <c r="B122" s="13" t="s">
        <v>124</v>
      </c>
      <c r="C122" s="8" t="s">
        <v>125</v>
      </c>
      <c r="D122" s="4"/>
      <c r="E122" s="2"/>
      <c r="F122" s="2"/>
      <c r="G122" s="2"/>
      <c r="H122" s="2"/>
    </row>
    <row r="123" spans="1:8" x14ac:dyDescent="0.3">
      <c r="A123" s="1"/>
      <c r="B123" s="2" t="s">
        <v>126</v>
      </c>
      <c r="C123" s="18" t="s">
        <v>28</v>
      </c>
      <c r="D123" s="4" t="s">
        <v>105</v>
      </c>
      <c r="E123" s="19">
        <v>1.71</v>
      </c>
      <c r="F123" s="20">
        <v>194</v>
      </c>
      <c r="G123" s="20">
        <f>IF(OR(OR(F123=0,F123=""),OR(E123=0,E123="")),"",$E123*F123)</f>
        <v>331.74</v>
      </c>
      <c r="H123" s="21"/>
    </row>
    <row r="124" spans="1:8" x14ac:dyDescent="0.3">
      <c r="A124" s="1"/>
      <c r="B124" s="2"/>
      <c r="C124" s="3"/>
      <c r="D124" s="4"/>
      <c r="E124" s="2"/>
      <c r="F124" s="2"/>
      <c r="G124" s="2"/>
      <c r="H124" s="2"/>
    </row>
    <row r="125" spans="1:8" ht="120" x14ac:dyDescent="0.3">
      <c r="A125" s="1"/>
      <c r="B125" s="13" t="s">
        <v>127</v>
      </c>
      <c r="C125" s="8" t="s">
        <v>128</v>
      </c>
      <c r="D125" s="4"/>
      <c r="E125" s="2"/>
      <c r="F125" s="2"/>
      <c r="G125" s="2"/>
      <c r="H125" s="2"/>
    </row>
    <row r="126" spans="1:8" x14ac:dyDescent="0.3">
      <c r="A126" s="1"/>
      <c r="B126" s="2" t="s">
        <v>129</v>
      </c>
      <c r="C126" s="18" t="s">
        <v>28</v>
      </c>
      <c r="D126" s="4" t="s">
        <v>105</v>
      </c>
      <c r="E126" s="19">
        <v>0.61</v>
      </c>
      <c r="F126" s="20">
        <v>194</v>
      </c>
      <c r="G126" s="20">
        <f>IF(OR(OR(F126=0,F126=""),OR(E126=0,E126="")),"",$E126*F126)</f>
        <v>118.34</v>
      </c>
      <c r="H126" s="21"/>
    </row>
    <row r="127" spans="1:8" x14ac:dyDescent="0.3">
      <c r="A127" s="1"/>
      <c r="B127" s="2"/>
      <c r="C127" s="3"/>
      <c r="D127" s="4"/>
      <c r="E127" s="2"/>
      <c r="F127" s="2"/>
      <c r="G127" s="2"/>
      <c r="H127" s="2"/>
    </row>
    <row r="128" spans="1:8" ht="72" x14ac:dyDescent="0.3">
      <c r="A128" s="1"/>
      <c r="B128" s="13" t="s">
        <v>130</v>
      </c>
      <c r="C128" s="8" t="s">
        <v>131</v>
      </c>
      <c r="D128" s="4"/>
      <c r="E128" s="2"/>
      <c r="F128" s="2"/>
      <c r="G128" s="2"/>
      <c r="H128" s="2"/>
    </row>
    <row r="129" spans="1:8" x14ac:dyDescent="0.3">
      <c r="A129" s="1"/>
      <c r="B129" s="2" t="s">
        <v>132</v>
      </c>
      <c r="C129" s="18" t="s">
        <v>28</v>
      </c>
      <c r="D129" s="4" t="s">
        <v>105</v>
      </c>
      <c r="E129" s="19">
        <v>2.0299999999999998</v>
      </c>
      <c r="F129" s="20">
        <v>115</v>
      </c>
      <c r="G129" s="20">
        <f>IF(OR(OR(F129=0,F129=""),OR(E129=0,E129="")),"",$E129*F129)</f>
        <v>233.45</v>
      </c>
      <c r="H129" s="21"/>
    </row>
    <row r="130" spans="1:8" x14ac:dyDescent="0.3">
      <c r="A130" s="1"/>
      <c r="B130" s="2"/>
      <c r="C130" s="3"/>
      <c r="D130" s="4"/>
      <c r="E130" s="2"/>
      <c r="F130" s="2"/>
      <c r="G130" s="2"/>
      <c r="H130" s="2"/>
    </row>
    <row r="131" spans="1:8" ht="84" x14ac:dyDescent="0.3">
      <c r="A131" s="1"/>
      <c r="B131" s="13" t="s">
        <v>133</v>
      </c>
      <c r="C131" s="8" t="s">
        <v>134</v>
      </c>
      <c r="D131" s="4"/>
      <c r="E131" s="2"/>
      <c r="F131" s="2"/>
      <c r="G131" s="2"/>
      <c r="H131" s="32"/>
    </row>
    <row r="132" spans="1:8" x14ac:dyDescent="0.3">
      <c r="A132" s="1"/>
      <c r="B132" s="2" t="s">
        <v>135</v>
      </c>
      <c r="C132" s="18" t="s">
        <v>28</v>
      </c>
      <c r="D132" s="4" t="s">
        <v>105</v>
      </c>
      <c r="E132" s="19">
        <v>49.18</v>
      </c>
      <c r="F132" s="20">
        <v>89</v>
      </c>
      <c r="G132" s="20">
        <f>IF(OR(OR(F132=0,F132=""),OR(E132=0,E132="")),"",$E132*F132)</f>
        <v>4377.0199999999995</v>
      </c>
      <c r="H132" s="33"/>
    </row>
    <row r="133" spans="1:8" x14ac:dyDescent="0.3">
      <c r="A133" s="1"/>
      <c r="B133" s="2"/>
      <c r="C133" s="3"/>
      <c r="D133" s="4"/>
      <c r="E133" s="2"/>
      <c r="F133" s="2"/>
      <c r="G133" s="2"/>
      <c r="H133" s="32"/>
    </row>
    <row r="134" spans="1:8" ht="84" x14ac:dyDescent="0.3">
      <c r="A134" s="1"/>
      <c r="B134" s="13" t="s">
        <v>136</v>
      </c>
      <c r="C134" s="8" t="s">
        <v>137</v>
      </c>
      <c r="D134" s="4"/>
      <c r="E134" s="2"/>
      <c r="F134" s="2"/>
      <c r="G134" s="2"/>
      <c r="H134" s="32"/>
    </row>
    <row r="135" spans="1:8" x14ac:dyDescent="0.3">
      <c r="A135" s="1"/>
      <c r="B135" s="2" t="s">
        <v>138</v>
      </c>
      <c r="C135" s="18" t="s">
        <v>28</v>
      </c>
      <c r="D135" s="4" t="s">
        <v>89</v>
      </c>
      <c r="E135" s="19">
        <v>29.51</v>
      </c>
      <c r="F135" s="20">
        <v>53</v>
      </c>
      <c r="G135" s="20">
        <f>IF(OR(OR(F135=0,F135=""),OR(E135=0,E135="")),"",$E135*F135)</f>
        <v>1564.03</v>
      </c>
      <c r="H135" s="34"/>
    </row>
    <row r="136" spans="1:8" x14ac:dyDescent="0.3">
      <c r="A136" s="1"/>
      <c r="B136" s="2"/>
      <c r="C136" s="3"/>
      <c r="D136" s="4"/>
      <c r="E136" s="2"/>
      <c r="F136" s="2"/>
      <c r="G136" s="2"/>
      <c r="H136" s="32"/>
    </row>
    <row r="137" spans="1:8" ht="60" x14ac:dyDescent="0.3">
      <c r="A137" s="1"/>
      <c r="B137" s="13" t="s">
        <v>139</v>
      </c>
      <c r="C137" s="8" t="s">
        <v>140</v>
      </c>
      <c r="D137" s="4"/>
      <c r="E137" s="2"/>
      <c r="F137" s="2"/>
      <c r="G137" s="2"/>
      <c r="H137" s="32"/>
    </row>
    <row r="138" spans="1:8" x14ac:dyDescent="0.3">
      <c r="A138" s="1"/>
      <c r="B138" s="2" t="s">
        <v>141</v>
      </c>
      <c r="C138" s="18" t="s">
        <v>28</v>
      </c>
      <c r="D138" s="4" t="s">
        <v>105</v>
      </c>
      <c r="E138" s="19">
        <v>18.54</v>
      </c>
      <c r="F138" s="20">
        <v>89</v>
      </c>
      <c r="G138" s="20">
        <f>IF(OR(OR(F138=0,F138=""),OR(E138=0,E138="")),"",$E138*F138)</f>
        <v>1650.06</v>
      </c>
      <c r="H138" s="21"/>
    </row>
    <row r="139" spans="1:8" x14ac:dyDescent="0.3">
      <c r="A139" s="1"/>
      <c r="B139" s="2"/>
      <c r="C139" s="3"/>
      <c r="D139" s="4"/>
      <c r="E139" s="2"/>
      <c r="F139" s="2"/>
      <c r="G139" s="2"/>
      <c r="H139" s="2"/>
    </row>
    <row r="140" spans="1:8" ht="192" x14ac:dyDescent="0.3">
      <c r="A140" s="1"/>
      <c r="B140" s="13" t="s">
        <v>142</v>
      </c>
      <c r="C140" s="8" t="s">
        <v>143</v>
      </c>
      <c r="D140" s="4"/>
      <c r="E140" s="2"/>
      <c r="F140" s="2"/>
      <c r="G140" s="2"/>
      <c r="H140" s="2"/>
    </row>
    <row r="141" spans="1:8" x14ac:dyDescent="0.3">
      <c r="A141" s="1"/>
      <c r="B141" s="2" t="s">
        <v>144</v>
      </c>
      <c r="C141" s="18" t="s">
        <v>28</v>
      </c>
      <c r="D141" s="4" t="s">
        <v>105</v>
      </c>
      <c r="E141" s="19">
        <v>3.07</v>
      </c>
      <c r="F141" s="20">
        <v>97</v>
      </c>
      <c r="G141" s="20">
        <f>IF(OR(OR(F141=0,F141=""),OR(E141=0,E141="")),"",$E141*F141)</f>
        <v>297.78999999999996</v>
      </c>
      <c r="H141" s="21"/>
    </row>
    <row r="142" spans="1:8" x14ac:dyDescent="0.3">
      <c r="A142" s="1"/>
      <c r="B142" s="2"/>
      <c r="C142" s="3"/>
      <c r="D142" s="4"/>
      <c r="E142" s="2"/>
      <c r="F142" s="2"/>
      <c r="G142" s="2"/>
      <c r="H142" s="2"/>
    </row>
    <row r="143" spans="1:8" ht="72" x14ac:dyDescent="0.3">
      <c r="A143" s="1"/>
      <c r="B143" s="13" t="s">
        <v>145</v>
      </c>
      <c r="C143" s="8" t="s">
        <v>146</v>
      </c>
      <c r="D143" s="4"/>
      <c r="E143" s="2"/>
      <c r="F143" s="2"/>
      <c r="G143" s="2"/>
      <c r="H143" s="35"/>
    </row>
    <row r="144" spans="1:8" x14ac:dyDescent="0.3">
      <c r="A144" s="1"/>
      <c r="B144" s="2" t="s">
        <v>147</v>
      </c>
      <c r="C144" s="18" t="s">
        <v>28</v>
      </c>
      <c r="D144" s="4" t="s">
        <v>105</v>
      </c>
      <c r="E144" s="19">
        <v>19.93</v>
      </c>
      <c r="F144" s="20">
        <v>102.5</v>
      </c>
      <c r="G144" s="20">
        <f>IF(OR(OR(F144=0,F144=""),OR(E144=0,E144="")),"",$E144*F144)</f>
        <v>2042.825</v>
      </c>
      <c r="H144" s="21"/>
    </row>
    <row r="145" spans="1:8" x14ac:dyDescent="0.3">
      <c r="A145" s="1"/>
      <c r="B145" s="2"/>
      <c r="C145" s="3"/>
      <c r="D145" s="4"/>
      <c r="E145" s="2"/>
      <c r="F145" s="2"/>
      <c r="G145" s="2"/>
      <c r="H145" s="2"/>
    </row>
    <row r="146" spans="1:8" ht="48" x14ac:dyDescent="0.3">
      <c r="A146" s="1"/>
      <c r="B146" s="13" t="s">
        <v>148</v>
      </c>
      <c r="C146" s="8" t="s">
        <v>149</v>
      </c>
      <c r="D146" s="4"/>
      <c r="E146" s="2"/>
      <c r="F146" s="2"/>
      <c r="G146" s="2"/>
      <c r="H146" s="2"/>
    </row>
    <row r="147" spans="1:8" x14ac:dyDescent="0.3">
      <c r="A147" s="1"/>
      <c r="B147" s="2" t="s">
        <v>150</v>
      </c>
      <c r="C147" s="18" t="s">
        <v>28</v>
      </c>
      <c r="D147" s="4" t="s">
        <v>105</v>
      </c>
      <c r="E147" s="19">
        <v>1.02</v>
      </c>
      <c r="F147" s="20">
        <v>128</v>
      </c>
      <c r="G147" s="20">
        <f>IF(OR(OR(F147=0,F147=""),OR(E147=0,E147="")),"",$E147*F147)</f>
        <v>130.56</v>
      </c>
      <c r="H147" s="21"/>
    </row>
    <row r="148" spans="1:8" x14ac:dyDescent="0.3">
      <c r="A148" s="1"/>
      <c r="B148" s="2"/>
      <c r="C148" s="3"/>
      <c r="D148" s="4"/>
      <c r="E148" s="2"/>
      <c r="F148" s="2"/>
      <c r="G148" s="2"/>
      <c r="H148" s="2"/>
    </row>
    <row r="149" spans="1:8" ht="48" x14ac:dyDescent="0.3">
      <c r="A149" s="1"/>
      <c r="B149" s="13" t="s">
        <v>151</v>
      </c>
      <c r="C149" s="8" t="s">
        <v>152</v>
      </c>
      <c r="D149" s="4"/>
      <c r="E149" s="2"/>
      <c r="F149" s="2"/>
      <c r="G149" s="2"/>
      <c r="H149" s="35"/>
    </row>
    <row r="150" spans="1:8" x14ac:dyDescent="0.3">
      <c r="A150" s="1"/>
      <c r="B150" s="2" t="s">
        <v>153</v>
      </c>
      <c r="C150" s="18" t="s">
        <v>28</v>
      </c>
      <c r="D150" s="4" t="s">
        <v>105</v>
      </c>
      <c r="E150" s="19">
        <v>75.38</v>
      </c>
      <c r="F150" s="20">
        <v>95</v>
      </c>
      <c r="G150" s="20">
        <f>IF(OR(OR(F150=0,F150=""),OR(E150=0,E150="")),"",$E150*F150)</f>
        <v>7161.0999999999995</v>
      </c>
      <c r="H150" s="21"/>
    </row>
    <row r="151" spans="1:8" x14ac:dyDescent="0.3">
      <c r="A151" s="1"/>
      <c r="B151" s="2"/>
      <c r="C151" s="3"/>
      <c r="D151" s="4"/>
      <c r="E151" s="2"/>
      <c r="F151" s="2"/>
      <c r="G151" s="2"/>
      <c r="H151" s="2"/>
    </row>
    <row r="152" spans="1:8" x14ac:dyDescent="0.3">
      <c r="A152" s="1"/>
      <c r="B152" s="27" t="s">
        <v>40</v>
      </c>
      <c r="C152" s="49" t="s">
        <v>154</v>
      </c>
      <c r="D152" s="50"/>
      <c r="E152" s="51"/>
      <c r="F152" s="51"/>
      <c r="G152" s="36">
        <f>SUM(,G50,G53,G56,G62,G69,G72,G75,G78,G81,G84,G87,G90,G93,G96,G99,G102,G105,G108,G111,G114,G117,G120,G123,G126,G129,G132,G135,G138,G141,G144,G147,G150)</f>
        <v>56715.200599999982</v>
      </c>
      <c r="H152" s="36"/>
    </row>
    <row r="153" spans="1:8" x14ac:dyDescent="0.3">
      <c r="A153" s="1"/>
      <c r="B153" s="2"/>
      <c r="C153" s="3"/>
      <c r="D153" s="4"/>
      <c r="E153" s="2"/>
      <c r="F153" s="2"/>
      <c r="G153" s="2"/>
      <c r="H153" s="2"/>
    </row>
    <row r="154" spans="1:8" x14ac:dyDescent="0.3">
      <c r="A154" s="1"/>
      <c r="B154" s="24" t="s">
        <v>38</v>
      </c>
      <c r="C154" s="46" t="s">
        <v>155</v>
      </c>
      <c r="D154" s="47"/>
      <c r="E154" s="48"/>
      <c r="F154" s="48"/>
      <c r="G154" s="37">
        <f>SUM(G152)</f>
        <v>56715.200599999982</v>
      </c>
      <c r="H154" s="37"/>
    </row>
    <row r="155" spans="1:8" x14ac:dyDescent="0.3">
      <c r="A155" s="1"/>
      <c r="B155" s="2"/>
      <c r="C155" s="3"/>
      <c r="D155" s="4"/>
      <c r="E155" s="2"/>
      <c r="F155" s="2"/>
      <c r="G155" s="2"/>
      <c r="H155" s="2"/>
    </row>
    <row r="156" spans="1:8" x14ac:dyDescent="0.3">
      <c r="A156" s="1"/>
      <c r="B156" s="24" t="s">
        <v>156</v>
      </c>
      <c r="C156" s="46" t="s">
        <v>157</v>
      </c>
      <c r="D156" s="47"/>
      <c r="E156" s="48"/>
      <c r="F156" s="48"/>
      <c r="G156" s="48"/>
      <c r="H156" s="2"/>
    </row>
    <row r="157" spans="1:8" x14ac:dyDescent="0.3">
      <c r="A157" s="1"/>
      <c r="B157" s="2"/>
      <c r="C157" s="3"/>
      <c r="D157" s="4"/>
      <c r="E157" s="2"/>
      <c r="F157" s="2"/>
      <c r="G157" s="2"/>
      <c r="H157" s="2"/>
    </row>
    <row r="158" spans="1:8" x14ac:dyDescent="0.3">
      <c r="A158" s="1"/>
      <c r="B158" s="24"/>
      <c r="C158" s="25" t="s">
        <v>2</v>
      </c>
      <c r="D158" s="26"/>
      <c r="E158" s="24"/>
      <c r="F158" s="24"/>
      <c r="G158" s="24"/>
      <c r="H158" s="2"/>
    </row>
    <row r="159" spans="1:8" x14ac:dyDescent="0.3">
      <c r="A159" s="1"/>
      <c r="B159" s="2"/>
      <c r="C159" s="3"/>
      <c r="D159" s="4"/>
      <c r="E159" s="2"/>
      <c r="F159" s="2"/>
      <c r="G159" s="2"/>
      <c r="H159" s="2"/>
    </row>
    <row r="160" spans="1:8" ht="228" x14ac:dyDescent="0.3">
      <c r="A160" s="1"/>
      <c r="B160" s="2"/>
      <c r="C160" s="8" t="s">
        <v>158</v>
      </c>
      <c r="D160" s="4"/>
      <c r="E160" s="2"/>
      <c r="F160" s="2"/>
      <c r="G160" s="2"/>
      <c r="H160" s="2"/>
    </row>
    <row r="161" spans="1:8" ht="156" x14ac:dyDescent="0.3">
      <c r="A161" s="1"/>
      <c r="B161" s="2"/>
      <c r="C161" s="8" t="s">
        <v>159</v>
      </c>
      <c r="D161" s="4"/>
      <c r="E161" s="2"/>
      <c r="F161" s="2"/>
      <c r="G161" s="2"/>
      <c r="H161" s="2"/>
    </row>
    <row r="162" spans="1:8" x14ac:dyDescent="0.3">
      <c r="A162" s="1"/>
      <c r="B162" s="2"/>
      <c r="C162" s="3"/>
      <c r="D162" s="4"/>
      <c r="E162" s="2"/>
      <c r="F162" s="2"/>
      <c r="G162" s="2"/>
      <c r="H162" s="2"/>
    </row>
    <row r="163" spans="1:8" ht="72" x14ac:dyDescent="0.3">
      <c r="A163" s="1"/>
      <c r="B163" s="13" t="s">
        <v>160</v>
      </c>
      <c r="C163" s="8" t="s">
        <v>161</v>
      </c>
      <c r="D163" s="4"/>
      <c r="E163" s="2"/>
      <c r="F163" s="2"/>
      <c r="G163" s="2"/>
      <c r="H163" s="2"/>
    </row>
    <row r="164" spans="1:8" x14ac:dyDescent="0.3">
      <c r="A164" s="1"/>
      <c r="B164" s="2" t="s">
        <v>162</v>
      </c>
      <c r="C164" s="18" t="s">
        <v>28</v>
      </c>
      <c r="D164" s="4" t="s">
        <v>56</v>
      </c>
      <c r="E164" s="19">
        <v>62.83</v>
      </c>
      <c r="F164" s="20">
        <v>18</v>
      </c>
      <c r="G164" s="20">
        <f>IF(OR(OR(F164=0,F164=""),OR(E164=0,E164="")),"",$E164*F164)</f>
        <v>1130.94</v>
      </c>
      <c r="H164" s="21"/>
    </row>
    <row r="165" spans="1:8" x14ac:dyDescent="0.3">
      <c r="A165" s="1"/>
      <c r="B165" s="2"/>
      <c r="C165" s="3"/>
      <c r="D165" s="4"/>
      <c r="E165" s="2"/>
      <c r="F165" s="2"/>
      <c r="G165" s="2"/>
      <c r="H165" s="2"/>
    </row>
    <row r="166" spans="1:8" ht="72" x14ac:dyDescent="0.3">
      <c r="A166" s="1"/>
      <c r="B166" s="13" t="s">
        <v>163</v>
      </c>
      <c r="C166" s="8" t="s">
        <v>164</v>
      </c>
      <c r="D166" s="4"/>
      <c r="E166" s="2"/>
      <c r="F166" s="2"/>
      <c r="G166" s="2"/>
      <c r="H166" s="2"/>
    </row>
    <row r="167" spans="1:8" x14ac:dyDescent="0.3">
      <c r="A167" s="1"/>
      <c r="B167" s="2" t="s">
        <v>165</v>
      </c>
      <c r="C167" s="18" t="s">
        <v>28</v>
      </c>
      <c r="D167" s="4" t="s">
        <v>56</v>
      </c>
      <c r="E167" s="19">
        <v>43.26</v>
      </c>
      <c r="F167" s="20">
        <v>18</v>
      </c>
      <c r="G167" s="20">
        <f>IF(OR(OR(F167=0,F167=""),OR(E167=0,E167="")),"",$E167*F167)</f>
        <v>778.68</v>
      </c>
      <c r="H167" s="21"/>
    </row>
    <row r="168" spans="1:8" x14ac:dyDescent="0.3">
      <c r="A168" s="1"/>
      <c r="B168" s="2"/>
      <c r="C168" s="3"/>
      <c r="D168" s="4"/>
      <c r="E168" s="2"/>
      <c r="F168" s="2"/>
      <c r="G168" s="2"/>
      <c r="H168" s="2"/>
    </row>
    <row r="169" spans="1:8" x14ac:dyDescent="0.3">
      <c r="A169" s="1"/>
      <c r="B169" s="13" t="s">
        <v>166</v>
      </c>
      <c r="C169" s="14" t="s">
        <v>167</v>
      </c>
      <c r="D169" s="4"/>
      <c r="E169" s="2"/>
      <c r="F169" s="2"/>
      <c r="G169" s="2"/>
      <c r="H169" s="2"/>
    </row>
    <row r="170" spans="1:8" ht="60" x14ac:dyDescent="0.3">
      <c r="A170" s="1"/>
      <c r="B170" s="2"/>
      <c r="C170" s="8" t="s">
        <v>168</v>
      </c>
      <c r="D170" s="4"/>
      <c r="E170" s="2"/>
      <c r="F170" s="2"/>
      <c r="G170" s="2"/>
      <c r="H170" s="2"/>
    </row>
    <row r="171" spans="1:8" x14ac:dyDescent="0.3">
      <c r="A171" s="1"/>
      <c r="B171" s="2" t="s">
        <v>169</v>
      </c>
      <c r="C171" s="18" t="s">
        <v>28</v>
      </c>
      <c r="D171" s="4" t="s">
        <v>56</v>
      </c>
      <c r="E171" s="19">
        <v>181.28</v>
      </c>
      <c r="F171" s="20">
        <v>12</v>
      </c>
      <c r="G171" s="20">
        <f>IF(OR(OR(F171=0,F171=""),OR(E171=0,E171="")),"",$E171*F171)</f>
        <v>2175.36</v>
      </c>
      <c r="H171" s="21"/>
    </row>
    <row r="172" spans="1:8" x14ac:dyDescent="0.3">
      <c r="A172" s="1"/>
      <c r="B172" s="2"/>
      <c r="C172" s="3"/>
      <c r="D172" s="4"/>
      <c r="E172" s="2"/>
      <c r="F172" s="2"/>
      <c r="G172" s="2"/>
      <c r="H172" s="2"/>
    </row>
    <row r="173" spans="1:8" ht="96" x14ac:dyDescent="0.3">
      <c r="A173" s="1"/>
      <c r="B173" s="13" t="s">
        <v>170</v>
      </c>
      <c r="C173" s="8" t="s">
        <v>347</v>
      </c>
      <c r="D173" s="4"/>
      <c r="E173" s="2"/>
      <c r="F173" s="2"/>
      <c r="G173" s="2"/>
      <c r="H173" s="2"/>
    </row>
    <row r="174" spans="1:8" x14ac:dyDescent="0.3">
      <c r="A174" s="1"/>
      <c r="B174" s="2" t="s">
        <v>171</v>
      </c>
      <c r="C174" s="18" t="s">
        <v>28</v>
      </c>
      <c r="D174" s="4" t="s">
        <v>56</v>
      </c>
      <c r="E174" s="19">
        <v>90.95</v>
      </c>
      <c r="F174" s="20">
        <v>21</v>
      </c>
      <c r="G174" s="20">
        <f>IF(OR(OR(F174=0,F174=""),OR(E174=0,E174="")),"",$E174*F174)</f>
        <v>1909.95</v>
      </c>
      <c r="H174" s="21"/>
    </row>
    <row r="175" spans="1:8" x14ac:dyDescent="0.3">
      <c r="A175" s="1"/>
      <c r="B175" s="2"/>
      <c r="C175" s="3"/>
      <c r="D175" s="4"/>
      <c r="E175" s="2"/>
      <c r="F175" s="2"/>
      <c r="G175" s="2"/>
      <c r="H175" s="2"/>
    </row>
    <row r="176" spans="1:8" ht="108" x14ac:dyDescent="0.3">
      <c r="A176" s="1"/>
      <c r="B176" s="13" t="s">
        <v>172</v>
      </c>
      <c r="C176" s="8" t="s">
        <v>173</v>
      </c>
      <c r="D176" s="4"/>
      <c r="E176" s="2"/>
      <c r="F176" s="2"/>
      <c r="G176" s="2"/>
      <c r="H176" s="2"/>
    </row>
    <row r="177" spans="1:8" x14ac:dyDescent="0.3">
      <c r="A177" s="1"/>
      <c r="B177" s="2" t="s">
        <v>174</v>
      </c>
      <c r="C177" s="18" t="s">
        <v>175</v>
      </c>
      <c r="D177" s="4" t="s">
        <v>56</v>
      </c>
      <c r="E177" s="19">
        <v>29.87</v>
      </c>
      <c r="F177" s="20">
        <v>21</v>
      </c>
      <c r="G177" s="20">
        <f t="shared" ref="G177:G178" si="4">IF(OR(OR(F177=0,F177=""),OR(E177=0,E177="")),"",$E177*F177)</f>
        <v>627.27</v>
      </c>
      <c r="H177" s="21"/>
    </row>
    <row r="178" spans="1:8" x14ac:dyDescent="0.3">
      <c r="A178" s="1"/>
      <c r="B178" s="2" t="s">
        <v>176</v>
      </c>
      <c r="C178" s="18" t="s">
        <v>177</v>
      </c>
      <c r="D178" s="4" t="s">
        <v>32</v>
      </c>
      <c r="E178" s="19">
        <v>27.09</v>
      </c>
      <c r="F178" s="20">
        <v>5</v>
      </c>
      <c r="G178" s="20">
        <f t="shared" si="4"/>
        <v>135.44999999999999</v>
      </c>
      <c r="H178" s="21"/>
    </row>
    <row r="179" spans="1:8" x14ac:dyDescent="0.3">
      <c r="A179" s="1"/>
      <c r="B179" s="2"/>
      <c r="C179" s="3"/>
      <c r="D179" s="4"/>
      <c r="E179" s="2"/>
      <c r="F179" s="30"/>
      <c r="G179" s="31">
        <f>SUM(G177:G178)</f>
        <v>762.72</v>
      </c>
      <c r="H179" s="30"/>
    </row>
    <row r="180" spans="1:8" x14ac:dyDescent="0.3">
      <c r="A180" s="1"/>
      <c r="B180" s="2"/>
      <c r="C180" s="3"/>
      <c r="D180" s="4"/>
      <c r="E180" s="2"/>
      <c r="F180" s="2"/>
      <c r="G180" s="2"/>
      <c r="H180" s="2"/>
    </row>
    <row r="181" spans="1:8" ht="72" x14ac:dyDescent="0.3">
      <c r="A181" s="1"/>
      <c r="B181" s="13" t="s">
        <v>178</v>
      </c>
      <c r="C181" s="8" t="s">
        <v>179</v>
      </c>
      <c r="D181" s="4"/>
      <c r="E181" s="2"/>
      <c r="F181" s="2"/>
      <c r="G181" s="2"/>
      <c r="H181" s="2"/>
    </row>
    <row r="182" spans="1:8" x14ac:dyDescent="0.3">
      <c r="A182" s="1"/>
      <c r="B182" s="2" t="s">
        <v>180</v>
      </c>
      <c r="C182" s="18" t="s">
        <v>28</v>
      </c>
      <c r="D182" s="4" t="s">
        <v>56</v>
      </c>
      <c r="E182" s="19">
        <v>196.73</v>
      </c>
      <c r="F182" s="20">
        <v>21</v>
      </c>
      <c r="G182" s="20">
        <f>IF(OR(OR(F182=0,F182=""),OR(E182=0,E182="")),"",$E182*F182)</f>
        <v>4131.33</v>
      </c>
      <c r="H182" s="21"/>
    </row>
    <row r="183" spans="1:8" x14ac:dyDescent="0.3">
      <c r="A183" s="1"/>
      <c r="B183" s="2"/>
      <c r="C183" s="3"/>
      <c r="D183" s="4"/>
      <c r="E183" s="2"/>
      <c r="F183" s="2"/>
      <c r="G183" s="2"/>
      <c r="H183" s="2"/>
    </row>
    <row r="184" spans="1:8" ht="60" x14ac:dyDescent="0.3">
      <c r="A184" s="1"/>
      <c r="B184" s="13" t="s">
        <v>181</v>
      </c>
      <c r="C184" s="8" t="s">
        <v>182</v>
      </c>
      <c r="D184" s="4"/>
      <c r="E184" s="2"/>
      <c r="F184" s="2"/>
      <c r="G184" s="2"/>
      <c r="H184" s="2"/>
    </row>
    <row r="185" spans="1:8" x14ac:dyDescent="0.3">
      <c r="A185" s="1"/>
      <c r="B185" s="2" t="s">
        <v>183</v>
      </c>
      <c r="C185" s="18" t="s">
        <v>184</v>
      </c>
      <c r="D185" s="4" t="s">
        <v>56</v>
      </c>
      <c r="E185" s="19">
        <v>26.53</v>
      </c>
      <c r="F185" s="20">
        <v>11</v>
      </c>
      <c r="G185" s="20">
        <f t="shared" ref="G185:G186" si="5">IF(OR(OR(F185=0,F185=""),OR(E185=0,E185="")),"",$E185*F185)</f>
        <v>291.83000000000004</v>
      </c>
      <c r="H185" s="21"/>
    </row>
    <row r="186" spans="1:8" x14ac:dyDescent="0.3">
      <c r="A186" s="1"/>
      <c r="B186" s="2" t="s">
        <v>185</v>
      </c>
      <c r="C186" s="18" t="s">
        <v>177</v>
      </c>
      <c r="D186" s="4" t="s">
        <v>32</v>
      </c>
      <c r="E186" s="19">
        <v>26.16</v>
      </c>
      <c r="F186" s="20">
        <v>5.12</v>
      </c>
      <c r="G186" s="20">
        <f t="shared" si="5"/>
        <v>133.9392</v>
      </c>
      <c r="H186" s="21"/>
    </row>
    <row r="187" spans="1:8" x14ac:dyDescent="0.3">
      <c r="A187" s="1"/>
      <c r="B187" s="2"/>
      <c r="C187" s="3"/>
      <c r="D187" s="4"/>
      <c r="E187" s="2"/>
      <c r="F187" s="30"/>
      <c r="G187" s="31">
        <f>SUM(G185:G186)</f>
        <v>425.76920000000007</v>
      </c>
      <c r="H187" s="30"/>
    </row>
    <row r="188" spans="1:8" x14ac:dyDescent="0.3">
      <c r="A188" s="1"/>
      <c r="B188" s="2"/>
      <c r="C188" s="3"/>
      <c r="D188" s="4"/>
      <c r="E188" s="2"/>
      <c r="F188" s="2"/>
      <c r="G188" s="2"/>
      <c r="H188" s="2"/>
    </row>
    <row r="189" spans="1:8" ht="72" x14ac:dyDescent="0.3">
      <c r="A189" s="1"/>
      <c r="B189" s="13" t="s">
        <v>186</v>
      </c>
      <c r="C189" s="8" t="s">
        <v>187</v>
      </c>
      <c r="D189" s="4"/>
      <c r="E189" s="2"/>
      <c r="F189" s="2"/>
      <c r="G189" s="2"/>
      <c r="H189" s="2"/>
    </row>
    <row r="190" spans="1:8" x14ac:dyDescent="0.3">
      <c r="A190" s="1"/>
      <c r="B190" s="2" t="s">
        <v>188</v>
      </c>
      <c r="C190" s="18" t="s">
        <v>184</v>
      </c>
      <c r="D190" s="4" t="s">
        <v>56</v>
      </c>
      <c r="E190" s="19">
        <v>21.26</v>
      </c>
      <c r="F190" s="20">
        <v>11</v>
      </c>
      <c r="G190" s="20">
        <f t="shared" ref="G190:G191" si="6">IF(OR(OR(F190=0,F190=""),OR(E190=0,E190="")),"",$E190*F190)</f>
        <v>233.86</v>
      </c>
      <c r="H190" s="21"/>
    </row>
    <row r="191" spans="1:8" x14ac:dyDescent="0.3">
      <c r="A191" s="1"/>
      <c r="B191" s="2" t="s">
        <v>189</v>
      </c>
      <c r="C191" s="18" t="s">
        <v>177</v>
      </c>
      <c r="D191" s="4" t="s">
        <v>32</v>
      </c>
      <c r="E191" s="19">
        <v>23.59</v>
      </c>
      <c r="F191" s="20">
        <v>5.12</v>
      </c>
      <c r="G191" s="20">
        <f t="shared" si="6"/>
        <v>120.7808</v>
      </c>
      <c r="H191" s="21"/>
    </row>
    <row r="192" spans="1:8" x14ac:dyDescent="0.3">
      <c r="A192" s="1"/>
      <c r="B192" s="2"/>
      <c r="C192" s="3"/>
      <c r="D192" s="4"/>
      <c r="E192" s="2"/>
      <c r="F192" s="30"/>
      <c r="G192" s="31">
        <f>SUM(G190:G191)</f>
        <v>354.64080000000001</v>
      </c>
      <c r="H192" s="30"/>
    </row>
    <row r="193" spans="1:8" x14ac:dyDescent="0.3">
      <c r="A193" s="1"/>
      <c r="B193" s="2"/>
      <c r="C193" s="3"/>
      <c r="D193" s="4"/>
      <c r="E193" s="2"/>
      <c r="F193" s="30"/>
      <c r="G193" s="31"/>
      <c r="H193" s="2"/>
    </row>
    <row r="194" spans="1:8" ht="48" x14ac:dyDescent="0.3">
      <c r="A194" s="1"/>
      <c r="B194" s="13" t="s">
        <v>190</v>
      </c>
      <c r="C194" s="8" t="s">
        <v>348</v>
      </c>
      <c r="D194" s="4"/>
      <c r="E194" s="2"/>
      <c r="F194" s="2"/>
      <c r="G194" s="2"/>
      <c r="H194" s="2"/>
    </row>
    <row r="195" spans="1:8" x14ac:dyDescent="0.3">
      <c r="A195" s="1"/>
      <c r="B195" s="2" t="s">
        <v>191</v>
      </c>
      <c r="C195" s="18" t="s">
        <v>28</v>
      </c>
      <c r="D195" s="4" t="s">
        <v>56</v>
      </c>
      <c r="E195" s="19">
        <v>29.97</v>
      </c>
      <c r="F195" s="20">
        <v>11</v>
      </c>
      <c r="G195" s="20">
        <f>IF(OR(OR(F195=0,F195=""),OR(E195=0,E195="")),"",$E195*F195)</f>
        <v>329.66999999999996</v>
      </c>
      <c r="H195" s="21"/>
    </row>
    <row r="196" spans="1:8" x14ac:dyDescent="0.3">
      <c r="A196" s="1"/>
      <c r="B196" s="2"/>
      <c r="C196" s="3"/>
      <c r="D196" s="4"/>
      <c r="E196" s="2"/>
      <c r="F196" s="2"/>
      <c r="G196" s="2"/>
      <c r="H196" s="2"/>
    </row>
    <row r="197" spans="1:8" ht="60" x14ac:dyDescent="0.3">
      <c r="A197" s="1"/>
      <c r="B197" s="13" t="s">
        <v>192</v>
      </c>
      <c r="C197" s="8" t="s">
        <v>193</v>
      </c>
      <c r="D197" s="4"/>
      <c r="E197" s="2"/>
      <c r="F197" s="2"/>
      <c r="G197" s="2"/>
      <c r="H197" s="2"/>
    </row>
    <row r="198" spans="1:8" x14ac:dyDescent="0.3">
      <c r="A198" s="1"/>
      <c r="B198" s="2" t="s">
        <v>194</v>
      </c>
      <c r="C198" s="18" t="s">
        <v>28</v>
      </c>
      <c r="D198" s="4" t="s">
        <v>56</v>
      </c>
      <c r="E198" s="19">
        <v>10</v>
      </c>
      <c r="F198" s="20">
        <v>11</v>
      </c>
      <c r="G198" s="20">
        <f>IF(OR(OR(F198=0,F198=""),OR(E198=0,E198="")),"",$E198*F198)</f>
        <v>110</v>
      </c>
      <c r="H198" s="21"/>
    </row>
    <row r="199" spans="1:8" x14ac:dyDescent="0.3">
      <c r="A199" s="1"/>
      <c r="B199" s="2"/>
      <c r="C199" s="3"/>
      <c r="D199" s="4"/>
      <c r="E199" s="2"/>
      <c r="F199" s="2"/>
      <c r="G199" s="2"/>
      <c r="H199" s="2"/>
    </row>
    <row r="200" spans="1:8" ht="144" x14ac:dyDescent="0.3">
      <c r="A200" s="1"/>
      <c r="B200" s="13" t="s">
        <v>195</v>
      </c>
      <c r="C200" s="8" t="s">
        <v>196</v>
      </c>
      <c r="D200" s="4"/>
      <c r="E200" s="2"/>
      <c r="F200" s="2"/>
      <c r="G200" s="2"/>
      <c r="H200" s="2"/>
    </row>
    <row r="201" spans="1:8" x14ac:dyDescent="0.3">
      <c r="A201" s="1"/>
      <c r="B201" s="2" t="s">
        <v>197</v>
      </c>
      <c r="C201" s="18" t="s">
        <v>28</v>
      </c>
      <c r="D201" s="4" t="s">
        <v>56</v>
      </c>
      <c r="E201" s="19">
        <v>33.74</v>
      </c>
      <c r="F201" s="20">
        <v>12</v>
      </c>
      <c r="G201" s="20">
        <f>IF(OR(OR(F201=0,F201=""),OR(E201=0,E201="")),"",$E201*F201)</f>
        <v>404.88</v>
      </c>
      <c r="H201" s="21"/>
    </row>
    <row r="202" spans="1:8" x14ac:dyDescent="0.3">
      <c r="A202" s="1"/>
      <c r="B202" s="2"/>
      <c r="C202" s="3"/>
      <c r="D202" s="4"/>
      <c r="E202" s="2"/>
      <c r="F202" s="2"/>
      <c r="G202" s="2"/>
      <c r="H202" s="2"/>
    </row>
    <row r="203" spans="1:8" ht="144" x14ac:dyDescent="0.3">
      <c r="A203" s="1"/>
      <c r="B203" s="13" t="s">
        <v>198</v>
      </c>
      <c r="C203" s="8" t="s">
        <v>199</v>
      </c>
      <c r="D203" s="4"/>
      <c r="E203" s="2"/>
      <c r="F203" s="2"/>
      <c r="G203" s="2"/>
      <c r="H203" s="2"/>
    </row>
    <row r="204" spans="1:8" x14ac:dyDescent="0.3">
      <c r="A204" s="1"/>
      <c r="B204" s="2" t="s">
        <v>200</v>
      </c>
      <c r="C204" s="18" t="s">
        <v>28</v>
      </c>
      <c r="D204" s="4" t="s">
        <v>56</v>
      </c>
      <c r="E204" s="19">
        <v>92.6</v>
      </c>
      <c r="F204" s="20">
        <v>12</v>
      </c>
      <c r="G204" s="20">
        <f>IF(OR(OR(F204=0,F204=""),OR(E204=0,E204="")),"",$E204*F204)</f>
        <v>1111.1999999999998</v>
      </c>
      <c r="H204" s="21"/>
    </row>
    <row r="205" spans="1:8" x14ac:dyDescent="0.3">
      <c r="A205" s="1"/>
      <c r="B205" s="2"/>
      <c r="C205" s="3"/>
      <c r="D205" s="4"/>
      <c r="E205" s="2"/>
      <c r="F205" s="2"/>
      <c r="G205" s="2"/>
      <c r="H205" s="2"/>
    </row>
    <row r="206" spans="1:8" ht="36" x14ac:dyDescent="0.3">
      <c r="A206" s="1"/>
      <c r="B206" s="13" t="s">
        <v>201</v>
      </c>
      <c r="C206" s="8" t="s">
        <v>202</v>
      </c>
      <c r="D206" s="4"/>
      <c r="E206" s="2"/>
      <c r="F206" s="2"/>
      <c r="G206" s="2"/>
      <c r="H206" s="2"/>
    </row>
    <row r="207" spans="1:8" x14ac:dyDescent="0.3">
      <c r="A207" s="1"/>
      <c r="B207" s="2" t="s">
        <v>203</v>
      </c>
      <c r="C207" s="18" t="s">
        <v>204</v>
      </c>
      <c r="D207" s="4" t="s">
        <v>89</v>
      </c>
      <c r="E207" s="19">
        <v>1</v>
      </c>
      <c r="F207" s="20">
        <v>95</v>
      </c>
      <c r="G207" s="20">
        <f>IF(OR(OR(F207=0,F207=""),OR(E207=0,E207="")),"",$E207*F207)</f>
        <v>95</v>
      </c>
      <c r="H207" s="21"/>
    </row>
    <row r="208" spans="1:8" x14ac:dyDescent="0.3">
      <c r="A208" s="1"/>
      <c r="B208" s="2"/>
      <c r="C208" s="3"/>
      <c r="D208" s="4"/>
      <c r="E208" s="2"/>
      <c r="F208" s="2"/>
      <c r="G208" s="2"/>
      <c r="H208" s="2"/>
    </row>
    <row r="209" spans="1:8" ht="36" x14ac:dyDescent="0.3">
      <c r="A209" s="1"/>
      <c r="B209" s="13" t="s">
        <v>205</v>
      </c>
      <c r="C209" s="8" t="s">
        <v>206</v>
      </c>
      <c r="D209" s="4"/>
      <c r="E209" s="2"/>
      <c r="F209" s="2"/>
      <c r="G209" s="2"/>
      <c r="H209" s="2"/>
    </row>
    <row r="210" spans="1:8" x14ac:dyDescent="0.3">
      <c r="A210" s="1"/>
      <c r="B210" s="2" t="s">
        <v>207</v>
      </c>
      <c r="C210" s="18" t="s">
        <v>208</v>
      </c>
      <c r="D210" s="4" t="s">
        <v>89</v>
      </c>
      <c r="E210" s="19">
        <v>1</v>
      </c>
      <c r="F210" s="20">
        <v>31</v>
      </c>
      <c r="G210" s="20">
        <f t="shared" ref="G210:G211" si="7">IF(OR(OR(F210=0,F210=""),OR(E210=0,E210="")),"",$E210*F210)</f>
        <v>31</v>
      </c>
      <c r="H210" s="21"/>
    </row>
    <row r="211" spans="1:8" x14ac:dyDescent="0.3">
      <c r="A211" s="1"/>
      <c r="B211" s="2" t="s">
        <v>209</v>
      </c>
      <c r="C211" s="18" t="s">
        <v>210</v>
      </c>
      <c r="D211" s="4" t="s">
        <v>89</v>
      </c>
      <c r="E211" s="19">
        <v>1</v>
      </c>
      <c r="F211" s="20">
        <v>31</v>
      </c>
      <c r="G211" s="20">
        <f t="shared" si="7"/>
        <v>31</v>
      </c>
      <c r="H211" s="21"/>
    </row>
    <row r="212" spans="1:8" x14ac:dyDescent="0.3">
      <c r="A212" s="1"/>
      <c r="B212" s="2"/>
      <c r="C212" s="3"/>
      <c r="D212" s="4"/>
      <c r="E212" s="2"/>
      <c r="F212" s="30"/>
      <c r="G212" s="31">
        <f>SUM(G210:G211)</f>
        <v>62</v>
      </c>
      <c r="H212" s="30"/>
    </row>
    <row r="213" spans="1:8" x14ac:dyDescent="0.3">
      <c r="A213" s="1"/>
      <c r="B213" s="2"/>
      <c r="C213" s="3"/>
      <c r="D213" s="4"/>
      <c r="E213" s="2"/>
      <c r="F213" s="2"/>
      <c r="G213" s="2"/>
      <c r="H213" s="2"/>
    </row>
    <row r="214" spans="1:8" ht="48" x14ac:dyDescent="0.3">
      <c r="A214" s="1"/>
      <c r="B214" s="13" t="s">
        <v>211</v>
      </c>
      <c r="C214" s="8" t="s">
        <v>212</v>
      </c>
      <c r="D214" s="4"/>
      <c r="E214" s="2"/>
      <c r="F214" s="2"/>
      <c r="G214" s="2"/>
      <c r="H214" s="2"/>
    </row>
    <row r="215" spans="1:8" x14ac:dyDescent="0.3">
      <c r="A215" s="1"/>
      <c r="B215" s="2" t="s">
        <v>213</v>
      </c>
      <c r="C215" s="18" t="s">
        <v>214</v>
      </c>
      <c r="D215" s="4" t="s">
        <v>89</v>
      </c>
      <c r="E215" s="19">
        <v>1</v>
      </c>
      <c r="F215" s="20">
        <v>25.6</v>
      </c>
      <c r="G215" s="20">
        <f t="shared" ref="G215:G229" si="8">IF(OR(OR(F215=0,F215=""),OR(E215=0,E215="")),"",$E215*F215)</f>
        <v>25.6</v>
      </c>
      <c r="H215" s="21"/>
    </row>
    <row r="216" spans="1:8" x14ac:dyDescent="0.3">
      <c r="A216" s="1"/>
      <c r="B216" s="2" t="s">
        <v>215</v>
      </c>
      <c r="C216" s="18" t="s">
        <v>216</v>
      </c>
      <c r="D216" s="4" t="s">
        <v>89</v>
      </c>
      <c r="E216" s="19">
        <v>1</v>
      </c>
      <c r="F216" s="20">
        <v>25.6</v>
      </c>
      <c r="G216" s="20">
        <f t="shared" si="8"/>
        <v>25.6</v>
      </c>
      <c r="H216" s="21"/>
    </row>
    <row r="217" spans="1:8" x14ac:dyDescent="0.3">
      <c r="A217" s="1"/>
      <c r="B217" s="2" t="s">
        <v>217</v>
      </c>
      <c r="C217" s="18" t="s">
        <v>218</v>
      </c>
      <c r="D217" s="4" t="s">
        <v>89</v>
      </c>
      <c r="E217" s="19">
        <v>4</v>
      </c>
      <c r="F217" s="20">
        <v>25.6</v>
      </c>
      <c r="G217" s="20">
        <f t="shared" si="8"/>
        <v>102.4</v>
      </c>
      <c r="H217" s="21"/>
    </row>
    <row r="218" spans="1:8" x14ac:dyDescent="0.3">
      <c r="A218" s="1"/>
      <c r="B218" s="2" t="s">
        <v>219</v>
      </c>
      <c r="C218" s="18" t="s">
        <v>220</v>
      </c>
      <c r="D218" s="4" t="s">
        <v>89</v>
      </c>
      <c r="E218" s="19">
        <v>1</v>
      </c>
      <c r="F218" s="20">
        <v>25.6</v>
      </c>
      <c r="G218" s="20">
        <f t="shared" si="8"/>
        <v>25.6</v>
      </c>
      <c r="H218" s="21"/>
    </row>
    <row r="219" spans="1:8" x14ac:dyDescent="0.3">
      <c r="A219" s="1"/>
      <c r="B219" s="2" t="s">
        <v>221</v>
      </c>
      <c r="C219" s="18" t="s">
        <v>222</v>
      </c>
      <c r="D219" s="4" t="s">
        <v>89</v>
      </c>
      <c r="E219" s="19">
        <v>1</v>
      </c>
      <c r="F219" s="20">
        <v>25.6</v>
      </c>
      <c r="G219" s="20">
        <f t="shared" si="8"/>
        <v>25.6</v>
      </c>
      <c r="H219" s="21"/>
    </row>
    <row r="220" spans="1:8" x14ac:dyDescent="0.3">
      <c r="A220" s="1"/>
      <c r="B220" s="2" t="s">
        <v>223</v>
      </c>
      <c r="C220" s="18" t="s">
        <v>224</v>
      </c>
      <c r="D220" s="4" t="s">
        <v>89</v>
      </c>
      <c r="E220" s="19">
        <v>1</v>
      </c>
      <c r="F220" s="20">
        <v>25.6</v>
      </c>
      <c r="G220" s="20">
        <f t="shared" si="8"/>
        <v>25.6</v>
      </c>
      <c r="H220" s="21"/>
    </row>
    <row r="221" spans="1:8" x14ac:dyDescent="0.3">
      <c r="A221" s="1"/>
      <c r="B221" s="2" t="s">
        <v>225</v>
      </c>
      <c r="C221" s="18" t="s">
        <v>226</v>
      </c>
      <c r="D221" s="4" t="s">
        <v>89</v>
      </c>
      <c r="E221" s="19">
        <v>1</v>
      </c>
      <c r="F221" s="20">
        <v>25.6</v>
      </c>
      <c r="G221" s="20">
        <f t="shared" si="8"/>
        <v>25.6</v>
      </c>
      <c r="H221" s="21"/>
    </row>
    <row r="222" spans="1:8" x14ac:dyDescent="0.3">
      <c r="A222" s="1"/>
      <c r="B222" s="2" t="s">
        <v>227</v>
      </c>
      <c r="C222" s="18" t="s">
        <v>228</v>
      </c>
      <c r="D222" s="4" t="s">
        <v>89</v>
      </c>
      <c r="E222" s="19">
        <v>1</v>
      </c>
      <c r="F222" s="20">
        <v>25.6</v>
      </c>
      <c r="G222" s="20">
        <f t="shared" si="8"/>
        <v>25.6</v>
      </c>
      <c r="H222" s="21"/>
    </row>
    <row r="223" spans="1:8" x14ac:dyDescent="0.3">
      <c r="A223" s="1"/>
      <c r="B223" s="2" t="s">
        <v>229</v>
      </c>
      <c r="C223" s="18" t="s">
        <v>230</v>
      </c>
      <c r="D223" s="4" t="s">
        <v>89</v>
      </c>
      <c r="E223" s="19">
        <v>1</v>
      </c>
      <c r="F223" s="20">
        <v>25.6</v>
      </c>
      <c r="G223" s="20">
        <f t="shared" si="8"/>
        <v>25.6</v>
      </c>
      <c r="H223" s="21"/>
    </row>
    <row r="224" spans="1:8" x14ac:dyDescent="0.3">
      <c r="A224" s="1"/>
      <c r="B224" s="2" t="s">
        <v>231</v>
      </c>
      <c r="C224" s="18" t="s">
        <v>232</v>
      </c>
      <c r="D224" s="4" t="s">
        <v>89</v>
      </c>
      <c r="E224" s="19">
        <v>1</v>
      </c>
      <c r="F224" s="20">
        <v>25.6</v>
      </c>
      <c r="G224" s="20">
        <f t="shared" si="8"/>
        <v>25.6</v>
      </c>
      <c r="H224" s="21"/>
    </row>
    <row r="225" spans="1:8" x14ac:dyDescent="0.3">
      <c r="A225" s="1"/>
      <c r="B225" s="2" t="s">
        <v>233</v>
      </c>
      <c r="C225" s="18" t="s">
        <v>234</v>
      </c>
      <c r="D225" s="4" t="s">
        <v>89</v>
      </c>
      <c r="E225" s="19">
        <v>1</v>
      </c>
      <c r="F225" s="20">
        <v>25.6</v>
      </c>
      <c r="G225" s="20">
        <f t="shared" si="8"/>
        <v>25.6</v>
      </c>
      <c r="H225" s="21"/>
    </row>
    <row r="226" spans="1:8" x14ac:dyDescent="0.3">
      <c r="A226" s="1"/>
      <c r="B226" s="2" t="s">
        <v>235</v>
      </c>
      <c r="C226" s="18" t="s">
        <v>236</v>
      </c>
      <c r="D226" s="4" t="s">
        <v>89</v>
      </c>
      <c r="E226" s="19">
        <v>1</v>
      </c>
      <c r="F226" s="20">
        <v>25.6</v>
      </c>
      <c r="G226" s="20">
        <f t="shared" si="8"/>
        <v>25.6</v>
      </c>
      <c r="H226" s="21"/>
    </row>
    <row r="227" spans="1:8" x14ac:dyDescent="0.3">
      <c r="A227" s="1"/>
      <c r="B227" s="2" t="s">
        <v>237</v>
      </c>
      <c r="C227" s="18" t="s">
        <v>238</v>
      </c>
      <c r="D227" s="4" t="s">
        <v>89</v>
      </c>
      <c r="E227" s="19">
        <v>1</v>
      </c>
      <c r="F227" s="20">
        <v>25.6</v>
      </c>
      <c r="G227" s="20">
        <f t="shared" si="8"/>
        <v>25.6</v>
      </c>
      <c r="H227" s="21"/>
    </row>
    <row r="228" spans="1:8" x14ac:dyDescent="0.3">
      <c r="A228" s="1"/>
      <c r="B228" s="2" t="s">
        <v>239</v>
      </c>
      <c r="C228" s="18" t="s">
        <v>240</v>
      </c>
      <c r="D228" s="4" t="s">
        <v>89</v>
      </c>
      <c r="E228" s="19">
        <v>2</v>
      </c>
      <c r="F228" s="20">
        <v>32</v>
      </c>
      <c r="G228" s="20">
        <f t="shared" si="8"/>
        <v>64</v>
      </c>
      <c r="H228" s="21"/>
    </row>
    <row r="229" spans="1:8" x14ac:dyDescent="0.3">
      <c r="A229" s="1"/>
      <c r="B229" s="2" t="s">
        <v>241</v>
      </c>
      <c r="C229" s="18" t="s">
        <v>242</v>
      </c>
      <c r="D229" s="4" t="s">
        <v>89</v>
      </c>
      <c r="E229" s="19">
        <v>1</v>
      </c>
      <c r="F229" s="20">
        <v>35.200000000000003</v>
      </c>
      <c r="G229" s="20">
        <f t="shared" si="8"/>
        <v>35.200000000000003</v>
      </c>
      <c r="H229" s="21"/>
    </row>
    <row r="230" spans="1:8" x14ac:dyDescent="0.3">
      <c r="A230" s="1"/>
      <c r="B230" s="2"/>
      <c r="C230" s="3"/>
      <c r="D230" s="4"/>
      <c r="E230" s="2"/>
      <c r="F230" s="30"/>
      <c r="G230" s="31">
        <f>SUM(G215:G229)</f>
        <v>508.80000000000013</v>
      </c>
      <c r="H230" s="30"/>
    </row>
    <row r="231" spans="1:8" x14ac:dyDescent="0.3">
      <c r="A231" s="1"/>
      <c r="B231" s="2"/>
      <c r="C231" s="3"/>
      <c r="D231" s="4"/>
      <c r="E231" s="2"/>
      <c r="F231" s="2"/>
      <c r="G231" s="2"/>
      <c r="H231" s="2"/>
    </row>
    <row r="232" spans="1:8" ht="60" x14ac:dyDescent="0.3">
      <c r="A232" s="1"/>
      <c r="B232" s="13" t="s">
        <v>243</v>
      </c>
      <c r="C232" s="8" t="s">
        <v>244</v>
      </c>
      <c r="D232" s="4"/>
      <c r="E232" s="2"/>
      <c r="F232" s="2"/>
      <c r="G232" s="2"/>
      <c r="H232" s="2"/>
    </row>
    <row r="233" spans="1:8" x14ac:dyDescent="0.3">
      <c r="A233" s="1"/>
      <c r="B233" s="2" t="s">
        <v>245</v>
      </c>
      <c r="C233" s="18" t="s">
        <v>28</v>
      </c>
      <c r="D233" s="4" t="s">
        <v>89</v>
      </c>
      <c r="E233" s="19">
        <v>1</v>
      </c>
      <c r="F233" s="20">
        <v>45</v>
      </c>
      <c r="G233" s="20">
        <f>IF(OR(OR(F233=0,F233=""),OR(E233=0,E233="")),"",$E233*F233)</f>
        <v>45</v>
      </c>
      <c r="H233" s="21"/>
    </row>
    <row r="234" spans="1:8" x14ac:dyDescent="0.3">
      <c r="A234" s="1"/>
      <c r="B234" s="2"/>
      <c r="C234" s="3"/>
      <c r="D234" s="4"/>
      <c r="E234" s="2"/>
      <c r="F234" s="2"/>
      <c r="G234" s="2"/>
      <c r="H234" s="2"/>
    </row>
    <row r="235" spans="1:8" ht="72" x14ac:dyDescent="0.3">
      <c r="A235" s="1"/>
      <c r="B235" s="13" t="s">
        <v>246</v>
      </c>
      <c r="C235" s="8" t="s">
        <v>247</v>
      </c>
      <c r="D235" s="4"/>
      <c r="E235" s="2"/>
      <c r="F235" s="2"/>
      <c r="G235" s="2"/>
      <c r="H235" s="2"/>
    </row>
    <row r="236" spans="1:8" x14ac:dyDescent="0.3">
      <c r="A236" s="1"/>
      <c r="B236" s="2" t="s">
        <v>248</v>
      </c>
      <c r="C236" s="18" t="s">
        <v>249</v>
      </c>
      <c r="D236" s="4" t="s">
        <v>89</v>
      </c>
      <c r="E236" s="19">
        <v>1</v>
      </c>
      <c r="F236" s="20">
        <v>256</v>
      </c>
      <c r="G236" s="20">
        <f t="shared" ref="G236:G237" si="9">IF(OR(OR(F236=0,F236=""),OR(E236=0,E236="")),"",$E236*F236)</f>
        <v>256</v>
      </c>
      <c r="H236" s="21"/>
    </row>
    <row r="237" spans="1:8" ht="24.6" x14ac:dyDescent="0.3">
      <c r="A237" s="1"/>
      <c r="B237" s="2" t="s">
        <v>250</v>
      </c>
      <c r="C237" s="18" t="s">
        <v>251</v>
      </c>
      <c r="D237" s="4" t="s">
        <v>89</v>
      </c>
      <c r="E237" s="19">
        <v>1</v>
      </c>
      <c r="F237" s="20">
        <v>256</v>
      </c>
      <c r="G237" s="20">
        <f t="shared" si="9"/>
        <v>256</v>
      </c>
      <c r="H237" s="21"/>
    </row>
    <row r="238" spans="1:8" x14ac:dyDescent="0.3">
      <c r="A238" s="1"/>
      <c r="B238" s="2"/>
      <c r="C238" s="3"/>
      <c r="D238" s="4"/>
      <c r="E238" s="2"/>
      <c r="F238" s="30"/>
      <c r="G238" s="31">
        <f>SUM(G236:G237)</f>
        <v>512</v>
      </c>
      <c r="H238" s="30"/>
    </row>
    <row r="239" spans="1:8" x14ac:dyDescent="0.3">
      <c r="A239" s="1"/>
      <c r="B239" s="2"/>
      <c r="C239" s="3"/>
      <c r="D239" s="4"/>
      <c r="E239" s="2"/>
      <c r="F239" s="2"/>
      <c r="G239" s="2"/>
      <c r="H239" s="2"/>
    </row>
    <row r="240" spans="1:8" ht="60" x14ac:dyDescent="0.3">
      <c r="A240" s="1"/>
      <c r="B240" s="13" t="s">
        <v>252</v>
      </c>
      <c r="C240" s="8" t="s">
        <v>253</v>
      </c>
      <c r="D240" s="4"/>
      <c r="E240" s="2"/>
      <c r="F240" s="2"/>
      <c r="G240" s="2"/>
      <c r="H240" s="2"/>
    </row>
    <row r="241" spans="1:8" x14ac:dyDescent="0.3">
      <c r="A241" s="1"/>
      <c r="B241" s="2" t="s">
        <v>254</v>
      </c>
      <c r="C241" s="18" t="s">
        <v>28</v>
      </c>
      <c r="D241" s="4" t="s">
        <v>89</v>
      </c>
      <c r="E241" s="19">
        <v>1</v>
      </c>
      <c r="F241" s="20">
        <v>128</v>
      </c>
      <c r="G241" s="20">
        <f>IF(OR(OR(F241=0,F241=""),OR(E241=0,E241="")),"",$E241*F241)</f>
        <v>128</v>
      </c>
      <c r="H241" s="21"/>
    </row>
    <row r="242" spans="1:8" x14ac:dyDescent="0.3">
      <c r="A242" s="1"/>
      <c r="B242" s="2"/>
      <c r="C242" s="3"/>
      <c r="D242" s="4"/>
      <c r="E242" s="2"/>
      <c r="F242" s="2"/>
      <c r="G242" s="2"/>
      <c r="H242" s="2"/>
    </row>
    <row r="243" spans="1:8" ht="48" x14ac:dyDescent="0.3">
      <c r="A243" s="1"/>
      <c r="B243" s="13" t="s">
        <v>255</v>
      </c>
      <c r="C243" s="8" t="s">
        <v>256</v>
      </c>
      <c r="D243" s="4"/>
      <c r="E243" s="2"/>
      <c r="F243" s="2"/>
      <c r="G243" s="2"/>
      <c r="H243" s="2"/>
    </row>
    <row r="244" spans="1:8" x14ac:dyDescent="0.3">
      <c r="A244" s="1"/>
      <c r="B244" s="2" t="s">
        <v>257</v>
      </c>
      <c r="C244" s="18" t="s">
        <v>258</v>
      </c>
      <c r="D244" s="4" t="s">
        <v>32</v>
      </c>
      <c r="E244" s="19">
        <v>42.57</v>
      </c>
      <c r="F244" s="20">
        <v>11.52</v>
      </c>
      <c r="G244" s="20">
        <f t="shared" ref="G244:G246" si="10">IF(OR(OR(F244=0,F244=""),OR(E244=0,E244="")),"",$E244*F244)</f>
        <v>490.40639999999996</v>
      </c>
      <c r="H244" s="21"/>
    </row>
    <row r="245" spans="1:8" x14ac:dyDescent="0.3">
      <c r="A245" s="1"/>
      <c r="B245" s="2" t="s">
        <v>259</v>
      </c>
      <c r="C245" s="18" t="s">
        <v>260</v>
      </c>
      <c r="D245" s="4" t="s">
        <v>32</v>
      </c>
      <c r="E245" s="19">
        <v>14.41</v>
      </c>
      <c r="F245" s="20">
        <v>11.52</v>
      </c>
      <c r="G245" s="20">
        <f t="shared" si="10"/>
        <v>166.00319999999999</v>
      </c>
      <c r="H245" s="21"/>
    </row>
    <row r="246" spans="1:8" x14ac:dyDescent="0.3">
      <c r="A246" s="1"/>
      <c r="B246" s="2" t="s">
        <v>261</v>
      </c>
      <c r="C246" s="18" t="s">
        <v>262</v>
      </c>
      <c r="D246" s="4" t="s">
        <v>32</v>
      </c>
      <c r="E246" s="19">
        <v>6.59</v>
      </c>
      <c r="F246" s="20">
        <v>9</v>
      </c>
      <c r="G246" s="20">
        <f t="shared" si="10"/>
        <v>59.31</v>
      </c>
      <c r="H246" s="21"/>
    </row>
    <row r="247" spans="1:8" x14ac:dyDescent="0.3">
      <c r="A247" s="1"/>
      <c r="B247" s="2"/>
      <c r="C247" s="3"/>
      <c r="D247" s="4"/>
      <c r="E247" s="2"/>
      <c r="F247" s="30"/>
      <c r="G247" s="31">
        <f>SUM(G244:G246)</f>
        <v>715.7195999999999</v>
      </c>
      <c r="H247" s="30"/>
    </row>
    <row r="248" spans="1:8" x14ac:dyDescent="0.3">
      <c r="A248" s="1"/>
      <c r="B248" s="2"/>
      <c r="C248" s="3"/>
      <c r="D248" s="4"/>
      <c r="E248" s="2"/>
      <c r="F248" s="2"/>
      <c r="G248" s="2"/>
      <c r="H248" s="2"/>
    </row>
    <row r="249" spans="1:8" ht="48" x14ac:dyDescent="0.3">
      <c r="A249" s="1"/>
      <c r="B249" s="13" t="s">
        <v>263</v>
      </c>
      <c r="C249" s="8" t="s">
        <v>264</v>
      </c>
      <c r="D249" s="4"/>
      <c r="E249" s="2"/>
      <c r="F249" s="2"/>
      <c r="G249" s="2"/>
      <c r="H249" s="2"/>
    </row>
    <row r="250" spans="1:8" x14ac:dyDescent="0.3">
      <c r="A250" s="1"/>
      <c r="B250" s="2" t="s">
        <v>265</v>
      </c>
      <c r="C250" s="18" t="s">
        <v>266</v>
      </c>
      <c r="D250" s="4" t="s">
        <v>89</v>
      </c>
      <c r="E250" s="19">
        <v>1</v>
      </c>
      <c r="F250" s="20">
        <v>25.6</v>
      </c>
      <c r="G250" s="20">
        <f t="shared" ref="G250:G256" si="11">IF(OR(OR(F250=0,F250=""),OR(E250=0,E250="")),"",$E250*F250)</f>
        <v>25.6</v>
      </c>
      <c r="H250" s="21"/>
    </row>
    <row r="251" spans="1:8" x14ac:dyDescent="0.3">
      <c r="A251" s="1"/>
      <c r="B251" s="2" t="s">
        <v>267</v>
      </c>
      <c r="C251" s="18" t="s">
        <v>268</v>
      </c>
      <c r="D251" s="4" t="s">
        <v>89</v>
      </c>
      <c r="E251" s="19">
        <v>1</v>
      </c>
      <c r="F251" s="20">
        <v>25.6</v>
      </c>
      <c r="G251" s="20">
        <f t="shared" si="11"/>
        <v>25.6</v>
      </c>
      <c r="H251" s="21"/>
    </row>
    <row r="252" spans="1:8" x14ac:dyDescent="0.3">
      <c r="A252" s="1"/>
      <c r="B252" s="2" t="s">
        <v>269</v>
      </c>
      <c r="C252" s="18" t="s">
        <v>270</v>
      </c>
      <c r="D252" s="4" t="s">
        <v>89</v>
      </c>
      <c r="E252" s="19">
        <v>1</v>
      </c>
      <c r="F252" s="20">
        <v>25.6</v>
      </c>
      <c r="G252" s="20">
        <f t="shared" si="11"/>
        <v>25.6</v>
      </c>
      <c r="H252" s="21"/>
    </row>
    <row r="253" spans="1:8" x14ac:dyDescent="0.3">
      <c r="A253" s="1"/>
      <c r="B253" s="2" t="s">
        <v>271</v>
      </c>
      <c r="C253" s="18" t="s">
        <v>272</v>
      </c>
      <c r="D253" s="4" t="s">
        <v>89</v>
      </c>
      <c r="E253" s="19">
        <v>1</v>
      </c>
      <c r="F253" s="20">
        <v>22.4</v>
      </c>
      <c r="G253" s="20">
        <f t="shared" si="11"/>
        <v>22.4</v>
      </c>
      <c r="H253" s="21"/>
    </row>
    <row r="254" spans="1:8" x14ac:dyDescent="0.3">
      <c r="A254" s="1"/>
      <c r="B254" s="2" t="s">
        <v>273</v>
      </c>
      <c r="C254" s="18" t="s">
        <v>274</v>
      </c>
      <c r="D254" s="4" t="s">
        <v>89</v>
      </c>
      <c r="E254" s="19">
        <v>1</v>
      </c>
      <c r="F254" s="20">
        <v>25.6</v>
      </c>
      <c r="G254" s="20">
        <f t="shared" si="11"/>
        <v>25.6</v>
      </c>
      <c r="H254" s="21"/>
    </row>
    <row r="255" spans="1:8" x14ac:dyDescent="0.3">
      <c r="A255" s="1"/>
      <c r="B255" s="2" t="s">
        <v>275</v>
      </c>
      <c r="C255" s="18" t="s">
        <v>276</v>
      </c>
      <c r="D255" s="4" t="s">
        <v>89</v>
      </c>
      <c r="E255" s="19">
        <v>1</v>
      </c>
      <c r="F255" s="20">
        <v>25.6</v>
      </c>
      <c r="G255" s="20">
        <f t="shared" si="11"/>
        <v>25.6</v>
      </c>
      <c r="H255" s="21"/>
    </row>
    <row r="256" spans="1:8" x14ac:dyDescent="0.3">
      <c r="A256" s="1"/>
      <c r="B256" s="2" t="s">
        <v>277</v>
      </c>
      <c r="C256" s="18" t="s">
        <v>278</v>
      </c>
      <c r="D256" s="4" t="s">
        <v>89</v>
      </c>
      <c r="E256" s="19">
        <v>1</v>
      </c>
      <c r="F256" s="20">
        <v>25.6</v>
      </c>
      <c r="G256" s="20">
        <f t="shared" si="11"/>
        <v>25.6</v>
      </c>
      <c r="H256" s="21"/>
    </row>
    <row r="257" spans="1:8" x14ac:dyDescent="0.3">
      <c r="A257" s="1"/>
      <c r="B257" s="2"/>
      <c r="C257" s="3"/>
      <c r="D257" s="4"/>
      <c r="E257" s="2"/>
      <c r="F257" s="30"/>
      <c r="G257" s="31">
        <f>SUM(G250:G256)</f>
        <v>176</v>
      </c>
      <c r="H257" s="30"/>
    </row>
    <row r="258" spans="1:8" x14ac:dyDescent="0.3">
      <c r="A258" s="1"/>
      <c r="B258" s="2"/>
      <c r="C258" s="3"/>
      <c r="D258" s="4"/>
      <c r="E258" s="2"/>
      <c r="F258" s="2"/>
      <c r="G258" s="2"/>
      <c r="H258" s="2"/>
    </row>
    <row r="259" spans="1:8" ht="24" x14ac:dyDescent="0.3">
      <c r="A259" s="1"/>
      <c r="B259" s="13" t="s">
        <v>279</v>
      </c>
      <c r="C259" s="8" t="s">
        <v>280</v>
      </c>
      <c r="D259" s="4"/>
      <c r="E259" s="2"/>
      <c r="F259" s="2"/>
      <c r="G259" s="2"/>
      <c r="H259" s="2"/>
    </row>
    <row r="260" spans="1:8" ht="24.6" x14ac:dyDescent="0.3">
      <c r="A260" s="1"/>
      <c r="B260" s="2" t="s">
        <v>281</v>
      </c>
      <c r="C260" s="18" t="s">
        <v>282</v>
      </c>
      <c r="D260" s="4" t="s">
        <v>89</v>
      </c>
      <c r="E260" s="19">
        <v>1</v>
      </c>
      <c r="F260" s="20">
        <v>32</v>
      </c>
      <c r="G260" s="20">
        <f t="shared" ref="G260:G262" si="12">IF(OR(OR(F260=0,F260=""),OR(E260=0,E260="")),"",$E260*F260)</f>
        <v>32</v>
      </c>
      <c r="H260" s="21"/>
    </row>
    <row r="261" spans="1:8" x14ac:dyDescent="0.3">
      <c r="A261" s="1"/>
      <c r="B261" s="2" t="s">
        <v>283</v>
      </c>
      <c r="C261" s="18" t="s">
        <v>284</v>
      </c>
      <c r="D261" s="4" t="s">
        <v>89</v>
      </c>
      <c r="E261" s="19">
        <v>1</v>
      </c>
      <c r="F261" s="20">
        <v>32</v>
      </c>
      <c r="G261" s="20">
        <f t="shared" si="12"/>
        <v>32</v>
      </c>
      <c r="H261" s="21"/>
    </row>
    <row r="262" spans="1:8" x14ac:dyDescent="0.3">
      <c r="A262" s="1"/>
      <c r="B262" s="2" t="s">
        <v>285</v>
      </c>
      <c r="C262" s="18" t="s">
        <v>286</v>
      </c>
      <c r="D262" s="4" t="s">
        <v>89</v>
      </c>
      <c r="E262" s="19">
        <v>2</v>
      </c>
      <c r="F262" s="20">
        <v>22.4</v>
      </c>
      <c r="G262" s="20">
        <f t="shared" si="12"/>
        <v>44.8</v>
      </c>
      <c r="H262" s="21"/>
    </row>
    <row r="263" spans="1:8" x14ac:dyDescent="0.3">
      <c r="A263" s="1"/>
      <c r="B263" s="2"/>
      <c r="C263" s="3"/>
      <c r="D263" s="4"/>
      <c r="E263" s="2"/>
      <c r="F263" s="30"/>
      <c r="G263" s="31">
        <f>SUM(G260:G262)</f>
        <v>108.8</v>
      </c>
      <c r="H263" s="30"/>
    </row>
    <row r="264" spans="1:8" x14ac:dyDescent="0.3">
      <c r="A264" s="1"/>
      <c r="B264" s="2"/>
      <c r="C264" s="3"/>
      <c r="D264" s="4"/>
      <c r="E264" s="2"/>
      <c r="F264" s="2"/>
      <c r="G264" s="2"/>
      <c r="H264" s="2"/>
    </row>
    <row r="265" spans="1:8" ht="36" x14ac:dyDescent="0.3">
      <c r="A265" s="1"/>
      <c r="B265" s="13" t="s">
        <v>287</v>
      </c>
      <c r="C265" s="8" t="s">
        <v>288</v>
      </c>
      <c r="D265" s="4"/>
      <c r="E265" s="2"/>
      <c r="F265" s="2"/>
      <c r="G265" s="2"/>
      <c r="H265" s="2"/>
    </row>
    <row r="266" spans="1:8" x14ac:dyDescent="0.3">
      <c r="A266" s="1"/>
      <c r="B266" s="2" t="s">
        <v>289</v>
      </c>
      <c r="C266" s="18" t="s">
        <v>290</v>
      </c>
      <c r="D266" s="4" t="s">
        <v>89</v>
      </c>
      <c r="E266" s="19">
        <v>1</v>
      </c>
      <c r="F266" s="20">
        <v>25.6</v>
      </c>
      <c r="G266" s="20">
        <f t="shared" ref="G266:G268" si="13">IF(OR(OR(F266=0,F266=""),OR(E266=0,E266="")),"",$E266*F266)</f>
        <v>25.6</v>
      </c>
      <c r="H266" s="21"/>
    </row>
    <row r="267" spans="1:8" x14ac:dyDescent="0.3">
      <c r="A267" s="1"/>
      <c r="B267" s="2" t="s">
        <v>291</v>
      </c>
      <c r="C267" s="18" t="s">
        <v>292</v>
      </c>
      <c r="D267" s="4" t="s">
        <v>89</v>
      </c>
      <c r="E267" s="19">
        <v>1</v>
      </c>
      <c r="F267" s="20">
        <v>25.6</v>
      </c>
      <c r="G267" s="20">
        <f t="shared" si="13"/>
        <v>25.6</v>
      </c>
      <c r="H267" s="21"/>
    </row>
    <row r="268" spans="1:8" x14ac:dyDescent="0.3">
      <c r="A268" s="1"/>
      <c r="B268" s="2" t="s">
        <v>293</v>
      </c>
      <c r="C268" s="18" t="s">
        <v>294</v>
      </c>
      <c r="D268" s="4" t="s">
        <v>89</v>
      </c>
      <c r="E268" s="19">
        <v>6</v>
      </c>
      <c r="F268" s="20">
        <v>25.6</v>
      </c>
      <c r="G268" s="20">
        <f t="shared" si="13"/>
        <v>153.60000000000002</v>
      </c>
      <c r="H268" s="21"/>
    </row>
    <row r="269" spans="1:8" x14ac:dyDescent="0.3">
      <c r="A269" s="1"/>
      <c r="B269" s="2"/>
      <c r="C269" s="3"/>
      <c r="D269" s="4"/>
      <c r="E269" s="2"/>
      <c r="F269" s="30"/>
      <c r="G269" s="31">
        <f>SUM(G266:G268)</f>
        <v>204.8</v>
      </c>
      <c r="H269" s="30"/>
    </row>
    <row r="270" spans="1:8" x14ac:dyDescent="0.3">
      <c r="A270" s="1"/>
      <c r="B270" s="2"/>
      <c r="C270" s="3"/>
      <c r="D270" s="4"/>
      <c r="E270" s="2"/>
      <c r="F270" s="2"/>
      <c r="G270" s="2"/>
      <c r="H270" s="2"/>
    </row>
    <row r="271" spans="1:8" ht="60" x14ac:dyDescent="0.3">
      <c r="A271" s="1"/>
      <c r="B271" s="13" t="s">
        <v>295</v>
      </c>
      <c r="C271" s="8" t="s">
        <v>296</v>
      </c>
      <c r="D271" s="4"/>
      <c r="E271" s="2"/>
      <c r="F271" s="2"/>
      <c r="G271" s="2"/>
      <c r="H271" s="2"/>
    </row>
    <row r="272" spans="1:8" x14ac:dyDescent="0.3">
      <c r="A272" s="1"/>
      <c r="B272" s="2" t="s">
        <v>297</v>
      </c>
      <c r="C272" s="18" t="s">
        <v>28</v>
      </c>
      <c r="D272" s="4" t="s">
        <v>56</v>
      </c>
      <c r="E272" s="19">
        <v>199.82</v>
      </c>
      <c r="F272" s="20">
        <v>18</v>
      </c>
      <c r="G272" s="20">
        <f>IF(OR(OR(F272=0,F272=""),OR(E272=0,E272="")),"",$E272*F272)</f>
        <v>3596.7599999999998</v>
      </c>
      <c r="H272" s="21"/>
    </row>
    <row r="273" spans="1:8" x14ac:dyDescent="0.3">
      <c r="A273" s="1"/>
      <c r="B273" s="2"/>
      <c r="C273" s="3"/>
      <c r="D273" s="4"/>
      <c r="E273" s="2"/>
      <c r="F273" s="2"/>
      <c r="G273" s="2"/>
      <c r="H273" s="2"/>
    </row>
    <row r="274" spans="1:8" ht="48" x14ac:dyDescent="0.3">
      <c r="A274" s="1"/>
      <c r="B274" s="13" t="s">
        <v>298</v>
      </c>
      <c r="C274" s="8" t="s">
        <v>299</v>
      </c>
      <c r="D274" s="4"/>
      <c r="E274" s="2"/>
      <c r="F274" s="2"/>
      <c r="G274" s="2"/>
      <c r="H274" s="2"/>
    </row>
    <row r="275" spans="1:8" x14ac:dyDescent="0.3">
      <c r="A275" s="1"/>
      <c r="B275" s="2" t="s">
        <v>300</v>
      </c>
      <c r="C275" s="18" t="s">
        <v>28</v>
      </c>
      <c r="D275" s="4" t="s">
        <v>56</v>
      </c>
      <c r="E275" s="19">
        <v>157.91</v>
      </c>
      <c r="F275" s="20">
        <v>10</v>
      </c>
      <c r="G275" s="20">
        <f>IF(OR(OR(F275=0,F275=""),OR(E275=0,E275="")),"",$E275*F275)</f>
        <v>1579.1</v>
      </c>
      <c r="H275" s="21"/>
    </row>
    <row r="276" spans="1:8" x14ac:dyDescent="0.3">
      <c r="A276" s="1"/>
      <c r="B276" s="2"/>
      <c r="C276" s="3"/>
      <c r="D276" s="4"/>
      <c r="E276" s="2"/>
      <c r="F276" s="2"/>
      <c r="G276" s="2"/>
      <c r="H276" s="2"/>
    </row>
    <row r="277" spans="1:8" ht="48" x14ac:dyDescent="0.3">
      <c r="A277" s="1"/>
      <c r="B277" s="13" t="s">
        <v>301</v>
      </c>
      <c r="C277" s="8" t="s">
        <v>302</v>
      </c>
      <c r="D277" s="4"/>
      <c r="E277" s="2"/>
      <c r="F277" s="2"/>
      <c r="G277" s="2"/>
      <c r="H277" s="2"/>
    </row>
    <row r="278" spans="1:8" x14ac:dyDescent="0.3">
      <c r="A278" s="1"/>
      <c r="B278" s="2" t="s">
        <v>303</v>
      </c>
      <c r="C278" s="18" t="s">
        <v>304</v>
      </c>
      <c r="D278" s="4" t="s">
        <v>56</v>
      </c>
      <c r="E278" s="19">
        <v>77.25</v>
      </c>
      <c r="F278" s="20">
        <v>10.88</v>
      </c>
      <c r="G278" s="20">
        <f t="shared" ref="G278:G280" si="14">IF(OR(OR(F278=0,F278=""),OR(E278=0,E278="")),"",$E278*F278)</f>
        <v>840.48</v>
      </c>
      <c r="H278" s="21"/>
    </row>
    <row r="279" spans="1:8" x14ac:dyDescent="0.3">
      <c r="A279" s="1"/>
      <c r="B279" s="2" t="s">
        <v>305</v>
      </c>
      <c r="C279" s="18" t="s">
        <v>306</v>
      </c>
      <c r="D279" s="4" t="s">
        <v>89</v>
      </c>
      <c r="E279" s="19">
        <v>29.36</v>
      </c>
      <c r="F279" s="20">
        <v>10.88</v>
      </c>
      <c r="G279" s="20">
        <f t="shared" si="14"/>
        <v>319.43680000000001</v>
      </c>
      <c r="H279" s="21"/>
    </row>
    <row r="280" spans="1:8" x14ac:dyDescent="0.3">
      <c r="A280" s="1"/>
      <c r="B280" s="2" t="s">
        <v>307</v>
      </c>
      <c r="C280" s="18" t="s">
        <v>68</v>
      </c>
      <c r="D280" s="4" t="s">
        <v>89</v>
      </c>
      <c r="E280" s="19">
        <v>3.5</v>
      </c>
      <c r="F280" s="20">
        <v>10.88</v>
      </c>
      <c r="G280" s="20">
        <f t="shared" si="14"/>
        <v>38.080000000000005</v>
      </c>
      <c r="H280" s="21"/>
    </row>
    <row r="281" spans="1:8" x14ac:dyDescent="0.3">
      <c r="A281" s="1"/>
      <c r="B281" s="2"/>
      <c r="C281" s="3"/>
      <c r="D281" s="4"/>
      <c r="E281" s="2"/>
      <c r="F281" s="30"/>
      <c r="G281" s="31">
        <f>SUM(G278:G280)</f>
        <v>1197.9967999999999</v>
      </c>
      <c r="H281" s="30"/>
    </row>
    <row r="282" spans="1:8" x14ac:dyDescent="0.3">
      <c r="A282" s="1"/>
      <c r="B282" s="2"/>
      <c r="C282" s="3"/>
      <c r="D282" s="4"/>
      <c r="E282" s="2"/>
      <c r="F282" s="2"/>
      <c r="G282" s="2"/>
      <c r="H282" s="2"/>
    </row>
    <row r="283" spans="1:8" ht="84" x14ac:dyDescent="0.3">
      <c r="A283" s="1"/>
      <c r="B283" s="13" t="s">
        <v>308</v>
      </c>
      <c r="C283" s="8" t="s">
        <v>309</v>
      </c>
      <c r="D283" s="4"/>
      <c r="E283" s="2"/>
      <c r="F283" s="2"/>
      <c r="G283" s="2"/>
      <c r="H283" s="2"/>
    </row>
    <row r="284" spans="1:8" x14ac:dyDescent="0.3">
      <c r="A284" s="1"/>
      <c r="B284" s="2" t="s">
        <v>310</v>
      </c>
      <c r="C284" s="18" t="s">
        <v>28</v>
      </c>
      <c r="D284" s="4" t="s">
        <v>21</v>
      </c>
      <c r="E284" s="19">
        <v>1</v>
      </c>
      <c r="F284" s="20">
        <v>1720</v>
      </c>
      <c r="G284" s="20">
        <f>IF(OR(OR(F284=0,F284=""),OR(E284=0,E284="")),"",$E284*F284)</f>
        <v>1720</v>
      </c>
      <c r="H284" s="21"/>
    </row>
    <row r="285" spans="1:8" x14ac:dyDescent="0.3">
      <c r="A285" s="1"/>
      <c r="B285" s="2"/>
      <c r="C285" s="3"/>
      <c r="D285" s="4"/>
      <c r="E285" s="2"/>
      <c r="F285" s="2"/>
      <c r="G285" s="2"/>
      <c r="H285" s="2"/>
    </row>
    <row r="286" spans="1:8" ht="48" x14ac:dyDescent="0.3">
      <c r="A286" s="1"/>
      <c r="B286" s="13" t="s">
        <v>311</v>
      </c>
      <c r="C286" s="8" t="s">
        <v>312</v>
      </c>
      <c r="D286" s="4"/>
      <c r="E286" s="2"/>
      <c r="F286" s="2"/>
      <c r="G286" s="2"/>
      <c r="H286" s="2"/>
    </row>
    <row r="287" spans="1:8" x14ac:dyDescent="0.3">
      <c r="A287" s="1"/>
      <c r="B287" s="2" t="s">
        <v>313</v>
      </c>
      <c r="C287" s="18" t="s">
        <v>28</v>
      </c>
      <c r="D287" s="4" t="s">
        <v>21</v>
      </c>
      <c r="E287" s="19">
        <v>1</v>
      </c>
      <c r="F287" s="20">
        <v>850</v>
      </c>
      <c r="G287" s="20">
        <f>IF(OR(OR(F287=0,F287=""),OR(E287=0,E287="")),"",$E287*F287)</f>
        <v>850</v>
      </c>
      <c r="H287" s="21"/>
    </row>
    <row r="288" spans="1:8" x14ac:dyDescent="0.3">
      <c r="A288" s="1"/>
      <c r="B288" s="2"/>
      <c r="C288" s="3"/>
      <c r="D288" s="4"/>
      <c r="E288" s="2"/>
      <c r="F288" s="2"/>
      <c r="G288" s="2"/>
      <c r="H288" s="2"/>
    </row>
    <row r="289" spans="1:8" ht="84" x14ac:dyDescent="0.3">
      <c r="A289" s="1"/>
      <c r="B289" s="13" t="s">
        <v>314</v>
      </c>
      <c r="C289" s="8" t="s">
        <v>315</v>
      </c>
      <c r="D289" s="4"/>
      <c r="E289" s="2"/>
      <c r="F289" s="2"/>
      <c r="G289" s="2"/>
      <c r="H289" s="2"/>
    </row>
    <row r="290" spans="1:8" x14ac:dyDescent="0.3">
      <c r="A290" s="1"/>
      <c r="B290" s="2" t="s">
        <v>316</v>
      </c>
      <c r="C290" s="18" t="s">
        <v>317</v>
      </c>
      <c r="D290" s="4" t="s">
        <v>89</v>
      </c>
      <c r="E290" s="19">
        <v>6</v>
      </c>
      <c r="F290" s="20">
        <v>35</v>
      </c>
      <c r="G290" s="20">
        <f>IF(OR(OR(F290=0,F290=""),OR(E290=0,E290="")),"",$E290*F290)</f>
        <v>210</v>
      </c>
      <c r="H290" s="21"/>
    </row>
    <row r="291" spans="1:8" x14ac:dyDescent="0.3">
      <c r="A291" s="1"/>
      <c r="B291" s="2" t="s">
        <v>318</v>
      </c>
      <c r="C291" s="18" t="s">
        <v>319</v>
      </c>
      <c r="D291" s="4" t="s">
        <v>89</v>
      </c>
      <c r="E291" s="19">
        <v>2</v>
      </c>
      <c r="F291" s="20">
        <v>35</v>
      </c>
      <c r="G291" s="20">
        <f>IF(OR(OR(F291=0,F291=""),OR(E291=0,E291="")),"",$E291*F291)</f>
        <v>70</v>
      </c>
      <c r="H291" s="21"/>
    </row>
    <row r="292" spans="1:8" x14ac:dyDescent="0.3">
      <c r="A292" s="1"/>
      <c r="B292" s="2" t="s">
        <v>320</v>
      </c>
      <c r="C292" s="18" t="s">
        <v>321</v>
      </c>
      <c r="D292" s="4" t="s">
        <v>89</v>
      </c>
      <c r="E292" s="19">
        <v>6</v>
      </c>
      <c r="F292" s="20">
        <v>35</v>
      </c>
      <c r="G292" s="20">
        <f>IF(OR(OR(F292=0,F292=""),OR(E292=0,E292="")),"",$E292*F292)</f>
        <v>210</v>
      </c>
      <c r="H292" s="21"/>
    </row>
    <row r="293" spans="1:8" x14ac:dyDescent="0.3">
      <c r="A293" s="1"/>
      <c r="B293" s="2" t="s">
        <v>322</v>
      </c>
      <c r="C293" s="18" t="s">
        <v>323</v>
      </c>
      <c r="D293" s="4" t="s">
        <v>89</v>
      </c>
      <c r="E293" s="19">
        <v>3</v>
      </c>
      <c r="F293" s="20">
        <v>35</v>
      </c>
      <c r="G293" s="20">
        <f>IF(OR(OR(F293=0,F293=""),OR(E293=0,E293="")),"",$E293*F293)</f>
        <v>105</v>
      </c>
      <c r="H293" s="21"/>
    </row>
    <row r="294" spans="1:8" x14ac:dyDescent="0.3">
      <c r="A294" s="1"/>
      <c r="B294" s="2"/>
      <c r="C294" s="3"/>
      <c r="D294" s="4"/>
      <c r="E294" s="2"/>
      <c r="F294" s="30"/>
      <c r="G294" s="31">
        <f>SUM(G290:G293)</f>
        <v>595</v>
      </c>
      <c r="H294" s="30"/>
    </row>
    <row r="295" spans="1:8" x14ac:dyDescent="0.3">
      <c r="A295" s="1"/>
      <c r="B295" s="2"/>
      <c r="C295" s="3"/>
      <c r="D295" s="4"/>
      <c r="E295" s="2"/>
      <c r="F295" s="2"/>
      <c r="G295" s="2"/>
      <c r="H295" s="2"/>
    </row>
    <row r="296" spans="1:8" ht="48" x14ac:dyDescent="0.3">
      <c r="A296" s="1"/>
      <c r="B296" s="13" t="s">
        <v>324</v>
      </c>
      <c r="C296" s="8" t="s">
        <v>325</v>
      </c>
      <c r="D296" s="4"/>
      <c r="E296" s="2"/>
      <c r="F296" s="2"/>
      <c r="G296" s="2"/>
      <c r="H296" s="2"/>
    </row>
    <row r="297" spans="1:8" x14ac:dyDescent="0.3">
      <c r="A297" s="1"/>
      <c r="B297" s="2" t="s">
        <v>326</v>
      </c>
      <c r="C297" s="18" t="s">
        <v>327</v>
      </c>
      <c r="D297" s="4" t="s">
        <v>32</v>
      </c>
      <c r="E297" s="19">
        <v>37</v>
      </c>
      <c r="F297" s="20">
        <v>5</v>
      </c>
      <c r="G297" s="20">
        <f t="shared" ref="G297:G302" si="15">IF(OR(OR(F297=0,F297=""),OR(E297=0,E297="")),"",$E297*F297)</f>
        <v>185</v>
      </c>
      <c r="H297" s="21"/>
    </row>
    <row r="298" spans="1:8" x14ac:dyDescent="0.3">
      <c r="A298" s="1"/>
      <c r="B298" s="2" t="s">
        <v>328</v>
      </c>
      <c r="C298" s="18" t="s">
        <v>329</v>
      </c>
      <c r="D298" s="4" t="s">
        <v>32</v>
      </c>
      <c r="E298" s="19">
        <v>57</v>
      </c>
      <c r="F298" s="20">
        <v>5</v>
      </c>
      <c r="G298" s="20">
        <f t="shared" si="15"/>
        <v>285</v>
      </c>
      <c r="H298" s="21"/>
    </row>
    <row r="299" spans="1:8" x14ac:dyDescent="0.3">
      <c r="A299" s="1"/>
      <c r="B299" s="2" t="s">
        <v>330</v>
      </c>
      <c r="C299" s="18" t="s">
        <v>331</v>
      </c>
      <c r="D299" s="4" t="s">
        <v>89</v>
      </c>
      <c r="E299" s="19">
        <v>7</v>
      </c>
      <c r="F299" s="20">
        <v>4</v>
      </c>
      <c r="G299" s="20">
        <f t="shared" si="15"/>
        <v>28</v>
      </c>
      <c r="H299" s="21"/>
    </row>
    <row r="300" spans="1:8" x14ac:dyDescent="0.3">
      <c r="A300" s="1"/>
      <c r="B300" s="2" t="s">
        <v>332</v>
      </c>
      <c r="C300" s="18" t="s">
        <v>333</v>
      </c>
      <c r="D300" s="4" t="s">
        <v>89</v>
      </c>
      <c r="E300" s="19">
        <v>3</v>
      </c>
      <c r="F300" s="20">
        <v>4</v>
      </c>
      <c r="G300" s="20">
        <f t="shared" si="15"/>
        <v>12</v>
      </c>
      <c r="H300" s="21"/>
    </row>
    <row r="301" spans="1:8" x14ac:dyDescent="0.3">
      <c r="A301" s="1"/>
      <c r="B301" s="2" t="s">
        <v>334</v>
      </c>
      <c r="C301" s="18" t="s">
        <v>335</v>
      </c>
      <c r="D301" s="4" t="s">
        <v>89</v>
      </c>
      <c r="E301" s="19">
        <v>7</v>
      </c>
      <c r="F301" s="20">
        <v>4</v>
      </c>
      <c r="G301" s="20">
        <f t="shared" si="15"/>
        <v>28</v>
      </c>
      <c r="H301" s="21"/>
    </row>
    <row r="302" spans="1:8" x14ac:dyDescent="0.3">
      <c r="A302" s="1"/>
      <c r="B302" s="2" t="s">
        <v>336</v>
      </c>
      <c r="C302" s="18" t="s">
        <v>337</v>
      </c>
      <c r="D302" s="4" t="s">
        <v>32</v>
      </c>
      <c r="E302" s="19">
        <v>83.43</v>
      </c>
      <c r="F302" s="20">
        <v>4</v>
      </c>
      <c r="G302" s="20">
        <f t="shared" si="15"/>
        <v>333.72</v>
      </c>
      <c r="H302" s="21"/>
    </row>
    <row r="303" spans="1:8" x14ac:dyDescent="0.3">
      <c r="A303" s="1"/>
      <c r="B303" s="2"/>
      <c r="C303" s="3"/>
      <c r="D303" s="4"/>
      <c r="E303" s="2"/>
      <c r="F303" s="30"/>
      <c r="G303" s="31">
        <f>SUM(G297:G302)</f>
        <v>871.72</v>
      </c>
      <c r="H303" s="30"/>
    </row>
    <row r="304" spans="1:8" x14ac:dyDescent="0.3">
      <c r="A304" s="1"/>
      <c r="B304" s="2"/>
      <c r="C304" s="3"/>
      <c r="D304" s="4"/>
      <c r="E304" s="2"/>
      <c r="F304" s="2"/>
      <c r="G304" s="2"/>
      <c r="H304" s="2"/>
    </row>
    <row r="305" spans="1:8" ht="24" x14ac:dyDescent="0.3">
      <c r="A305" s="1"/>
      <c r="B305" s="13" t="s">
        <v>338</v>
      </c>
      <c r="C305" s="8" t="s">
        <v>350</v>
      </c>
      <c r="D305" s="4"/>
      <c r="E305" s="2"/>
      <c r="F305" s="2"/>
      <c r="G305" s="2"/>
      <c r="H305" s="2"/>
    </row>
    <row r="306" spans="1:8" x14ac:dyDescent="0.3">
      <c r="A306" s="1"/>
      <c r="B306" s="2"/>
      <c r="C306" s="8" t="s">
        <v>339</v>
      </c>
      <c r="D306" s="4"/>
      <c r="E306" s="2"/>
      <c r="F306" s="2"/>
      <c r="G306" s="2"/>
      <c r="H306" s="2"/>
    </row>
    <row r="307" spans="1:8" x14ac:dyDescent="0.3">
      <c r="A307" s="1"/>
      <c r="B307" s="2" t="s">
        <v>340</v>
      </c>
      <c r="C307" s="18" t="s">
        <v>28</v>
      </c>
      <c r="D307" s="4" t="s">
        <v>21</v>
      </c>
      <c r="E307" s="19">
        <v>1</v>
      </c>
      <c r="F307" s="20">
        <v>1350</v>
      </c>
      <c r="G307" s="20">
        <f>IF(OR(OR(F307=0,F307=""),OR(E307=0,E307="")),"",$E307*F307)</f>
        <v>1350</v>
      </c>
      <c r="H307" s="21"/>
    </row>
    <row r="308" spans="1:8" x14ac:dyDescent="0.3">
      <c r="A308" s="1"/>
      <c r="B308" s="2"/>
      <c r="C308" s="3"/>
      <c r="D308" s="4"/>
      <c r="E308" s="2"/>
      <c r="F308" s="2"/>
      <c r="G308" s="2"/>
      <c r="H308" s="2"/>
    </row>
    <row r="309" spans="1:8" ht="36" x14ac:dyDescent="0.3">
      <c r="A309" s="1"/>
      <c r="B309" s="13" t="s">
        <v>341</v>
      </c>
      <c r="C309" s="8" t="s">
        <v>342</v>
      </c>
      <c r="D309" s="4"/>
      <c r="E309" s="2"/>
      <c r="F309" s="2"/>
      <c r="G309" s="2"/>
      <c r="H309" s="2"/>
    </row>
    <row r="310" spans="1:8" x14ac:dyDescent="0.3">
      <c r="A310" s="1"/>
      <c r="B310" s="2"/>
      <c r="C310" s="8" t="s">
        <v>339</v>
      </c>
      <c r="D310" s="4"/>
      <c r="E310" s="2"/>
      <c r="F310" s="2"/>
      <c r="G310" s="2"/>
      <c r="H310" s="2"/>
    </row>
    <row r="311" spans="1:8" x14ac:dyDescent="0.3">
      <c r="A311" s="1"/>
      <c r="B311" s="2" t="s">
        <v>343</v>
      </c>
      <c r="C311" s="18" t="s">
        <v>28</v>
      </c>
      <c r="D311" s="4" t="s">
        <v>21</v>
      </c>
      <c r="E311" s="19">
        <v>1</v>
      </c>
      <c r="F311" s="20">
        <v>680</v>
      </c>
      <c r="G311" s="20">
        <f>IF(OR(OR(F311=0,F311=""),OR(E311=0,E311="")),"",$E311*F311)</f>
        <v>680</v>
      </c>
      <c r="H311" s="21"/>
    </row>
    <row r="312" spans="1:8" x14ac:dyDescent="0.3">
      <c r="A312" s="1"/>
      <c r="B312" s="2"/>
      <c r="C312" s="3"/>
      <c r="D312" s="4"/>
      <c r="E312" s="2"/>
      <c r="F312" s="2"/>
      <c r="G312" s="2"/>
      <c r="H312" s="2"/>
    </row>
    <row r="313" spans="1:8" x14ac:dyDescent="0.3">
      <c r="A313" s="1"/>
      <c r="B313" s="24" t="s">
        <v>156</v>
      </c>
      <c r="C313" s="46" t="s">
        <v>344</v>
      </c>
      <c r="D313" s="47"/>
      <c r="E313" s="48"/>
      <c r="F313" s="48"/>
      <c r="G313" s="37">
        <f>SUM(G164,G167,G171,G174,G179,G182,G187,G192,G195,G198,G201,G204,G207,G212,G230,G233,G238,G241,G247,G257,G263,G269,G272,G275,G281,G284,G287,G294,G303,G307,G311)</f>
        <v>28621.836399999997</v>
      </c>
      <c r="H313" s="37"/>
    </row>
    <row r="314" spans="1:8" x14ac:dyDescent="0.3">
      <c r="A314" s="1"/>
      <c r="B314" s="2"/>
      <c r="C314" s="3"/>
      <c r="D314" s="4"/>
      <c r="E314" s="2"/>
      <c r="F314" s="2"/>
      <c r="G314" s="2"/>
      <c r="H314" s="2"/>
    </row>
    <row r="315" spans="1:8" x14ac:dyDescent="0.3">
      <c r="A315" s="1"/>
      <c r="B315" s="10" t="s">
        <v>34</v>
      </c>
      <c r="C315" s="40" t="s">
        <v>345</v>
      </c>
      <c r="D315" s="41"/>
      <c r="E315" s="42"/>
      <c r="F315" s="42"/>
      <c r="G315" s="22">
        <f>SUM(G154,G313)</f>
        <v>85337.036999999982</v>
      </c>
      <c r="H315" s="22"/>
    </row>
    <row r="316" spans="1:8" x14ac:dyDescent="0.3">
      <c r="A316" s="1"/>
      <c r="B316" s="2"/>
      <c r="C316" s="3"/>
      <c r="D316" s="4"/>
      <c r="E316" s="2"/>
      <c r="F316" s="2"/>
      <c r="G316" s="2"/>
      <c r="H316" s="2"/>
    </row>
    <row r="317" spans="1:8" x14ac:dyDescent="0.3">
      <c r="A317" s="1"/>
      <c r="B317" s="5" t="s">
        <v>0</v>
      </c>
      <c r="C317" s="43" t="s">
        <v>346</v>
      </c>
      <c r="D317" s="44"/>
      <c r="E317" s="45"/>
      <c r="F317" s="45"/>
      <c r="G317" s="38">
        <f>SUM(G22,G32,G315)</f>
        <v>86337.036999999982</v>
      </c>
      <c r="H317" s="38"/>
    </row>
  </sheetData>
  <mergeCells count="14">
    <mergeCell ref="C315:F315"/>
    <mergeCell ref="C317:F317"/>
    <mergeCell ref="C40:G40"/>
    <mergeCell ref="C42:G42"/>
    <mergeCell ref="C152:F152"/>
    <mergeCell ref="C154:F154"/>
    <mergeCell ref="C156:G156"/>
    <mergeCell ref="C313:F313"/>
    <mergeCell ref="C34:G34"/>
    <mergeCell ref="C4:G4"/>
    <mergeCell ref="C15:G15"/>
    <mergeCell ref="C22:F22"/>
    <mergeCell ref="C24:G24"/>
    <mergeCell ref="C32:F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51507092ABC42A1F78E63565BAFD7" ma:contentTypeVersion="13" ma:contentTypeDescription="Stvaranje novog dokumenta." ma:contentTypeScope="" ma:versionID="f6cccbc4df799be886314aa582b14acf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ea945c4d7d0ae4f3c560aa17fcfe243b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Oznake slika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Props1.xml><?xml version="1.0" encoding="utf-8"?>
<ds:datastoreItem xmlns:ds="http://schemas.openxmlformats.org/officeDocument/2006/customXml" ds:itemID="{08A71BAD-FBCE-4AF9-B611-01679BFC4D2A}"/>
</file>

<file path=customXml/itemProps2.xml><?xml version="1.0" encoding="utf-8"?>
<ds:datastoreItem xmlns:ds="http://schemas.openxmlformats.org/officeDocument/2006/customXml" ds:itemID="{7E1BF7E3-F0F4-475E-AB98-F885405BC1EA}"/>
</file>

<file path=customXml/itemProps3.xml><?xml version="1.0" encoding="utf-8"?>
<ds:datastoreItem xmlns:ds="http://schemas.openxmlformats.org/officeDocument/2006/customXml" ds:itemID="{97A60A7C-6D6C-456B-8BDF-1E8AADBBF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Vedran Zderic</dc:creator>
  <cp:lastModifiedBy>Vedran Zderic</cp:lastModifiedBy>
  <dcterms:created xsi:type="dcterms:W3CDTF">2025-09-10T16:20:58Z</dcterms:created>
  <dcterms:modified xsi:type="dcterms:W3CDTF">2025-09-11T09:39:44Z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0x01010053A51507092ABC42A1F78E63565BAFD7</vt:lpwstr>
  </property>
</Properties>
</file>
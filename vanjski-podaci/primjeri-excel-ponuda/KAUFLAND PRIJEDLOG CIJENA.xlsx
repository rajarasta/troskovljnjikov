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KAUFLAND\"/>
    </mc:Choice>
  </mc:AlternateContent>
  <xr:revisionPtr revIDLastSave="0" documentId="13_ncr:1_{AFFC2C70-5EFB-41C9-8183-3B97B4479E7B}" xr6:coauthVersionLast="47" xr6:coauthVersionMax="47" xr10:uidLastSave="{00000000-0000-0000-0000-000000000000}"/>
  <bookViews>
    <workbookView xWindow="-120" yWindow="-120" windowWidth="38640" windowHeight="15720" xr2:uid="{1CD746DA-1370-489C-B7C5-1895D014115A}"/>
  </bookViews>
  <sheets>
    <sheet name="sheet1" sheetId="1" r:id="rId1"/>
  </sheets>
  <definedNames>
    <definedName name="_xlnm.Print_Area" localSheetId="0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" i="1" l="1"/>
  <c r="G18" i="1"/>
  <c r="G19" i="1"/>
  <c r="G20" i="1"/>
  <c r="G22" i="1"/>
  <c r="G27" i="1"/>
  <c r="G28" i="1"/>
  <c r="G30" i="1"/>
  <c r="G34" i="1"/>
  <c r="G35" i="1"/>
  <c r="G38" i="1" s="1"/>
  <c r="G36" i="1"/>
  <c r="G40" i="1" l="1"/>
  <c r="I19" i="1"/>
  <c r="I20" i="1" l="1"/>
  <c r="I18" i="1"/>
  <c r="I27" i="1"/>
  <c r="I28" i="1"/>
  <c r="I34" i="1"/>
  <c r="I36" i="1"/>
  <c r="I17" i="1"/>
  <c r="I35" i="1"/>
</calcChain>
</file>

<file path=xl/sharedStrings.xml><?xml version="1.0" encoding="utf-8"?>
<sst xmlns="http://schemas.openxmlformats.org/spreadsheetml/2006/main" count="77" uniqueCount="60">
  <si>
    <t>Prilog 4- Ugovorni troškovnik- TRIBE INŽENJERING d.o.o.</t>
  </si>
  <si>
    <t>31.03.2025.</t>
  </si>
  <si>
    <t>Kaufland Hrvatska k.d.</t>
  </si>
  <si>
    <t>Donje svetice 14 10000 Zagreb, Hrvatska</t>
  </si>
  <si>
    <t>Broj telefona: 0994344287</t>
  </si>
  <si>
    <t>Projekt: Osijek-Retfala</t>
  </si>
  <si>
    <t>Gradilište: Svilajska ul., 31000 Osijek</t>
  </si>
  <si>
    <t>ZTV - Dodatni tehnički uvjeti ugovora</t>
  </si>
  <si>
    <t/>
  </si>
  <si>
    <t>kom</t>
  </si>
  <si>
    <t>m</t>
  </si>
  <si>
    <t>Prethodne napomene</t>
  </si>
  <si>
    <t>m2</t>
  </si>
  <si>
    <t>701</t>
  </si>
  <si>
    <t>Vanjske površine</t>
  </si>
  <si>
    <t>701.000</t>
  </si>
  <si>
    <t>1.) Dodatni ugovoreni tehnički uvjeti dio su troškovnika te u slučaju ugovaranja postaju dio ugovora. Izvođač radova se dakle obavezuje na sve usluge radove i primjene koje proizlaze iz ovih uvjeta te su one uračunate u cijenu, ukoliko nisu zasebno ponuđene.
2.) Cijene stavki se prikazuju kao neto iznos u državnoj valuti. Važeći zakonski propisani porez na dodanu vrijednost obračunava se zasebno.
3.) U slučaju proturječnosti dodatnih ugovorenih tehničkih uvjeta vrijede prvenstveno podaci iz troškovnika. U slučaju proturječnosti između troškovnika i tehničke dokumentacije koja se predaje prilikom natječaja, vrijedi tehnička dokumentacija.
4.) Prije početka davanja ponude, ponuditelj je dužan pažljivo pročitati kompletan tekst općih uvjeta uz troškovnik, općih i posebnih uvjeta uz svaku grupu radova, tekst samog troškovnika i ostale dijelove tehničke dokumentacije. Ako opis bilo koje stavke u troškovniku dovodi do sumnje o načinu izvedbe ili upotrebu gradiva zahtijevane kvalitete, treba prije predaje ponude zatražiti pojašnjenje od ovlaštene osobe Investitora. Naknadno pozivanje na manjkavost ili nepoznavanje projektno-tehničke dokumentacije ili opisa u troškovniku neće se uzeti u obzir, niti smatrati razlogom za produženje roka izvedbe, a niti će se priznati bilo kakva razlika u cijeni s tog naslova.
5.) Tehnička dokumentacija koja se predaje prilikom natječaja informativnog je karaktera, a ponuđač je dužan u svom trošku izvršiti kontrolu projektno tehničke dokumentacije u smislu točnosti, tehničke ispravnosti, izvedivosti i međusobne usklađenosti. Sve eventualne primjedbe ponuditelj/izvoditelj dužan je pravovremeno uz ponudu, a u svakom slučaju prije izvedbe u pisanom obliku dostaviti Nadzoru i Naručitelju
6.) Ponuditelj je dužan provesti i kontrolu lokacije na licu mjesta prije davanja ponude. Jedinične cijene za pojedine vrste radova sadrže i sve one posredne troškove koji nisu iskazani u troškovniku, ali su neminovni za izvršenje radova predviđenih projektom.
7.) Organizacija gradilišta uračunata je u cijenu, ukoliko nije ponuđena kao zasebna stavka.
8.) Dizalice za podizanje, skele, strojevi, alati, pomoćna sredstva i konstrukcije uzeti su u obzir te su uračunati u jediničnu cijenu.
9.) Skele za radove na fasadi i radove na krovu predmet su ovog natječaja. Ponuditelj smije koristiti postojeće skele uz poštivanje sigurnosnih uvjeta i na vlastitu odgovornost. Preinake na skelama nisu dozvoljene te se one moraju predati u ispravnom stanju u kojem su i preuzete.
10.) Kompletnu režiju gradilišta usigurava i rješava ponuditelj/izvođač i i uključena je u jediničnu cijenu.
11.) Ponuditelj je obvezan redovno prikupljati i ,pravilno skladištiti i odvoziti na ovlašteni deponij sve otpadne materijale, ostatke, krhotine, građevinski otpad, ambalaže, obični otpad i slično o vlastitom trošku. Kod odlaganja otpada potrebno je pridržavati se svih javnopravnih uputa i propisa.
12.) Onečišćenja koja uslijed radova nastaju na susjednim terenima, zgradama, putovima, cestama, trgovima i slično, izvođač radova treba svakodnevno čistiti.
13.) Izvođač preuzima odgovornost za osiguravanje, skladištenje i spremanje vlastite građevinske opreme, strojeva, uređaja, alata i slično. Jednako vrijedi i za građevinske materijale, elemente i za ugradnju određenih uređaja i objekata sve do primopredaje obavljenih građevinskih radova.
14.) Prilikom izvođenja radova, izvoditelj treba zaštititi sve susjedne plohe, dijelove konstrukcije i prethodno izvedene radove na prikladan način a u skladu sa pravilima zaštite na radu, tako da ne dođe do oštećenja istih. Troškove zaštite treba izvoditelj ukalkulirati u ponudbenu cijenu izvođenja radova. Ukoliko ipak dođe do oštećenja prethodno izvedenih radova za koje je odgovoran izvoditelj ili njegov kooperant, dužan je iste o svom trošku dovesti u stanje prije oštećenja ili naručiti iste radove kod drugog izvoditelja na svoj teret.
15.) Sve potrebne mjere prema javnopravnim uputama i propisima za sigurnost i zaštitu zdravlja trebaju se uzeti u obzir te ih se treba pridržavati prilikom izvođenja radova.
16.) Prilikom davanja ponude i izvođenja radova treba se uzeti u obzir, uračunati i pridržavati se
- svih državnih i javnopravnih zakona, smjernica i propisa
- svih odgovarajućih tehničkih standarda, pravila i smjernica
- općeprihvaćenih pravila tehnike
- uputa, propisa i napomena proizvođača za ugradnju i obradu
- Kauflandovih građevinskih opisa, ugovorenih uvjeta i ostalih Kauflandovih dokumenata i planova.
17.) Stavke troškovnika obuhvačaju konačno dovršenje radova definiranih po količini i kvaliteti, onosno podrazumijevaju se kao gotove, potpune i funkcionirajuće, uklj. sve potrebne male dijelove i sredstva za pričvršćivanje, pomoćne materijale i sredstva, podkonstrukcije itd., kao i sve dodatne i posebne usluge - čak i kada one nisu detaljno opisane.
18.) Ako su treće stranke uključene u izvođenje predradnji, izvođač radova ih treba provjeravati. U slučaju nepravilnosti ili prigovora pravovremeno treba informirati naručitelja, tako da može tehnički i organizacijski dovršiti poslove.
19.) Obavezno se treba pridržavati svih Kauflandovih proizvodnih uputa, osim ako postoje opravdani razlozi za odstupanje (npr. dostupnost). U tom slučaju izvođač treba ponuditi istovjetni proizvod ili sustav te potvrditi istovjetnost. O njoj odlučuje naručitelj.
20.) Sustavi se izvode isključivo pomoću komponenata koje su predviđene od strane proizvođača sustava.
21.) Svi materijali, građevinski elementi i uređaji koji neposredno utječu na izgled i funkcionalnost prije ugradnje se trebaju provjeriti. Ugrađuju se tek nakon što naručitelj ili ovlaštena osoba odobri ugradnju na gradilištu. O vrsti i obliku uzorka odlučuje naručitelj.
22.) Ako nije drukčije propisano, izmjene postojećih projektnih rješenja od strane ponuditelja/izvođača a koje utječu na mehaničku stabilnost, ponuditelj/izvođač je dužan u svom trošku ishoditi sve suglasnosti, dozvole i sl.
Projekt izvedenog stanja ukalkulirati u jedničnu cijenu te dostaviti Kauflandu u pisanom i digitalnom obliku.
23.) Svi radovi na objektu te primjenjeni sistemi gradnje moraju biti izvedeni prema pravilu struke, odnosnu u granicama dopuštenih tolerancija.
24.) Ukoliko je ugovoreni termin izvršenja objekta uključen i zimski odnosno ljetni period, to se neće posebno izvođaču priznavati na ime naknade za rad pri niskoj temperaturi, zaštita konstrukcija od hladnoće i vrućine, te atmosferskih nepogoda, sve mora biti uključeno u jediničnu cijenu. Za vrijeme zime objekat se mora zaštititi. Svi eventualni smrznuti dijelovi moraju se ukloniti i izvesti ponovo bez bilo kakve naplate. Ukoliko je temperatura niža od temperature pri kojoj je dozvoljen dotični rad, a Investitor ipak traži da se radi, Izvođač si ima pravo zaračunati naknadu po normi 6,006 ali u tom slučaju Izvođač snosi punu odgovornost za ispravnost i kvalitetu rada. To isto vrijedi i za zaštitu radova tokom ljeta od prebrzog sušenja uslijed visoke temperature.
25.) U jediničnu cijenu rada izvođač treba obuhvatiti i slijedeće radove, koji se neće zasebno platiti kao naknadni rad, čak i ako nisu izričito navedenei u troškovniku:
- sve vrste transporta građevinskih materijala, elemenata, uređaja, objekata itd. do mjesta ugradnje
- potrebne i uobičajene pripreme i predobrade tla
- sve vrste bušenja, zavarivanja, lijepljenja, malih dijelova, sredstava za pričvršćivanje, međupoložaja, izolacije, brtvljenja, folija, spojeva itd. koje su potrebne za priključak, montažu i pričvršćivanje građevinskih dijelova i elemenata
- stručna priprema i priključak na sve okolne dijelove, ugradbene i nadgradne elemente i propuste
- sve izrade kutova, spojnih površina i elemenata, završnih elemenata, slobodnih krajeva itd.
- sve podloge za montažu, priključak i pričvršćivanje kao što su beton, zidani elementi, čelik, aluminij, limovi, gips karton, itd.
- potrebne spojne, kose i okrugle rezove te ostatke rezanja
- Izrada otvora i proreza za instalacije i ugradbene elemente drugih izvođača
- interno povezivanje kablovima i priključak objekata, dovod prema električnim trošilima na gradilištu od strane elektro izvođača</t>
  </si>
  <si>
    <t>Ograničenje usluga za vanjske sadržaje</t>
  </si>
  <si>
    <t>U sljedećim pozicijama potrebno je uzeti u obzir i uračunati sljedeće usluge, čak i ako nisu izričito navedene:
- Zaštitu postojećih stabala i grmlja
- lokalizaciju i po potrebi osiguravanje postojećih vodova u radnom području izvođača
- Transporte i skladištenja radnog materijala izvođača, npr. za stvaranje slobodnog prostora za druge radove
- Ručne radove ukoliko nije moguće koristiti strojeve</t>
  </si>
  <si>
    <t>701.010</t>
  </si>
  <si>
    <t>Rubnjaci</t>
  </si>
  <si>
    <t>701.010.00100</t>
  </si>
  <si>
    <t>- Skošeni betonski rubnjak dim. 15x25 cm</t>
  </si>
  <si>
    <t>Izvedba kolničkih rubnjaka 15/25cm. Visine 8 cm iznad asfalta. Postavljaju se na prostoru parkirališta osobnih automobila. Rubnjaci su od betona C40/50 prema EN 1340:2003 (E), spadaju u 3. razred visoke otpornosti na klimatske uvjete, habanje i visoke su čvrstoće.Klasifikacija DTI: Otpornost na vremenske uvjete (otpornost na smrzavanje i sol za odmrzavanje) klasa 3 (D),otpornost na progibanje klasa 2 (T), otpornost na trljanje klasa 4 (I)
Ova stavka obuhvaća:
- dobavu gotovih zakošenih betonskih rubnjaka C 40/50, te razvoz rubnjaka po gradilištu,
- pripremu podloge, čišćenje, otkop ili nasipavanje sa nabijanjem kod podloge od kamena,
- izrada i ugradbnja betona C 12/15 podloge i zaloge, 0,15m3/m1
- polaganje rubnjaka u beton po pravcu i niveleti sa razmakom (spojnicom) do 1 cm,
- svi prijevozi i prijenosti betona i pomoćnog materijala,
- zalijevanje spojnica cementnim mortom omjera 1:4,
- njega betona,
- ispitivanje kvalitete rubnjaka sa pribavljanjem atesta
Izvedba radova, obračun radova i kontrola kvalitete prema OTU 3-04.7.1.
Obračunato po ml ugrađenog rubnjaka uzdignuto i upušteno do potpune pogonske gotovosti.</t>
  </si>
  <si>
    <t>701.010.00105</t>
  </si>
  <si>
    <t>- doplata za betonske rubnjake 15/25cm, unutarnji kut</t>
  </si>
  <si>
    <t>Doplata za gore navedeni betonski rubnjak za izradu unutarnjih ili vanjskih kutova pomoću gotovih radijalnih rubnjaka.
Radijus: 0,5 m</t>
  </si>
  <si>
    <t>701.010.00110</t>
  </si>
  <si>
    <t>- Skošeni betonski rubnjak dim. 15x30 cm</t>
  </si>
  <si>
    <t>Izvedba kolničkih rubnjaka 15/30cm. Visine 15cm iznad asfalta. Postavljaju se na prostoru gospodarskog dvorišta. Rubnjaci su od betona C40/50 prema EN 1340:2003 (E), spadaju u 3. razred visoke otpornosti na klimatske uvjete, habanje i visoke su čvrstoće.Klasifikacija DTI: Otpornost na vremenske uvjete (otpornost na smrzavanje i sol za odmrzavanje) klasa 3 (D),otpornost na progibanje klasa 2 (T), otpornost na trljanje klasa 4 (I)
Ova stavka obuhvaća:
- dobavu gotovih zakošenih betonskih rubnjaka C 40/50, te razvoz rubnjaka po gradilištu,
- pripremu podloge, čišćenje, otkop ili nasipavanje sa nabijanjem kod podloge od kamena,
- izrada i ugradbnja betona C 12/15 podloge i zaloge, 0,15m3/m1
- polaganje rubnjaka u beton po pravcu i niveleti sa razmakom (spojnicom) do 1 cm,
- svi prijevozi i prijenosti betona i pomoćnog materijala,
- zalijevanje spojnica cementnim mortom omjera 1:4,
- njega betona,
- ispitivanje kvalitete rubnjaka sa pribavljanjem atesta
Izvedba radova, obračun radova i kontrola kvalitete prema OTU 3-04.7.1.
Obračunato po ml ugrađenog rubnjaka uzdignuto i upušteno do potpune pogonske gotovosti.</t>
  </si>
  <si>
    <t>701.010.00115</t>
  </si>
  <si>
    <t>- ravni parkovni betonski rubnjak dim. 8x20 cm</t>
  </si>
  <si>
    <t>Izvedba parkovnog rubnjaka 8/20cm. Rubnjaci su od betona C40/50 prema EN 1340:2003 (E), spadaju u 3. razred visoke otpornosti na klimatske uvjete, habanje i visoke su čvrstoće.Klasifikacija DTI: Otpornost na vremenske uvjete (otpornost na smrzavanje i sol za odmrzavanje) klasa 3 (D),otpornost na progibanje klasa 2 (T), otpornost na trljanje klasa 4 (I)
Ova stavka obuhvaća:
- dobavu gotovih ravnih parkovnih betonskih rubnjaka C 40/50, te razvoz rubnjaka po gradilištu,
- pripremu podloge, čišćenje, otkop ili nasipavanje sa nabijanjem kod podloge od kamena,
- izrada i ugradbnja betona C 12/15 podloge i zaloge, 0,15m3/m1
- polaganje rubnjaka u beton po pravcu i niveleti sa razmakom (spojnicom) do 1 cm,
- svi prijevozi i prijenosti betona i pomoćnog materijala,
- zalijevanje spojnica cementnim mortom omjera 1:4,
- njega betona,
- ispitivanje kvalitete rubnjaka sa pribavljanjem atesta
Izvedba radova, obračun radova i kontrola kvalitete prema OTU 3-04.7.1.
Obračunato po ml ugrađenog rubnjaka uzdignuto i upušteno do potpune pogonske gotovosti.</t>
  </si>
  <si>
    <t>701.020</t>
  </si>
  <si>
    <t>Montažni potporni zid</t>
  </si>
  <si>
    <t>701.050</t>
  </si>
  <si>
    <t>Opločenje</t>
  </si>
  <si>
    <t>701.050.00100</t>
  </si>
  <si>
    <t>- opločenje 6 cm</t>
  </si>
  <si>
    <t>Popločani sloj od betonskih opločnika prema DIN EN 1338, otporan na smrzavanje i sol, isporučiti, postaviti na jednakoj visini u sloju oštrog pijeska Ø4-8mm debljine 3-5 cm, ispuniti pijeskom dok se ne popune sve fuge, otresti, po potrebi ponovo obraditi pijeskom i nakon toga ukloniti prekomjerni pijesak, uklj. prilagođene rezove.
Boja: siva
Površina: s oštrim rubovima ili mikro kosinom
Dimenzije kamena: 20/20 x 6 cm ili 10/20 x 6 cm
Tlačna otpornost: min. 60 N/mm2
Način polaganja: Na pola dužine
Dozvoljena visinska odstupanja: +/- 2 cm od zadane vrijednosti i +/-1 cm na ispitnoj dionici od 4 m</t>
  </si>
  <si>
    <t>701.050.00105</t>
  </si>
  <si>
    <t>x..FB10..x - ulazni prostor za popločavanje, opločenje debjine 6cm, teflonski premaz</t>
  </si>
  <si>
    <t>Popločani sloj od betonskih opločnika prema DIN EN 1338, otporan na smrzavanje i sol, isporučiti, postaviti na jednakoj visini na u sloju oštrog pijeska Ø4-8mm debljine 3-5 cm, ispuniti pijeskom dok se ne popune sve fuge, otresti, po potrebi ponovo obraditi pijeskom i nakon toga ukloniti prekomjerni pijesak, uklj. prilagođene rezove.
Boja: antracit
Površina: s oštrim rubovima ili mikro kosinama, plastični teflon premaz
Dimenzije kamena: 16/24 x 8 cm
Tlačna otpornost: min. 60 N/mm2
Način polaganja: 1/3 spoj
Dozvoljena visinska odstupanja: +/- 2 cm od zadane vrijednosti i +/-1 cm na ispitnoj dionici od 4 m
Referentni proizvodi: sukladno Kauflandovom opisu gradilišta</t>
  </si>
  <si>
    <t>701.060</t>
  </si>
  <si>
    <t>Asfaltna površina</t>
  </si>
  <si>
    <t>701.060.00100</t>
  </si>
  <si>
    <t>x..FH1..x - asfaltni kolni prilazi za automobile</t>
  </si>
  <si>
    <t>Izvedba kolnika parkirališta osobnih vozila ukupne debljine 12cm. Kolnička konstrukcija sastoji se od:
AC 32 base, BIT 50/70 AG6 M2, debljine d=8cm
AC 11 surf, BIT 50/70 AG4 M3, debljine d=4cm.
Ova stavka obuhvaća:
- dobavu i dopremu asfaltne mješavine
- čišćenje i prskanje podloge za AC 32 base i AC 11 surf
- razastiranje, valjanje i njega AC 32 base i AC 11 surf
Obuhvaćen je sav materijal, rad i alat na izradi sloja kao i sva potrebna tekuća i kontrolna ispitivanja s izradom atesta za dokaz kvalitete ugrađenog sloja. Izrada radova, obračun radova i kontrola kvalitete prema Razradi tehničkih svojstava i zahtjeva za građevne proizvode za proizvodnju asfaltnih mješavina i za asfaltne slojeve kolnika HC,lipanj 2015. i prilozima ovog projekta.
Izvedbi habajućeg sloja može se prići nakon ispitanog i po nadzornom inženjeru preuzetom donjem nosivom sloju.
Obračunato po m2 ugrađenog sloja, sve do potpune pogonske gotovosti.</t>
  </si>
  <si>
    <t>701.060.00105</t>
  </si>
  <si>
    <t>701.060.00110</t>
  </si>
  <si>
    <t>- asfaltne pješačke staze</t>
  </si>
  <si>
    <t>Izvedba asfaltnih pješačkih staza ukupne debljine 9cm. Asfaltna konstrukcija sastoji se od:
AC 16 base, BIT 50/70 AG6 M2, debljine d=6cm
AC 8 surf, BIT 50/70 AG4 M3, debljine d=3cm.
Ova stavka obuhvaća:
- dobavu i dopremu asfaltne mješavine
- čišćenje i prskanje podloge za AC 16 base i AC 8 surf
- razastiranje, valjanje i njega AC 16 base i AC 8 surf
Obuhvaćen je sav materijal, rad i alat na izradi sloja kao i sva potrebna tekuća i kontrolna ispitivanja s izradom atesta za dokaz kvalitete ugrađenog sloja. Izrada radova, obračun radova i kontrola kvalitete prema Razradi tehničkih svojstava i zahtjeva za građevne proizvode za proizvodnju asfaltnih mješavina i za asfaltne slojeve kolnika HC,lipanj 2015. i prilozima ovog projekta.
Izvedbi habajućeg sloja može se prići nakon ispitanog i po nadzornom inženjeru preuzetom donjem nosivom sloju.
Obračunato po m2 ugrađenog sloja, sve do potpune pogonske gotovosti.</t>
  </si>
  <si>
    <t>UKUPNO RUBNJACI</t>
  </si>
  <si>
    <t>UKUPNO OPLOČENJE</t>
  </si>
  <si>
    <t>UKUPNO ASFALT</t>
  </si>
  <si>
    <t>UKUPNO RADOVI:</t>
  </si>
  <si>
    <t>prijedlog cijena</t>
  </si>
  <si>
    <r>
      <t xml:space="preserve">Izvedba kolnika parkirališta osobnih vozila ukupne debljine 8cm. Kolnička konstrukcija sastoji se od:
AC 32 base, BIT 50/70 AG6 M2, </t>
    </r>
    <r>
      <rPr>
        <sz val="11"/>
        <color rgb="FFFF0000"/>
        <rFont val="Calibri"/>
        <family val="2"/>
        <charset val="238"/>
        <scheme val="minor"/>
      </rPr>
      <t>debljine d=5cm</t>
    </r>
    <r>
      <rPr>
        <sz val="11"/>
        <color theme="1"/>
        <rFont val="Calibri"/>
        <family val="2"/>
        <scheme val="minor"/>
      </rPr>
      <t xml:space="preserve">
AC 11 surf, BIT 50/70 AG4 M3, </t>
    </r>
    <r>
      <rPr>
        <sz val="11"/>
        <color rgb="FFFF0000"/>
        <rFont val="Calibri"/>
        <family val="2"/>
        <charset val="238"/>
        <scheme val="minor"/>
      </rPr>
      <t>debljine d=3cm</t>
    </r>
    <r>
      <rPr>
        <sz val="11"/>
        <color theme="1"/>
        <rFont val="Calibri"/>
        <family val="2"/>
        <scheme val="minor"/>
      </rPr>
      <t>.
Ova stavka obuhvaća:
- dobavu i dopremu asfaltne mješavine
- čišćenje i prskanje podloge za AC 32 base i AC 11 surf
- razastiranje, valjanje i njega AC 32 base i AC 11 surf
Obuhvaćen je sav materijal, rad i alat na izradi sloja kao i sva potrebna tekuća i kontrolna ispitivanja s izradom atesta za dokaz kvalitete ugrađenog sloja. Izrada radova, obračun radova i kontrola kvalitete prema Razradi tehničkih svojstava i zahtjeva za građevne proizvode za proizvodnju asfaltnih mješavina i za asfaltne slojeve kolnika HC,lipanj 2015. i prilozima ovog projekta.
Izvedbi habajućeg sloja može se prići nakon ispitanog i po nadzornom inženjeru preuzetom donjem nosivom sloju.
Obračunato po m2 ugrađenog sloja, sve do potpune pogonske gotovosti.</t>
    </r>
  </si>
  <si>
    <t>NUDIMO RUBNJAK DUŽINE 30 cm</t>
  </si>
  <si>
    <t>KAKO U REPUBLICI HRVATSKOJ NISMO USPJELI NAĆI OPLOČNIKE SA TEFLONSKIM PREMAZOM, PREDMETNE OPLOČNIKE NUDIMO BEZ TEFLONSKOG PREMAZA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</si>
</sst>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;&quot;-&quot;#,##0.00\ &quot;€&quot;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6"/>
      <name val="Calibri"/>
      <family val="2"/>
      <charset val="238"/>
    </font>
    <font>
      <b/>
      <sz val="14"/>
      <name val="Calibri"/>
      <family val="2"/>
      <charset val="238"/>
    </font>
    <font>
      <b/>
      <sz val="11"/>
      <name val="Calibri"/>
      <family val="2"/>
      <charset val="238"/>
    </font>
    <font>
      <sz val="11"/>
      <color rgb="FFFF0000"/>
      <name val="Calibri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9EDF7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rgb="FF2451B2"/>
      </left>
      <right style="thin">
        <color rgb="FF2451B2"/>
      </right>
      <top style="thin">
        <color rgb="FF2451B2"/>
      </top>
      <bottom style="thin">
        <color rgb="FF2451B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2451B2"/>
      </left>
      <right style="thin">
        <color rgb="FF2451B2"/>
      </right>
      <top style="thin">
        <color rgb="FF2451B2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0" xfId="0" applyFill="1"/>
    <xf numFmtId="0" fontId="2" fillId="2" borderId="0" xfId="0" applyFont="1" applyFill="1"/>
    <xf numFmtId="0" fontId="3" fillId="2" borderId="0" xfId="0" applyFont="1" applyFill="1"/>
    <xf numFmtId="0" fontId="4" fillId="0" borderId="0" xfId="0" applyFont="1" applyAlignment="1">
      <alignment wrapText="1"/>
    </xf>
    <xf numFmtId="164" fontId="4" fillId="0" borderId="0" xfId="0" applyNumberFormat="1" applyFont="1" applyAlignment="1">
      <alignment wrapText="1"/>
    </xf>
    <xf numFmtId="0" fontId="0" fillId="0" borderId="0" xfId="0" applyAlignment="1">
      <alignment wrapText="1"/>
    </xf>
    <xf numFmtId="164" fontId="0" fillId="3" borderId="1" xfId="0" applyNumberFormat="1" applyFill="1" applyBorder="1" applyAlignment="1">
      <alignment wrapText="1"/>
    </xf>
    <xf numFmtId="164" fontId="0" fillId="0" borderId="0" xfId="0" applyNumberFormat="1" applyAlignment="1">
      <alignment wrapText="1"/>
    </xf>
    <xf numFmtId="9" fontId="0" fillId="0" borderId="0" xfId="0" applyNumberFormat="1" applyAlignment="1">
      <alignment wrapText="1"/>
    </xf>
    <xf numFmtId="0" fontId="0" fillId="0" borderId="0" xfId="0" applyAlignment="1">
      <alignment vertical="top" wrapText="1"/>
    </xf>
    <xf numFmtId="0" fontId="0" fillId="4" borderId="0" xfId="0" applyFill="1" applyAlignment="1">
      <alignment wrapText="1"/>
    </xf>
    <xf numFmtId="164" fontId="0" fillId="3" borderId="6" xfId="0" applyNumberFormat="1" applyFill="1" applyBorder="1" applyAlignment="1">
      <alignment wrapText="1"/>
    </xf>
    <xf numFmtId="164" fontId="1" fillId="6" borderId="2" xfId="0" applyNumberFormat="1" applyFont="1" applyFill="1" applyBorder="1" applyAlignment="1">
      <alignment wrapText="1"/>
    </xf>
    <xf numFmtId="164" fontId="1" fillId="6" borderId="2" xfId="0" applyNumberFormat="1" applyFont="1" applyFill="1" applyBorder="1"/>
    <xf numFmtId="4" fontId="1" fillId="5" borderId="2" xfId="0" applyNumberFormat="1" applyFont="1" applyFill="1" applyBorder="1" applyAlignment="1">
      <alignment horizontal="center"/>
    </xf>
    <xf numFmtId="14" fontId="0" fillId="2" borderId="0" xfId="0" applyNumberFormat="1" applyFill="1"/>
    <xf numFmtId="0" fontId="1" fillId="6" borderId="3" xfId="0" applyFont="1" applyFill="1" applyBorder="1" applyAlignment="1">
      <alignment wrapText="1"/>
    </xf>
    <xf numFmtId="0" fontId="1" fillId="6" borderId="4" xfId="0" applyFont="1" applyFill="1" applyBorder="1" applyAlignment="1">
      <alignment wrapText="1"/>
    </xf>
    <xf numFmtId="0" fontId="1" fillId="6" borderId="5" xfId="0" applyFont="1" applyFill="1" applyBorder="1" applyAlignment="1">
      <alignment wrapText="1"/>
    </xf>
    <xf numFmtId="0" fontId="1" fillId="6" borderId="3" xfId="0" applyFont="1" applyFill="1" applyBorder="1"/>
    <xf numFmtId="0" fontId="1" fillId="6" borderId="4" xfId="0" applyFont="1" applyFill="1" applyBorder="1"/>
    <xf numFmtId="0" fontId="1" fillId="6" borderId="5" xfId="0" applyFont="1" applyFill="1" applyBorder="1"/>
    <xf numFmtId="0" fontId="1" fillId="5" borderId="3" xfId="0" applyFont="1" applyFill="1" applyBorder="1"/>
    <xf numFmtId="0" fontId="1" fillId="5" borderId="4" xfId="0" applyFont="1" applyFill="1" applyBorder="1"/>
    <xf numFmtId="0" fontId="1" fillId="5" borderId="5" xfId="0" applyFont="1" applyFill="1" applyBorder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D38AE-7F89-4390-9D57-4229ECF68F0F}">
  <sheetPr>
    <pageSetUpPr fitToPage="1"/>
  </sheetPr>
  <dimension ref="A1:L40"/>
  <sheetViews>
    <sheetView tabSelected="1" topLeftCell="A7" zoomScale="85" zoomScaleNormal="85" workbookViewId="0">
      <pane xSplit="3" ySplit="4" topLeftCell="D11" activePane="bottomRight" state="frozen"/>
      <selection activeCell="A7" sqref="A7"/>
      <selection pane="topRight" activeCell="E7" sqref="E7"/>
      <selection pane="bottomLeft" activeCell="A11" sqref="A11"/>
      <selection pane="bottomRight" activeCell="O28" sqref="O28"/>
    </sheetView>
  </sheetViews>
  <sheetFormatPr defaultRowHeight="15" x14ac:dyDescent="0.25"/>
  <cols>
    <col min="1" max="1" width="19" customWidth="1"/>
    <col min="2" max="2" width="28.85546875" customWidth="1"/>
    <col min="3" max="3" width="97.85546875" customWidth="1"/>
    <col min="4" max="4" width="11" customWidth="1"/>
    <col min="5" max="5" width="5" customWidth="1"/>
    <col min="6" max="6" width="19" customWidth="1"/>
    <col min="7" max="7" width="22" customWidth="1"/>
    <col min="8" max="9" width="22" hidden="1" customWidth="1"/>
    <col min="10" max="10" width="9" hidden="1" customWidth="1"/>
    <col min="11" max="11" width="9" customWidth="1"/>
  </cols>
  <sheetData>
    <row r="1" spans="1:11" s="1" customFormat="1" x14ac:dyDescent="0.25"/>
    <row r="2" spans="1:11" s="2" customFormat="1" ht="21" x14ac:dyDescent="0.35">
      <c r="A2" s="2" t="s">
        <v>0</v>
      </c>
    </row>
    <row r="3" spans="1:11" s="1" customFormat="1" x14ac:dyDescent="0.25">
      <c r="A3" s="16" t="s">
        <v>1</v>
      </c>
      <c r="B3" s="16"/>
      <c r="C3" s="16"/>
      <c r="D3" s="16"/>
      <c r="E3" s="16"/>
      <c r="F3" s="16"/>
      <c r="G3" s="16"/>
      <c r="H3" s="16"/>
      <c r="I3" s="16"/>
      <c r="J3" s="16"/>
      <c r="K3" s="16"/>
    </row>
    <row r="4" spans="1:11" s="1" customFormat="1" x14ac:dyDescent="0.25"/>
    <row r="5" spans="1:11" s="3" customFormat="1" ht="18.75" x14ac:dyDescent="0.3">
      <c r="A5" s="3" t="s">
        <v>2</v>
      </c>
    </row>
    <row r="6" spans="1:11" s="1" customFormat="1" x14ac:dyDescent="0.25">
      <c r="A6" s="1" t="s">
        <v>3</v>
      </c>
    </row>
    <row r="7" spans="1:11" s="1" customFormat="1" x14ac:dyDescent="0.25">
      <c r="A7" s="1" t="s">
        <v>4</v>
      </c>
    </row>
    <row r="8" spans="1:11" s="1" customFormat="1" x14ac:dyDescent="0.25"/>
    <row r="9" spans="1:11" s="3" customFormat="1" ht="18.75" x14ac:dyDescent="0.3">
      <c r="A9" s="3" t="s">
        <v>5</v>
      </c>
    </row>
    <row r="10" spans="1:11" s="1" customFormat="1" x14ac:dyDescent="0.25">
      <c r="A10" s="1" t="s">
        <v>6</v>
      </c>
      <c r="F10" s="1" t="s">
        <v>56</v>
      </c>
    </row>
    <row r="11" spans="1:11" s="3" customFormat="1" ht="18.75" hidden="1" x14ac:dyDescent="0.3"/>
    <row r="12" spans="1:11" s="4" customFormat="1" hidden="1" x14ac:dyDescent="0.25">
      <c r="A12" s="4" t="s">
        <v>13</v>
      </c>
      <c r="B12" s="4" t="s">
        <v>14</v>
      </c>
      <c r="G12" s="5"/>
      <c r="I12" s="5"/>
    </row>
    <row r="13" spans="1:11" s="4" customFormat="1" hidden="1" x14ac:dyDescent="0.25">
      <c r="A13" s="4" t="s">
        <v>15</v>
      </c>
      <c r="B13" s="4" t="s">
        <v>11</v>
      </c>
      <c r="G13" s="5"/>
      <c r="I13" s="5"/>
    </row>
    <row r="14" spans="1:11" s="6" customFormat="1" ht="409.5" hidden="1" x14ac:dyDescent="0.25">
      <c r="B14" s="6" t="s">
        <v>7</v>
      </c>
      <c r="C14" s="10" t="s">
        <v>16</v>
      </c>
      <c r="J14" s="6" t="s">
        <v>8</v>
      </c>
    </row>
    <row r="15" spans="1:11" s="6" customFormat="1" ht="105" hidden="1" x14ac:dyDescent="0.25">
      <c r="B15" s="6" t="s">
        <v>17</v>
      </c>
      <c r="C15" s="6" t="s">
        <v>18</v>
      </c>
      <c r="J15" s="6" t="s">
        <v>8</v>
      </c>
    </row>
    <row r="16" spans="1:11" s="4" customFormat="1" x14ac:dyDescent="0.25">
      <c r="A16" s="4" t="s">
        <v>19</v>
      </c>
      <c r="B16" s="4" t="s">
        <v>20</v>
      </c>
      <c r="G16" s="5"/>
      <c r="I16" s="5"/>
    </row>
    <row r="17" spans="1:12" s="6" customFormat="1" ht="240" x14ac:dyDescent="0.25">
      <c r="A17" s="11" t="s">
        <v>21</v>
      </c>
      <c r="B17" s="11" t="s">
        <v>22</v>
      </c>
      <c r="C17" s="11" t="s">
        <v>23</v>
      </c>
      <c r="D17" s="6">
        <v>521</v>
      </c>
      <c r="E17" s="6" t="s">
        <v>10</v>
      </c>
      <c r="F17" s="7">
        <v>28.94</v>
      </c>
      <c r="G17" s="8">
        <f>IF(AND(ISNUMBER(D17),ISNUMBER(F17)),ROUND(PRODUCT(PRODUCT(D17, F17), 1 - K17), 2),"")</f>
        <v>15077.74</v>
      </c>
      <c r="H17" s="9">
        <v>0</v>
      </c>
      <c r="I17" s="8">
        <f t="shared" ref="I17:I20" si="0">IF(AND(ISNUMBER(G17)),ROUND(PRODUCT(G17, SUM(H17,"1")), 2),"")</f>
        <v>15077.74</v>
      </c>
      <c r="J17" s="6" t="s">
        <v>8</v>
      </c>
      <c r="K17" s="6">
        <v>0</v>
      </c>
    </row>
    <row r="18" spans="1:12" s="6" customFormat="1" ht="60" x14ac:dyDescent="0.25">
      <c r="A18" s="11" t="s">
        <v>24</v>
      </c>
      <c r="B18" s="11" t="s">
        <v>25</v>
      </c>
      <c r="C18" s="11" t="s">
        <v>26</v>
      </c>
      <c r="D18" s="6">
        <v>24</v>
      </c>
      <c r="E18" s="6" t="s">
        <v>9</v>
      </c>
      <c r="F18" s="7">
        <v>31.83</v>
      </c>
      <c r="G18" s="8">
        <f>IF(AND(ISNUMBER(D18),ISNUMBER(F18)),ROUND(PRODUCT(PRODUCT(D18, F18), 1 - K18), 2),"")</f>
        <v>763.92</v>
      </c>
      <c r="H18" s="9">
        <v>0</v>
      </c>
      <c r="I18" s="8">
        <f t="shared" si="0"/>
        <v>763.92</v>
      </c>
      <c r="J18" s="6" t="s">
        <v>8</v>
      </c>
      <c r="K18" s="6">
        <v>0</v>
      </c>
      <c r="L18" s="26" t="s">
        <v>58</v>
      </c>
    </row>
    <row r="19" spans="1:12" s="6" customFormat="1" ht="240" x14ac:dyDescent="0.25">
      <c r="A19" s="11" t="s">
        <v>27</v>
      </c>
      <c r="B19" s="11" t="s">
        <v>28</v>
      </c>
      <c r="C19" s="11" t="s">
        <v>29</v>
      </c>
      <c r="D19" s="6">
        <v>107.59</v>
      </c>
      <c r="E19" s="6" t="s">
        <v>10</v>
      </c>
      <c r="F19" s="7">
        <v>31.83</v>
      </c>
      <c r="G19" s="8">
        <f>IF(AND(ISNUMBER(D19),ISNUMBER(F19)),ROUND(PRODUCT(PRODUCT(D19, F19), 1 - K19), 2),"")</f>
        <v>3424.59</v>
      </c>
      <c r="H19" s="9">
        <v>0</v>
      </c>
      <c r="I19" s="8">
        <f t="shared" si="0"/>
        <v>3424.59</v>
      </c>
      <c r="J19" s="6" t="s">
        <v>8</v>
      </c>
      <c r="K19" s="6">
        <v>0</v>
      </c>
    </row>
    <row r="20" spans="1:12" s="6" customFormat="1" ht="225" x14ac:dyDescent="0.25">
      <c r="A20" s="11" t="s">
        <v>30</v>
      </c>
      <c r="B20" s="11" t="s">
        <v>31</v>
      </c>
      <c r="C20" s="11" t="s">
        <v>32</v>
      </c>
      <c r="D20" s="6">
        <v>543</v>
      </c>
      <c r="E20" s="6" t="s">
        <v>10</v>
      </c>
      <c r="F20" s="7">
        <v>19.72</v>
      </c>
      <c r="G20" s="8">
        <f>IF(AND(ISNUMBER(D20),ISNUMBER(F20)),ROUND(PRODUCT(PRODUCT(D20, F20), 1 - K20), 2),"")</f>
        <v>10707.96</v>
      </c>
      <c r="H20" s="9">
        <v>0</v>
      </c>
      <c r="I20" s="8">
        <f t="shared" si="0"/>
        <v>10707.96</v>
      </c>
      <c r="J20" s="6" t="s">
        <v>8</v>
      </c>
      <c r="K20" s="6">
        <v>0</v>
      </c>
    </row>
    <row r="21" spans="1:12" s="6" customFormat="1" ht="15.75" thickBot="1" x14ac:dyDescent="0.3">
      <c r="F21" s="12"/>
      <c r="G21" s="8"/>
      <c r="H21" s="9"/>
      <c r="I21" s="8"/>
    </row>
    <row r="22" spans="1:12" s="6" customFormat="1" ht="15.75" thickBot="1" x14ac:dyDescent="0.3">
      <c r="A22" s="17" t="s">
        <v>52</v>
      </c>
      <c r="B22" s="18"/>
      <c r="C22" s="18"/>
      <c r="D22" s="18"/>
      <c r="E22" s="18"/>
      <c r="F22" s="19"/>
      <c r="G22" s="13">
        <f>SUM(G17:G21)</f>
        <v>29974.21</v>
      </c>
      <c r="H22" s="9"/>
      <c r="I22" s="8"/>
    </row>
    <row r="23" spans="1:12" s="6" customFormat="1" x14ac:dyDescent="0.25">
      <c r="F23" s="8"/>
      <c r="G23" s="8"/>
      <c r="H23" s="9"/>
      <c r="I23" s="8"/>
    </row>
    <row r="24" spans="1:12" s="6" customFormat="1" x14ac:dyDescent="0.25">
      <c r="F24" s="8"/>
      <c r="G24" s="8"/>
      <c r="H24" s="9"/>
      <c r="I24" s="8"/>
    </row>
    <row r="25" spans="1:12" s="4" customFormat="1" x14ac:dyDescent="0.25">
      <c r="A25" s="4" t="s">
        <v>33</v>
      </c>
      <c r="B25" s="4" t="s">
        <v>34</v>
      </c>
      <c r="G25" s="5"/>
      <c r="I25" s="5"/>
    </row>
    <row r="26" spans="1:12" s="4" customFormat="1" x14ac:dyDescent="0.25">
      <c r="A26" s="4" t="s">
        <v>35</v>
      </c>
      <c r="B26" s="4" t="s">
        <v>36</v>
      </c>
      <c r="G26" s="5"/>
      <c r="I26" s="5"/>
    </row>
    <row r="27" spans="1:12" s="6" customFormat="1" ht="165" x14ac:dyDescent="0.25">
      <c r="A27" s="11" t="s">
        <v>37</v>
      </c>
      <c r="B27" s="11" t="s">
        <v>38</v>
      </c>
      <c r="C27" s="11" t="s">
        <v>39</v>
      </c>
      <c r="D27" s="6">
        <v>310.77999999999997</v>
      </c>
      <c r="E27" s="6" t="s">
        <v>12</v>
      </c>
      <c r="F27" s="7">
        <v>47.45</v>
      </c>
      <c r="G27" s="8">
        <f>IF(AND(ISNUMBER(D27),ISNUMBER(F27)),ROUND(PRODUCT(PRODUCT(D27, F27), 1 - K27), 2),"")</f>
        <v>14746.51</v>
      </c>
      <c r="H27" s="9">
        <v>0</v>
      </c>
      <c r="I27" s="8">
        <f>IF(AND(ISNUMBER(G27)),ROUND(PRODUCT(G27, SUM(H27,"1")), 2),"")</f>
        <v>14746.51</v>
      </c>
      <c r="J27" s="6" t="s">
        <v>8</v>
      </c>
      <c r="K27" s="6">
        <v>0</v>
      </c>
    </row>
    <row r="28" spans="1:12" s="6" customFormat="1" ht="180" x14ac:dyDescent="0.25">
      <c r="A28" s="11" t="s">
        <v>40</v>
      </c>
      <c r="B28" s="11" t="s">
        <v>41</v>
      </c>
      <c r="C28" s="11" t="s">
        <v>42</v>
      </c>
      <c r="D28" s="6">
        <v>81.430000000000007</v>
      </c>
      <c r="E28" s="6" t="s">
        <v>12</v>
      </c>
      <c r="F28" s="7">
        <v>47.45</v>
      </c>
      <c r="G28" s="8">
        <f>IF(AND(ISNUMBER(D28),ISNUMBER(F28)),ROUND(PRODUCT(PRODUCT(D28, F28), 1 - K28), 2),"")</f>
        <v>3863.85</v>
      </c>
      <c r="H28" s="9">
        <v>0</v>
      </c>
      <c r="I28" s="8">
        <f>IF(AND(ISNUMBER(G28)),ROUND(PRODUCT(G28, SUM(H28,"1")), 2),"")</f>
        <v>3863.85</v>
      </c>
      <c r="J28" s="6" t="s">
        <v>8</v>
      </c>
      <c r="K28" s="6">
        <v>0</v>
      </c>
      <c r="L28" s="26" t="s">
        <v>59</v>
      </c>
    </row>
    <row r="29" spans="1:12" s="6" customFormat="1" ht="15.75" thickBot="1" x14ac:dyDescent="0.3">
      <c r="F29" s="8"/>
      <c r="G29" s="8"/>
      <c r="H29" s="9"/>
      <c r="I29" s="8"/>
    </row>
    <row r="30" spans="1:12" s="6" customFormat="1" ht="30.75" thickBot="1" x14ac:dyDescent="0.3">
      <c r="A30" s="17" t="s">
        <v>53</v>
      </c>
      <c r="B30" s="18"/>
      <c r="C30" s="18"/>
      <c r="D30" s="18"/>
      <c r="E30" s="18"/>
      <c r="F30" s="19"/>
      <c r="G30" s="13">
        <f>SUM(G27:G29)</f>
        <v>18610.36</v>
      </c>
      <c r="H30" s="9"/>
      <c r="I30" s="8"/>
    </row>
    <row r="31" spans="1:12" s="6" customFormat="1" x14ac:dyDescent="0.25">
      <c r="F31" s="8"/>
      <c r="G31" s="8"/>
      <c r="H31" s="9"/>
      <c r="I31" s="8"/>
    </row>
    <row r="32" spans="1:12" s="6" customFormat="1" x14ac:dyDescent="0.25">
      <c r="F32" s="8"/>
      <c r="G32" s="8"/>
      <c r="H32" s="9"/>
      <c r="I32" s="8"/>
    </row>
    <row r="33" spans="1:11" s="4" customFormat="1" x14ac:dyDescent="0.25">
      <c r="A33" s="4" t="s">
        <v>43</v>
      </c>
      <c r="B33" s="4" t="s">
        <v>44</v>
      </c>
      <c r="G33" s="5"/>
      <c r="I33" s="5"/>
    </row>
    <row r="34" spans="1:11" s="6" customFormat="1" ht="210" x14ac:dyDescent="0.25">
      <c r="A34" s="11" t="s">
        <v>45</v>
      </c>
      <c r="B34" s="11" t="s">
        <v>46</v>
      </c>
      <c r="C34" s="11" t="s">
        <v>57</v>
      </c>
      <c r="D34" s="6">
        <v>4700</v>
      </c>
      <c r="E34" s="6" t="s">
        <v>12</v>
      </c>
      <c r="F34" s="7">
        <v>18.45</v>
      </c>
      <c r="G34" s="8">
        <f>IF(AND(ISNUMBER(D34),ISNUMBER(F34)),ROUND(PRODUCT(PRODUCT(D34, F34), 1 - K34), 2),"")</f>
        <v>86715</v>
      </c>
      <c r="H34" s="9">
        <v>0</v>
      </c>
      <c r="I34" s="8">
        <f>IF(AND(ISNUMBER(G34)),ROUND(PRODUCT(G34, SUM(H34,"1")), 2),"")</f>
        <v>86715</v>
      </c>
      <c r="J34" s="6" t="s">
        <v>8</v>
      </c>
      <c r="K34" s="6">
        <v>0</v>
      </c>
    </row>
    <row r="35" spans="1:11" s="6" customFormat="1" ht="210" x14ac:dyDescent="0.25">
      <c r="A35" s="11" t="s">
        <v>48</v>
      </c>
      <c r="B35" s="11" t="s">
        <v>46</v>
      </c>
      <c r="C35" s="11" t="s">
        <v>47</v>
      </c>
      <c r="D35" s="6">
        <v>1051.6600000000001</v>
      </c>
      <c r="E35" s="6" t="s">
        <v>12</v>
      </c>
      <c r="F35" s="7">
        <v>26.47</v>
      </c>
      <c r="G35" s="8">
        <f>IF(AND(ISNUMBER(D35),ISNUMBER(F35)),ROUND(PRODUCT(PRODUCT(D35, F35), 1 - K35), 2),"")</f>
        <v>27837.439999999999</v>
      </c>
      <c r="H35" s="9">
        <v>0</v>
      </c>
      <c r="I35" s="8">
        <f>IF(AND(ISNUMBER(G35)),ROUND(PRODUCT(G35, SUM(H35,"1")), 2),"")</f>
        <v>27837.439999999999</v>
      </c>
      <c r="J35" s="6" t="s">
        <v>8</v>
      </c>
      <c r="K35" s="6">
        <v>0</v>
      </c>
    </row>
    <row r="36" spans="1:11" s="6" customFormat="1" ht="210" x14ac:dyDescent="0.25">
      <c r="A36" s="11" t="s">
        <v>49</v>
      </c>
      <c r="B36" s="11" t="s">
        <v>50</v>
      </c>
      <c r="C36" s="11" t="s">
        <v>51</v>
      </c>
      <c r="D36" s="6">
        <v>114.8</v>
      </c>
      <c r="E36" s="6" t="s">
        <v>12</v>
      </c>
      <c r="F36" s="7">
        <v>22.18</v>
      </c>
      <c r="G36" s="8">
        <f>IF(AND(ISNUMBER(D36),ISNUMBER(F36)),ROUND(PRODUCT(PRODUCT(D36, F36), 1 - K36), 2),"")</f>
        <v>2546.2600000000002</v>
      </c>
      <c r="H36" s="9">
        <v>0</v>
      </c>
      <c r="I36" s="8">
        <f>IF(AND(ISNUMBER(G36)),ROUND(PRODUCT(G36, SUM(H36,"1")), 2),"")</f>
        <v>2546.2600000000002</v>
      </c>
      <c r="J36" s="6" t="s">
        <v>8</v>
      </c>
      <c r="K36" s="6">
        <v>0</v>
      </c>
    </row>
    <row r="37" spans="1:11" ht="15.75" thickBot="1" x14ac:dyDescent="0.3"/>
    <row r="38" spans="1:11" ht="15.75" thickBot="1" x14ac:dyDescent="0.3">
      <c r="A38" s="20" t="s">
        <v>54</v>
      </c>
      <c r="B38" s="21"/>
      <c r="C38" s="21"/>
      <c r="D38" s="21"/>
      <c r="E38" s="21"/>
      <c r="F38" s="22"/>
      <c r="G38" s="14">
        <f>SUM(G34:G37)</f>
        <v>117098.7</v>
      </c>
    </row>
    <row r="39" spans="1:11" ht="15.75" thickBot="1" x14ac:dyDescent="0.3"/>
    <row r="40" spans="1:11" ht="15.75" thickBot="1" x14ac:dyDescent="0.3">
      <c r="A40" s="23" t="s">
        <v>55</v>
      </c>
      <c r="B40" s="24"/>
      <c r="C40" s="24"/>
      <c r="D40" s="24"/>
      <c r="E40" s="24"/>
      <c r="F40" s="25"/>
      <c r="G40" s="15">
        <f>G22+G30+G38</f>
        <v>165683.26999999999</v>
      </c>
    </row>
  </sheetData>
  <pageMargins left="0.7" right="0.7" top="0.75" bottom="0.75" header="0.3" footer="0.3"/>
  <pageSetup paperSize="8" scale="49" fitToHeight="0" orientation="landscape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3A51507092ABC42A1F78E63565BAFD7" ma:contentTypeVersion="13" ma:contentTypeDescription="Stvaranje novog dokumenta." ma:contentTypeScope="" ma:versionID="431a5ee93854b27944054346f0b25a8a">
  <xsd:schema xmlns:xsd="http://www.w3.org/2001/XMLSchema" xmlns:xs="http://www.w3.org/2001/XMLSchema" xmlns:p="http://schemas.microsoft.com/office/2006/metadata/properties" xmlns:ns2="f915974b-6f1e-4350-9f7e-2d11fb1812c4" xmlns:ns3="cb3740f1-362a-4884-a648-7855dba250b9" targetNamespace="http://schemas.microsoft.com/office/2006/metadata/properties" ma:root="true" ma:fieldsID="1e05be92481b3b8621a13a8b50557f24" ns2:_="" ns3:_="">
    <xsd:import namespace="f915974b-6f1e-4350-9f7e-2d11fb1812c4"/>
    <xsd:import namespace="cb3740f1-362a-4884-a648-7855dba250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15974b-6f1e-4350-9f7e-2d11fb1812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Oznake slika" ma:readOnly="false" ma:fieldId="{5cf76f15-5ced-4ddc-b409-7134ff3c332f}" ma:taxonomyMulti="true" ma:sspId="3751c936-5afc-4ad0-aeab-ca19b149ef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3740f1-362a-4884-a648-7855dba250b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49648af3-417c-4ecd-a1bc-5e03dfaadbd5}" ma:internalName="TaxCatchAll" ma:showField="CatchAllData" ma:web="cb3740f1-362a-4884-a648-7855dba250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Vrsta sadržaja"/>
        <xsd:element ref="dc:title" minOccurs="0" maxOccurs="1" ma:index="4" ma:displayName="Naslov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915974b-6f1e-4350-9f7e-2d11fb1812c4">
      <Terms xmlns="http://schemas.microsoft.com/office/infopath/2007/PartnerControls"/>
    </lcf76f155ced4ddcb4097134ff3c332f>
    <TaxCatchAll xmlns="cb3740f1-362a-4884-a648-7855dba250b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96F74F9-2849-495D-82CA-5D0842BD5B0C}"/>
</file>

<file path=customXml/itemProps2.xml><?xml version="1.0" encoding="utf-8"?>
<ds:datastoreItem xmlns:ds="http://schemas.openxmlformats.org/officeDocument/2006/customXml" ds:itemID="{449431A6-8CBC-46F2-97BB-10ECC56381BC}">
  <ds:schemaRefs>
    <ds:schemaRef ds:uri="http://schemas.microsoft.com/office/2006/metadata/properties"/>
    <ds:schemaRef ds:uri="http://schemas.microsoft.com/office/infopath/2007/PartnerControls"/>
    <ds:schemaRef ds:uri="f915974b-6f1e-4350-9f7e-2d11fb1812c4"/>
    <ds:schemaRef ds:uri="cb3740f1-362a-4884-a648-7855dba250b9"/>
  </ds:schemaRefs>
</ds:datastoreItem>
</file>

<file path=customXml/itemProps3.xml><?xml version="1.0" encoding="utf-8"?>
<ds:datastoreItem xmlns:ds="http://schemas.openxmlformats.org/officeDocument/2006/customXml" ds:itemID="{85EAB388-E2E7-451E-BB5E-A10D6AEBAD2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Ivana Radovac</dc:creator>
  <cp:lastModifiedBy>Boris Križan</cp:lastModifiedBy>
  <dcterms:created xsi:type="dcterms:W3CDTF">2025-07-15T07:35:23Z</dcterms:created>
  <dcterms:modified xsi:type="dcterms:W3CDTF">2025-07-18T07:00:54Z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0x01010053A51507092ABC42A1F78E63565BAFD7</vt:lpwstr>
  </property>
</Properties>
</file>
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8_{D79847CF-25CC-4480-AAE0-01945EE9357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sheet1!$A$23:$J$77</definedName>
    <definedName name="_xlnm.Print_Area" localSheetId="0">sheet1!$A$1:$H$82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H82" i="1"/>
  <c r="H81" i="1"/>
  <c r="H80" i="1"/>
  <c r="H79" i="1" l="1"/>
  <c r="H77" i="1" l="1"/>
  <c r="H76" i="1"/>
  <c r="H75" i="1"/>
  <c r="H74" i="1"/>
  <c r="H73" i="1"/>
  <c r="H65" i="1"/>
  <c r="H64" i="1"/>
  <c r="H63" i="1"/>
  <c r="H62" i="1"/>
  <c r="H61" i="1"/>
  <c r="H60" i="1"/>
  <c r="H59" i="1"/>
  <c r="H58" i="1"/>
  <c r="H57" i="1"/>
  <c r="H56" i="1"/>
  <c r="H55" i="1"/>
  <c r="H54" i="1"/>
  <c r="H48" i="1"/>
  <c r="H44" i="1"/>
  <c r="H43" i="1"/>
  <c r="H42" i="1"/>
  <c r="H41" i="1"/>
  <c r="H40" i="1"/>
  <c r="H39" i="1"/>
  <c r="H37" i="1"/>
  <c r="H36" i="1" s="1"/>
  <c r="H34" i="1"/>
  <c r="H33" i="1"/>
  <c r="H32" i="1"/>
  <c r="H30" i="1"/>
  <c r="H29" i="1" s="1"/>
  <c r="H31" i="1" l="1"/>
  <c r="H38" i="1"/>
  <c r="H47" i="1"/>
  <c r="H53" i="1"/>
  <c r="H49" i="1" s="1"/>
  <c r="H72" i="1"/>
  <c r="H68" i="1" s="1"/>
  <c r="H25" i="1" l="1"/>
</calcChain>
</file>

<file path=xl/sharedStrings.xml><?xml version="1.0" encoding="utf-8"?>
<sst xmlns="http://schemas.openxmlformats.org/spreadsheetml/2006/main" count="266" uniqueCount="160">
  <si>
    <t>Kaufland Hrvatska k.d.</t>
  </si>
  <si>
    <t>Donje svetice 14 10000 Zagreb, Hrvatska</t>
  </si>
  <si>
    <t>Broj telefona: 0994344287</t>
  </si>
  <si>
    <t>Projekt: Osijek-Retfala</t>
  </si>
  <si>
    <t>Gradilište: Svilajska ul., 31000 Osijek</t>
  </si>
  <si>
    <t>Ukupni neto iznos</t>
  </si>
  <si>
    <t>Popust</t>
  </si>
  <si>
    <t>Ukupni iznos s popustom</t>
  </si>
  <si>
    <t>Zakonska stopa PDV-a</t>
  </si>
  <si>
    <t>Ukupni bruto iznos</t>
  </si>
  <si>
    <t>Gotovinski popust/Rok u danima</t>
  </si>
  <si>
    <t>Ukupni bruto iznos (s gotovinskim popustom)</t>
  </si>
  <si>
    <t>Kod</t>
  </si>
  <si>
    <t>Vrsta</t>
  </si>
  <si>
    <t>Kratki opis</t>
  </si>
  <si>
    <t>Dugi opis</t>
  </si>
  <si>
    <t>Količina</t>
  </si>
  <si>
    <t>Jedinica</t>
  </si>
  <si>
    <t>Jedinična cijena</t>
  </si>
  <si>
    <t>Ukupno</t>
  </si>
  <si>
    <t>bidderInputLabels</t>
  </si>
  <si>
    <t>ZTV - Dodatni tehnički uvjeti ugovora</t>
  </si>
  <si>
    <t>1.) Dodatni ugovoreni tehnički uvjeti dio su troškovnika te u slučaju ugovaranja postaju dio ugovora. Izvođač radova se dakle obavezuje na sve radove i primjene koje proizlaze iz ovih uvjeta te su one uračunate u cijenu, ukoliko nisu zasebno ponuđene.
2.) Cijene stavki se prikazuju kao neto iznos u državnoj valuti. Važeći zakonski propisani porez na dodanu vrijednost obračunava se zasebno.
3.) U slučaju proturječnosti dodatnih ugovorenih tehničkih uvjeta vrijede prvenstveno podaci iz troškovnika. U slučaju proturječnosti između troškovnika i tehničke dokumentacije koja se predaje prilikom natječaja, vrijedi tehnička dokumentacija.
4.) Prije početka davanja ponude, ponuditelj je dužan pažljivo pročitati kompletan tekst općih uvjeta uz troškovnik, općih i posebnih uvjeta uz svaku grupu radova, tekst samog troškovnika i ostale dijelove tehničke dokumentacije. Ako opis bilo koje stavke u troškovniku dovodi do sumnje o načinu izvedbe ili upotrebu gradiva zahtijevane kvalitete, treba prije predaje ponude zatražiti pojašnjenje od ovlaštene osobe Investitora. Naknadno pozivanje na manjkavost ili nepoznavanje projektno-tehničke dokumentacije ili opisa u troškovniku neće se uzeti u obzir, niti smatrati razlogom za produženje roka izvedbe, a niti će se priznati bilo kakva razlika u cijeni s tog naslova.
5.) Tehnička dokumentacija koja se predaje prilikom natječaja informativnog je karaktera, a ponuđač je dužan u svom trošku izvršiti kontrolu projektno tehničke dokumentacije u smislu točnosti, tehničke ispravnosti, izvedivosti i međusobne usklađenosti. Sve eventualne primjedbe ponuditelj/izvoditelj dužan je pravovremeno uz ponudu, a u svakom slučaju prije izvedbe u pisanom obliku dostaviti Nadzoru i Naručitelju
6.) Ponuditelj je dužan provesti i kontrolu lokacije na licu mjesta prije davanja ponude. Jedinične cijene za pojedine vrste radova sadrže i sve one posredne troškove koji nisu iskazani u troškovniku, ali su neminovni za izvršenje radova predviđenih projektom.
7.) Organizacija gradilišta uračunata je u cijenu, ukoliko nije ponuđena kao zasebna stavka.
8.) Dizalice za podizanje, skele, strojevi, alati, pomoćna sredstva i konstrukcije uzeti su u obzir te su uračunati u jediničnu cijenu.
9.) Skele za radove na fasadi i radove na krovu predmet su ovog natječaja. Ponuditelj smije koristiti postojeće skele uz poštivanje sigurnosnih uvjeta i na vlastitu odgovornost. Preinake na skelama nisu dozvoljene te se one moraju predati u ispravnom stanju u kojem su i preuzete.
10.) Kompletnu režiju gradilišta usigurava i rješava ponuditelj/izvođač i i uključena je u jediničnu cijenu.
11.) Ponuditelj je obvezan redovno prikupljati i ,pravilno skladištiti i odvoziti na ovlašteni deponij sve otpadne materijale, ostatke, krhotine, građevinski otpad, ambalaže, obični otpad i slično o vlastitom trošku. Kod odlaganja otpada potrebno je pridržavati se svih javnopravnih uputa i propisa.
12.) Onečišćenja koja uslijed radova nastaju na susjednim terenima, zgradama, putovima, cestama, trgovima i slično, izvođač radova treba svakodnevno čistiti.
13.) Izvođač preuzima odgovornost za osiguravanje, skladištenje i spremanje vlastite građevinske opreme, strojeva, uređaja, alata i slično. Jednako vrijedi i za građevinske materijale, elemente i za ugradnju određenih uređaja i objekata sve do primopredaje obavljenih građevinskih radova.
14.) Prilikom izvođenja radova, izvoditelj treba zaštititi sve susjedne plohe, dijelove konstrukcije i prethodno izvedene radove na prikladan način a u skladu sa pravilima zaštite na radu, tako da ne dođe do oštećenja istih. Troškove zaštite treba izvoditelj ukalkulirati u ponudbenu cijenu izvođenja radova. Ukoliko ipak dođe do oštećenja prethodno izvedenih radova za koje je odgovoran izvoditelj ili njegov kooperant, dužan je iste o svom trošku dovesti u stanje prije oštećenja ili naručiti iste radove kod drugog izvoditelja na svoj teret.
15.) Sve potrebne mjere prema javnopravnim uputama i propisima za sigurnost i zaštitu zdravlja trebaju se uzeti u obzir te ih se treba pridržavati prilikom izvođenja radova.
16.) Prilikom davanja ponude i izvođenja radova treba se uzeti u obzir, uračunati i pridržavati se
- svih državnih i javnopravnih zakona, smjernica i propisa
- svih odgovarajućih tehničkih standarda, pravila i smjernica
- općeprihvaćenih pravila tehnike
- uputa, propisa i napomena proizvođača za ugradnju i obradu
- Kauflandovih građevinskih opisa, ugovorenih uvjeta i ostalih Kauflandovih dokumenata i planova.
17.) Stavke troškovnika obuhvačaju konačno dovršenje radova definiranih po količini i kvaliteti, onosno podrazumijevaju se kao gotove, potpune i funkcionirajuće, uklj. sve potrebne male dijelove i sredstva za pričvršćivanje, pomoćne materijale i sredstva, podkonstrukcije itd., kao i sve dodatne i posebne usluge - čak i kada one nisu detaljno opisane.
18.) Ako su treće stranke uključene u izvođenje predradnji, izvođač radova ih treba provjeravati. U slučaju nepravilnosti ili prigovora pravovremeno treba informirati naručitelja, tako da može tehnički i organizacijski dovršiti poslove.
19.) Obavezno se treba pridržavati svih Kauflandovih proizvodnih uputa, osim ako postoje opravdani razlozi za odstupanje (npr. dostupnost). U tom slučaju izvođač treba ponuditi istovjetni proizvod ili sustav te potvrditi istovjetnost. O njoj odlučuje naručitelj.
20.) Sustavi se izvode isključivo pomoću komponenata koje su predviđene od strane proizvođača sustava.
21.) Svi materijali, građevinski elementi i uređaji koji neposredno utječu na izgled i funkcionalnost prije ugradnje se trebaju provjeriti. Ugrađuju se tek nakon što naručitelj ili ovlaštena osoba odobri ugradnju na gradilištu. O vrsti i obliku uzorka odlučuje naručitelj.
22.) Ako nije drukčije propisano, izmjene postojećih projektnih rješenja od strane ponuditelja/izvođača a koje utječu na mehaničku stabilnost, ponuditelj/izvođač je dužan u svom trošku ishoditi sve suglasnosti, dozvole i sl.
Projekt izvedenog stanja ukalkulirati u jedničnu cijenu te dostaviti Kauflandu u pisanom i digitalnom obliku.
23.) Svi radovi na objektu te primjenjeni sistemi gradnje moraju biti izvedeni prema pravilu struke, odnosnu u granicama dopuštenih tolerancija.
24.) Ukoliko je ugovoreni termin izvršenja objekta uključen i zimski odnosno ljetni period, to se neće posebno izvođaču priznavati na ime naknade za rad pri niskoj temperaturi, zaštita konstrukcija od hladnoće i vrućine, te atmosferskih nepogoda, sve mora biti uključeno u jediničnu cijenu. Za vrijeme zime objekat se mora zaštititi. Svi eventualni smrznuti dijelovi moraju se ukloniti i izvesti ponovo bez bilo kakve naplate. Ukoliko je temperatura niža od temperature pri kojoj je dozvoljen dotični rad, a Investitor ipak traži da se radi, Izvođač si ima pravo zaračunati naknadu po normi 6,006 ali u tom slučaju Izvođač snosi punu odgovornost za ispravnost i kvalitetu rada. To isto vrijedi i za zaštitu radova tokom ljeta od prebrzog sušenja uslijed visoke temperature.
25.) U jediničnu cijenu rada izvođač treba obuhvatiti i slijedeće radove, koji se neće zasebno platiti kao naknadni rad, čak i ako nisu izričito navedenei u troškovniku:
- sve vrste transporta građevinskih materijala, elemenata, uređaja, objekata itd. do mjesta ugradnje
- potrebne i uobičajene pripreme i predobrade tla
- sve vrste bušenja, zavarivanja, lijepljenja, malih dijelova, sredstava za pričvršćivanje, međupoložaja, izolacije, brtvljenja, folija, spojeva itd. koje su potrebne za priključak, montažu i pričvršćivanje građevinskih dijelova i elemenata
- stručna priprema i priključak na sve okolne dijelove, ugradbene i nadgradne elemente i propuste
- sve izrade kutova, spojnih površina i elemenata, završnih elemenata, slobodnih krajeva itd.
- sve podloge za montažu, priključak i pričvršćivanje kao što su beton, zidani elementi, čelik, aluminij, limovi, gips karton, itd.
- potrebne spojne, kose i okrugle rezove te ostatke rezanja
- Izrada otvora i proreza za instalacije i ugradbene elemente drugih izvođača
- interno povezivanje kablovima i priključak objekata, dovod prema električnim trošilima na gradilištu od strane elektro izvođača</t>
  </si>
  <si>
    <t/>
  </si>
  <si>
    <t>kom</t>
  </si>
  <si>
    <t>m</t>
  </si>
  <si>
    <t>Ostali</t>
  </si>
  <si>
    <t>Prethodne napomene</t>
  </si>
  <si>
    <t>m2</t>
  </si>
  <si>
    <t>309</t>
  </si>
  <si>
    <t>Vanjska i unutarnja ALU bravarija</t>
  </si>
  <si>
    <t>309.000</t>
  </si>
  <si>
    <t>Opseg usluga metalne konstrukcije</t>
  </si>
  <si>
    <t>U sljedećim pozicijama potrebno je uzeti u obzir i uračunati sljedeće usluge, čak i ako nisu izričito navedene:
- obojane limove i pravokutne dijelove za priključke, krajeve i prijelaze
- eventualna oštećenja na površini i / ili slojevima pravilno ukloniti
- potrebne podkonstrukcije i pojačanja
- Prihvate za fuge na građevinama i promjene dužina uslijed temperaturnih varijacija
- kontrolirano odvođenje kišnice i kišnice nošene vjetrom
- Zaštitu građevinskih priključaka protiv kišnice s vanjske strane, odnosno pare s unutarnje strane
- interno povezivanje kablovima na prozorima, koristiti profile za prekrivanje kabela
- alternativno za garniture / aluminijske elemente, eloksirani: Nehrđajući čelik, mat
- izvedbu slijepih podnih profila (u razini slojeva poda)
- konzekventnu izvedbu hidroizolacije u podnožju pojedinih stavki
- konzekventnu izvedbu parne brane na svim rubovima pojedinih stavki
- padajuće brtve za vanjska i protupožarne stavke uključena u cijenu</t>
  </si>
  <si>
    <t>309.010</t>
  </si>
  <si>
    <t>PVC staklene stijene</t>
  </si>
  <si>
    <t>309.010.00100</t>
  </si>
  <si>
    <t>x..AF10..x - staklena stijena između boravka i vanjske terase</t>
  </si>
  <si>
    <t>POZ P09
Dobava i postava staklene stijene između boravka i vanjske terase prema trenutno važećim smjernicama KaBa. Stijena se sastoji od fiksnih dijelova rastera 1,25m i jednokrilnih zaokretnih vrata svijetle širine 1,12m.
Građ.dimenzija stijene: [ 2,45/2,70 ] m
Konstrukcija stijene: PVC profil ojačan sa čeličnom jezgrom sa višekomornim sustavom i dvije EPDM brtve. Boja RAL 7016 otporna na ultraljubičasto zračenje. U zoni postave zaštite od sunca izvesti prošireni nadvojni profil visine 200mm.
Dizajn profila: ravno položena krila
Ostakljenje: višeslojnog sigurnosnog 2 izolacijskog stakla koeficijent prolaza topline Uw najmanje 1,3 W/m²K, Ug min 1,3 W/m²K . Zahtijevani koeficijent prolaza topline Uw odnosi se na cijeli prozor i uzima u obzir koeficijent prolaza topline okvira (Uf), ostakljenja (ug) i profila za održavanje razmaka izolacijskog ostakljenja (y-vrijednost).
Zaokretna vrata:
• Antipanik brava na vratima, pripremljena za prolazni profilni cilindar
• Okovi: Eloksirani aluminij ili nehrđajući čelik mat brušen, iznutra kvaka, izvana fiksna ručka, npr. HEWI Serie 11, s dugačkim štitom
• Kontrola: Magnetni kontakt i kontakt na zasunu za kontrolu otvaranja i zatvaranja, VdS razred C, prekriveni
• Ostalo: električni otvarač vrata, otključavanje brave s kliznim vođenjem, 12V DC, radna struja
• Otvarač vrata s mehaničkim otključavanjem zasuna otvarača vrata, s opružnim jezičkom
• Gornji zatvarač vrata
Izvedba prema detaljima proizvođača uključivo sav rad i materijal kako bi se stavka izvela do gotove funkcionalnosti
Spojne reške: PUR-pjena;
Fabrikat: SALAMANDER, GEALAN ili drugi istovrijedni pvc profili
Zidni zaustavljač vrata od mekane plastike, okrugli, promjera ca. 40 mm, s držačem od nehrđajućeg čelika, uklj. sredstva za pričvršćivanje, isporučiti i montirati</t>
  </si>
  <si>
    <t>309.020</t>
  </si>
  <si>
    <t>Aluminijska staklena vrata</t>
  </si>
  <si>
    <t>309.020.00100</t>
  </si>
  <si>
    <t>x..AT3..x - aluminijska evakuacijska dvokrilna vrata s nadsvjetlom  dimenzije 2,26 / 4,15 m</t>
  </si>
  <si>
    <t>POZ A05
Izrada, dobava i postava dvokrilnih staklenih vrata s nadsvjetlom od aluminijskih profila dubine do cca.75mm s prekinutim termičkim mostom s EPDM brtvenim profilima. Ostakljenje od višeslojnog sigurnosnog 2 izolacijskog stakla 2x6mm. Izvedba do gotove funkcionalnosti i prema važećim smjernicama KaBa HR.
Širina vrata: ca. 2,26 m
Visina vrata: ca. 4,15 m (vrata ca. 2,25 m, nadsvjetlo ca 1,9 m)
Izvedba: Zaokretna vrata, 2-krilna, sa smjerom otvaranja ulijevo ili udesno
Okvir: Aluminijski okvir, s premazom u prahu otpornim na ultraljubičasto zračenje, boja RAL 7047
Krilo vrata: okvir od aluminija ravan izvana, s premazom u prahu i staklenom ispunom, s donjim zatvaračem (falc) ca. 15 mm
Koeficijent toplinske provodljivosti: min. 1,3 W/m2K, a stakla min 1,1 W/m2K
Panti: od nehrđajućeg čelika, skriveni
Okov: ručka s vanjske strane, s unutarnje strane potisna poluga na pomičnoj i nepomičnoj strani, od aluminija, s eloksiranom površinom
Brava na pomičnoj strani vrata: Ugradbena brava sa zasunom, objektne kvalitete, pripremljena za profilni cilindar, s panik funkcijom prema EN 1125, sa samostalnim zaključavanjem.
Gornji zatvarač vrata, na obja krila, s usklađenim mehanizmom zatvarnaja.
Neaktivna brava krila: skrivena bravica u obliku kvake u kvaliteti svojstva, s funkcijom panike prema EN 1125
Kontrola: Magnetni kontakti za kontrolu otvorenosti (2 na pomičnoj strani, 1 na nepomičnoj strani), kontrola zatvorenosti integrirana u bravu, kontakt za zatvoreno stanje na pogonskom zasunu, VdS razred C, prekrivena ugradnja
Boje: sukladno Kauflandovoj paleti boja</t>
  </si>
  <si>
    <t>309.020.00105</t>
  </si>
  <si>
    <t>x..AT3..x - aluminijska evakuacijska dvokrilna vrata dimenzije 2,26 / 2,25 m</t>
  </si>
  <si>
    <t>POZ A06
Izrada, dobava i postava dvokrilnih staklenih vrata s nadsvjetlom od aluminijskih profila dubine do cca.75mm s prekinutim termičkim mostom s EPDM brtvenim profilima. Ostakljenje od višeslojnog sigurnosnog 2 izolacijskog stakla 2x6mm. Izvedba do gotove funkcionalnosti i prema važećim smjernicama KaBa HR.
Širina vrata: ca. 2,26 m
Visina vrata: ca. 4,15 m (vrata ca. 2,25 m)
Izvedba: Zaokretna vrata, 2-krilna, sa smjerom otvaranja ulijevo ili udesno
Okvir: Aluminijski okvir, s premazom u prahu otpornim na ultraljubičasto zračenje, boja RAL 7047
Krilo vrata: okvir od aluminija ravan izvana, s premazom u prahu i staklenom ispunom, s donjim zatvaračem (falc) ca. 15 mm
Koeficijent toplinske provodljivosti: min. 1,3 W/m2K, a stakla min 1,1 W/m2K
Panti: od nehrđajućeg čelika, skriveni
Okov: s vanjske strane glatko, bez rozeta, s unutarnje strane potisna poluga na pomičnoj i nepomičnoj strani, od aluminija, s eloksiranom površinom
Brava na pomičnoj strani vrata: Ugradbena brava sa zasunom, objektne kvalitete, pripremljena za profilni cilindar, s panik funkcijom prema EN 1125, sa samostalnim zaključavanjem.
Gornji zatvarač vrata, na obja krila, s usklađenim mehanizmom zatvarnaja.
Neaktivna brava krila: skrivena bravica u obliku kvake u kvaliteti svojstva, s funkcijom panike prema EN 1125
Kontrola: Magnetni kontakti za kontrolu otvorenosti (2 na pomičnoj strani, 1 na nepomičnoj strani), kontrola zatvorenosti integrirana u bravu, kontakt za zatvoreno stanje na pogonskom zasunu, VdS razred C, prekrivena ugradnja
Boje: sukladno Kauflandovoj paleti boja</t>
  </si>
  <si>
    <t>309.020.00110</t>
  </si>
  <si>
    <t>x..AT13..x - aluminijska 1-krilna staklena vrata dimenzije 1,16 / 2,16 m, izlaz u slučaju nužde EN 179</t>
  </si>
  <si>
    <t>POZ F01
Vrata od aluminija i stakla s gornjim prozorom, vanjska vrata kao sustav s cijevnim okvirom i staklenom ispunom, s termički odvojenim šupljim profilima, s dubinom okvira od ca. 75 mm, s ostakljenjem od višeslojne izolacijske površine od laminiranog stakla i EPDM brtvenim profilima, izraditi, isporučiti i montirati.
Širina vrata: ca. 1,16 m
Visina vrata: ca. 2,16 m
Izvedba: Zaokretna vrata, 1-krilna, sa smjerom otvaranja ulijevo ili udesno
Okvir: Aluminijski okvir, s praškastim premazom otpornim na ultraljubičasto zračenje
Krilo vrata: Cijevni okvir od aluminija, s praškastim premazom otpornim na ultraljubičasto zračenje i staklenom ispunom cijelom visinom vrata, s donjim zatvaračem (falc) ca. 15 mm
Koeficijent toplinske provodljivosti: min. 1,3 W/m2K, a stakla min 1,1 W/m2K
Panti: od nehrđajućeg čelika, skriveni
Okov: okov za vrata od plemenitog čelika, unutra kvaka, izvana kugla, izvana dodatno ručka od plemenitog čelika.
Brava: Ugradbena brava sa zasunom, objektne kvalitete, pripremljena za profilni cilindar, s panik funkcijom prema EN 179
Gornji zatvarač: s kliznom šinom s odbojnikom u klizaču, na strani na kojoj se ne nalaze šarke, zatvarač s mogućnosću fiksiranja vrata u otvorenom položaju
Kontrola: Magnetni kontakti za kontrolu otvorenosti (2 na pomičnoj strani), kontakt na zasunu za kontrolu zatvorenosti, VdS razred C, prekrivena ugradnja
Ostalo: blok brava i kodirana brava, električni otvarač vrata, otključavanje brave s kliznim vođenjem, 12V DC, radna struja
Boje: sukladno Kauflandovoj paleti boja</t>
  </si>
  <si>
    <t>309.030</t>
  </si>
  <si>
    <t>Staklena fasada</t>
  </si>
  <si>
    <t>309.030.00100</t>
  </si>
  <si>
    <t>x..PRF2..x - staklena fasada sa zaštitom od sunca</t>
  </si>
  <si>
    <t>POZ A07
Izrada, dobava i ugradnja ostakljene aluminijske fasadne konstrukcije. Fasadu izraditi od sistema samonosivih plastificiranih aluminijskih horizontalnih i vertikalnih pravokutnih šupljih profila s prekidom toplinskog mosta širine cca.60mm i dubine prema statičkom proračunu. Sve brtve na fasadi od EPDM-a prema DIN 7863. U cijeni stavke uključiti komplet sav potreban rad i materijal prema opisu u troškovniku, kao i sve dodatne radove i materijale potrebne da se izradi kompletna fasada kao oblikovna i funkcionalna cjelina. Svi spojni limovi, opšavi, tolinske izolacije, hidroizolacije i parne brane koje se prema pravilima struke ugrađuju, sastavni su dio ove stavke.
Konstrukcija:
- razmak osi stupova: prema planu fasade
- razmak osi horizontala: prema planu fasade
- osiguranje stakla protiv odvrtanja: npr. kombinacija Secu-Fast vijaka s vijcima s unutarnjim mnogokutom
- pokrovni profili s nevidljivim pričvršćivanjem (stegnuti)
- tip profila: kao Schuco FW 50+ ili jednakovrijedno
- premaz: praškastim premaz otporan na ultraljubičasto zračenje boja RAL7016 ili sukladno Kauflandovoj boji paleta
Ostakljenje:
- Proračun debljine, izradu, obradu i ugradnju stakla izvršiti u skladu s Tehničkim propisom za staklene konstrukcije (NN 153/13, 53/17). Debljine stakla prema potrebi provjeriti od strane ovlaštenog statičara. Kao osiguranje od pucanja kod laminiranog stakla obavezno pobrusiti rubove
- visina ostakljenja: prema planu fasade
- dvoslojno VSG izolacijsko staklo s Low E premaz + ispuna toplinski inertnim plinom argonom (6+16+6) s EPDM brtvenim profilima, odnosno prema statičkom proračunu
- gornji dio stavke (iznad kote spuštenog stropa +3,80m) izvesti u punoj ispuni (sendvič panel)
Koeficijent toplinske provodljivosti (Uw): min. 1,3 W/m2K i odnosi se na cijeli fasadni sustav, dok za ostekljenje vrijedi 1,1 W/m2K
Zaštita od sunca (prema smjernicama iz opisa gradnje KaBa HR):
Vrsta izvedbe 1 - prozirno staklo sa zaštitom od sunca
Prioritet 1
Staklo sa zaštitom od sunca ima prioritet u odnosu na prozirno staklo s roletama.
Preduvjet: Bez zasljepljivanja radnih mjesta zbog sunčevog zračenja!
Aspekti: Smanjenje investicije, montaže i instalacije. Izbjegavanje troškova za čišćenje, održavanje, popravak roleta. Vidljivost je uvijek dana
Karakteristike stakla i kriteriji za prozirno staklo sa zaštitom od sunca
Početak: prozirno staklo sa zaštitom od sunca
Ukupna propusnost energije (g-vrijednost / SHGC - koeficijent solarnog toplinskog prirasta): otpr. 30 - 20 %
Što je niža vrijednost SHGC, manje topline zračenja (sunca) dolazi izvana prema unutra
Propust svjetlosti (TL): približno 62 - 45 %
što je manja propusnost svjetla (TL), manje svjetla dolazi izvana
Staklo sa zaštitom od sunca s nižom propusnošću svjetlosti (TL: pribl. 50-45 %) prikladnije je za fasade s duljim/intenzivnijim sunčevim zračenjem, npr. orijentacije zapad/sjeverozapad.
Moraju se uzeti u obzir mogući efekti refleksije od susjednih zgrada.
Stakla na vrijeme ispitati.</t>
  </si>
  <si>
    <t>309.040</t>
  </si>
  <si>
    <t>Vjetrobran</t>
  </si>
  <si>
    <t>309.040.00100</t>
  </si>
  <si>
    <t>x..AT1..x - vanjska automatska klizna vrata dim. [250/230] m</t>
  </si>
  <si>
    <t>POZ A01
Dobava i ugradnja vanjskih evakucijskih automatskih kliznih vrata u pripremljeni otvor u vanjskoj fasadnoj staklenoj stijeni. Automatska vrata treba konstruirati tako, da ne može doći do gnječenja i uklještenja. Mjesta na kojima može doći do uklještenja trebaju se osigurati mekanim gumenim brtvenim profilima. Na elemente okvira paralelno s unutarnje i vanjske strane treba postaviti staklo. Razmak između sporednih rubova zatvaranja i bočnih površina mora uvijek biti veći od 200 mm.
Izvedba: evakuacijska klizna vrata s 2 krila
Krila vrata: Okvir od aluminija, s praškastim premazom otpornim na ultraljubičasto zračenje i ostakljenje s dvoslojnim VSG izolacijskim staklom s Low E premaz + ispuna toplinski inertnim plinom argonom (6+16+6) s EPDM brtvenim profilima. Klizna vrata u fino uokvirenoj izvedbi, dubina profila cca. 30 - 40 mm,ovisno o proizvođaču.
Pogon: Pogon kliznih vrata s modularnim sastavom i tihom kliznom šinom, brzina otvaranja i zatvaranja 0,5-0,7 m/s po krilima, 80 % širine otvara se unutar 3 sekunde u slučaju nužde
Upravljanje: Mikroprocesorska upravljačka jedinica, s vremenom otvorenosti od 0 do 180 sekundi i sljedećim radnim programima: Isključeno, Automatski, Otvoreno, Izlaz, podesivo pomoću programske sklopke
Sigurnosna oprema: Sigurnosna oprema odabire se prema državnim propisima i direktivama, ali minimalno je potrebna: Samostalna regulacija i nadzor kretnje krila, okretanje smjera u slučaju nailaženja na prepreku, samostalna provjera sigurnosnih uređaja, sklopka za isključivanje u slučaju nužde.
Aktivacija: obostrani kombinirani detektor s radarskim senzorom (za detekciju pokreta) i infracrveni senzor (za nadzor prisutnosti), sklopka s ključem s unutarnje strane
Zaključavanje: Elektromehaničko standardno zaključavanje s ručnim otključavanjem s unutarnje strane, mehaničko zaključavanje putem brave s kukastim zasunom s unutarnje strane
Kontrola: Stanja vrata putem bespotencijalnog kontakta na protuprovalnoj centrali
Zaštita od sunca (ostakljenje) potrebno izvesti identično kao za stavku u koju se ugrađuje kako bi se postigao uejdnačen izgled i svojstvo fasade.</t>
  </si>
  <si>
    <t>309.040.00105</t>
  </si>
  <si>
    <t>x..AT1..x - unutarnja staklena stijena za ugradnju kliznih vrata dim. [ 6,5 / 3,8 ] m</t>
  </si>
  <si>
    <t>POZ A02
Izrada, dobava i ugradnja unutarnje staklene stijene sa nadsvjetlom za ugradnju automatskih kliznih vrata. Fasadu izraditi od sistema samonosivih plastificiranih aluminijskih horizontalnih i vertikalnih pravokutnih šupljih profila s prekidom toplinskog mosta širine cca.60mm i dubine prema statičkom proračunu. Sve brtve na fasadi od EPDM-a prema DIN 7863. U cijeni stavke uključiti komplet sav potreban rad i materijal prema opisu u troškovniku, kao i sve dodatne radove i materijale potrebne da se izradi kompletna fasada kao oblikovna i funkcionalna cjelina.
Konstrukcija:
- razmak osi stupova: prema planu fasade
- visina podjele stijene po horizontali: 2300 mm
- osiguranje stakla protiv odvrtanja: npr. kombinacija Secu-Fast vijaka s vijcima s unutarnjim mnogokutom
- pokrovni profili s nevidljivim pričvršćivanjem (stegnuti)
- tip profila: kao Schuco FW 50+ ili jednakovrijedno
- premaz: praškastim premaz otporan na ultraljubičasto zračenje boja RAL7016 ili sukladno Kauflandovoj boji paleta
- proširenje zadnjeg lijevog ili desnog profila za ugradnju pogonske i upravljačke jedinice
Ostakljenje:
- Proračun debljine, izradu, obradu i ugradnju stakla izvršiti u skladu s Tehničkim propisom za staklene konstrukcije (NN 153/13, 53/17). Debljine stakla prema potrebi provjeriti od strane ovlaštenog statičara. Kao osiguranje od pucanja kod laminiranog stakla obavezno pobrusiti rubove
- visina ostakljenja: prema planu fasade
- jednoslojno VSG izolacijsko staklo 8mm s EPDM brtvenim profilima, odnosno prema statičkom proračunu</t>
  </si>
  <si>
    <t>309.040.00106</t>
  </si>
  <si>
    <t>x..AT1..x - unutarnja automatska klizna vrata dim. [ 2,5 / 2,3 ] m</t>
  </si>
  <si>
    <t>POZ A02
Dobava i ugradnja unutarnjih evakucijskih automatskih kliznih vrata u pripremljeni otvor u unutarnjoj staklenoj stijeni. Automatska vrata treba konstruirati tako, da ne može doći do gnječenja i uklještenja. Mjesta na kojima može doći do uklještenja trebaju se osigurati mekanim gumenim brtvenim profilima. Na elemente okvira paralelno s unutarnje i vanjske strane treba postaviti staklo. Razmak između sporednih rubova zatvaranja i bočnih površina mora uvijek biti veći od 200 mm.
Izvedba: evakuacijska klizna vrata s 2 krila
Krila vrata: Okvir od aluminija, s praškastim premazom otpornim na ultraljubičasto zračenje i ostakljenje s jednoslojnim VSG izolacijskim staklom 8mm s EPDM brtvenim profilima. Klizna vrata u fino uokvirenoj izvedbi, dubina profila cca. 30 - 40 mm,ovisno o proizvođaču.
Pogon: Pogon kliznih vrata s modularnim sastavom i tihom kliznom šinom, brzina otvaranja i zatvaranja 0,5-0,7 m/s po krilima, 80 % širine otvara se unutar 3 sekunde u slučaju nužde
Upravljanje: Mikroprocesorska upravljačka jedinica, s vremenom otvorenosti od 0 do 180 sekundi i sljedećim radnim programima: Isključeno, Automatski, Otvoreno, Izlaz, podesivo pomoću programske sklopke
Sigurnosna oprema: Sigurnosna oprema odabire se prema državnim propisima i direktivama, ali minimalno je potrebna: Samostalna regulacija i nadzor kretnje krila, okretanje smjera u slučaju nailaženja na prepreku, samostalna provjera sigurnosnih uređaja, sklopka za isključivanje u slučaju nužde.
Aktivacija: obostrani kombinirani detektor s radarskim senzorom (za detekciju pokreta) i infracrveni senzor (za nadzor prisutnosti), sklopka s ključem s unutarnje strane
Zaključavanje: Elektromehaničko standardno zaključavanje s ručnim otključavanjem</t>
  </si>
  <si>
    <t>309.040.00110</t>
  </si>
  <si>
    <t>x..AT1..x - satenske trake na kliznim krilima</t>
  </si>
  <si>
    <t>Dobava i postava lijepljenjem na klizna krila automatskih vrata satinirane trake širine 20cm. Postava na visini od 1,5-1,7m mjereno od gotovog poda.
Referentni proizvod: Oracal 8510-90, fino srebro, ili istovjetno</t>
  </si>
  <si>
    <t>309.040.00115</t>
  </si>
  <si>
    <t>x..RS28..x - Zaštita od nehrđajućeg čelika</t>
  </si>
  <si>
    <t>Zaštitu rubova, od nehrđajućeg čelika V4A, s brušenom (240 granulacija) i četkanom površinom, debljine materijala od min. 2 mm, u više dijelova s kutovima različitih dimenzija, pojedinačne dužine 2,3 m, za vanjsku zaštitu dviju vertikalnih unutarnjih površina u otvoru za automatska vrata, izraditi, isporučiti, zalijepiti i po potrebi dodatno mehnički pričvrstiti.
Jedinična cijena po automatskim vratima.</t>
  </si>
  <si>
    <t>309.040.00120</t>
  </si>
  <si>
    <t>x..BS4..x - Podni prag kao razdvojni profil od nehrđajučeg ćelika</t>
  </si>
  <si>
    <t>Podni prag kao razdvojni profil, od nehrđajućeg čelika V4A, debljine materijala od minimalno 3 mm, sa širinom prilagođenom stupovima i automatskim vratima, u U obliku, s blago zaobljenim rubovima, u različitim pojedinačnim dužinama, isporučiti, postaviti u jednoj liniji i na ispravnoj visini ispod automatskih vrata i pričvrstiti.</t>
  </si>
  <si>
    <t>309.050</t>
  </si>
  <si>
    <t>Sustavi izloga</t>
  </si>
  <si>
    <t>309.060</t>
  </si>
  <si>
    <t>Staklene pregrade</t>
  </si>
  <si>
    <t>309.070</t>
  </si>
  <si>
    <t>309.070.00100</t>
  </si>
  <si>
    <t>x... VD2 - stubište sa staklenom nadstrešnicom, dimenzije cca 1,50 / 1,30 m</t>
  </si>
  <si>
    <t>POZ 801
Staklenu nadstrešnicu, slobodno viseću, s podkonstrukcijom od nehrđajućeg čelika V4A, s brušenom (granulacija 240) i četkanom površinom, umetkom od sigurnosnog stakla za zaštitu od propadanja, pričvršćenu pomoću letvi za držanje stakla, za nagibe krove od ca. 5 % na vanjsku stranu, sa slobodnim odvodnjavanjem preko ruba krova, izraditi, isporučiti i montirati.
Širina: 1,50m
Dubina: ca. 1,30 m</t>
  </si>
  <si>
    <t>310</t>
  </si>
  <si>
    <t>Plastični prozori</t>
  </si>
  <si>
    <t>310.000</t>
  </si>
  <si>
    <t>Ostale usluge plastičnih prozora</t>
  </si>
  <si>
    <t>U sljedećim pozicijama potrebno je uzeti u obzir i uračunati sljedeće usluge, čak i ako nisu izričito navedene:
- obojane limove i pravokutne dijelove za priključke, krajeve i prijelaze
- eventualna oštećenja na površini i / ili slojevima pravilno ukloniti
- potrebne podkonstrukcije i pojačanja
- Prihvate za fuge na građevinama i promjene dužina uslijed temperaturnih varijacija
- kontrolirano odvođenje kišnice i kišnice nošene vjetrom
- Zaštitu građevinskih priključaka protiv kišnice s vanjske strane, odnosno pare s unutarnje strane
- interno povezivanje kablovima na prozorima, koristiti profile za prekrivanje kabela
- Pričvršćivanje klupice za prozor s odgovarajućim kutovima, sa zaštitnom folijom za zvučnu izolaciju, brtvom od elastomernog profila te bočnom i donjom trajno elastičnom brtvom na bazi thiokola</t>
  </si>
  <si>
    <t>310.010</t>
  </si>
  <si>
    <t>PVC prozori</t>
  </si>
  <si>
    <t>310.010.00100</t>
  </si>
  <si>
    <t>x..AF1..x - PVC otklopni prozor dim [1,26 / 1,4] m</t>
  </si>
  <si>
    <t>POZ P05
Dobava, izvedba i ugradnja vanjskog otklopnog PVC prozora s višekomornim profilnim sustavom i dvije brtve dubine od cca.70mm. Prošireni nadvojni profil, visina 200 mm (nije iskazan u dimenziji stavke, ali je uključen u cijenu). Okvir pripravljen za spajanje s prozorskom klupicom. Dvoslojno izolacijsko float staklo. U cijeni stavke uključiti komplet sav potreban rad i materijal prema opisu u troškovniku, kao i sve dodatne radove i materijale potrebne da se izradi kompletni prozor kao oblikovna i funkcionalna cjelina.
Izvedba: prozor s otklopnim krilom
Širina prozora: 1,26 m
Visina prozora: 1,4 m
Koeficijent toplinske provodljivosti: min. 1,3 W/m2K. Zahtijevani koeficijent prolaza topline Uw odnosi se na cijeli prozor i uzima u obzir koeficijent prolaza topline okvira (Uf), ostakljenja (Ug min. 1,1 W/m2K) i profila za održavanje razmaka izolacijskog ostakljenja (y-vrijednost).)
Kontrola: Kontakt na zasunu za kombiniranu kontrolu otvaranja i zatvaranja, VdS razred C, skrivena ugradnja
Okovi: Ručka prozora, od aluminija, s eloksiranom površinom. Panti skriveni.
Vanjska klupica za prozor: od ekstrudiranog aluminijskog profila, debljina 2 mm, boja RAL7047 - anthrazitgrau, praškasti premaz. 50 mm izbočena iz fasade, bočno izvučena za spoj sa zidom, sidrenje s podesivim kutnikom za učvršćivanje uglavljenim odozdo, antivibracijska traka.
Boje: sukladno Kauflandovoj paleti boja</t>
  </si>
  <si>
    <t>310.010.00105</t>
  </si>
  <si>
    <t>x..AF1..x - PVC zaokterno otklopni prozor dim [1,26 / 1,7] m</t>
  </si>
  <si>
    <t>POZ P10
Dobava, izvedba i ugradnja vanjskog zaokretno-otklopnog PVC prozora s višekomornim profilnim sustavom i dvije brtve dubine od cca.70mm. Prošireni nadvojni profil, visina 200 mm (nije iskazan u dimenziji stavke, ali je uključen u cijenu). Okvir pripravljen za spajanje s prozorskom klupicom. Dvoslojno izolacijsko float staklo. U cijeni stavke uključiti komplet sav potreban rad i materijal prema opisu u troškovniku, kao i sve dodatne radove i materijale potrebne da se izradi kompletni prozor kao oblikovna i funkcionalna cjelina.
Izvedba: prozor s zaokretno-otklopnim krilom
Širina prozora: 1,26 m
Visina prozora: 1,7 m
Koeficijent toplinske provodljivosti: min. 1,3 W/m2K. Zahtijevani koeficijent prolaza topline Uw odnosi se na cijeli prozor i uzima u obzir koeficijent prolaza topline okvira (Uf), ostakljenja (Ug min. 1,1 W/m2K) i profila za održavanje razmaka izolacijskog ostakljenja (y-vrijednost).)
Kontrola: Kontakt na zasunu za kombiniranu kontrolu otvaranja i zatvaranja, VdS razred C, skrivena ugradnja
Okovi: Ručka prozora, od aluminija, s eloksiranom površinom. Panti skriveni.
Vanjska klupica za prozor: od ekstrudiranog aluminijskog profila, debljina 2 mm, boja RAL 7016 - anthrazitgrau, praškasti premaz. 50 mm izbočena iz fasade, bočno izvučena za spoj sa zidom, sidrenje s podesivim kutnikom za učvršćivanje uglavljenim odozdo, antivibracijska traka.
Boje: sukladno Kauflandovoj paleti boja</t>
  </si>
  <si>
    <t>310.010.00110</t>
  </si>
  <si>
    <t>x..AF1..x - PVC dvodijelni zaokretno otklopni prozor visine 1,7 m</t>
  </si>
  <si>
    <t>POZ P07
Dobava, izvedba i ugradnja vanjskog dvodijelnog zaokretno-otklopnog PVC prozora s višekomornim profilnim sustavom i dvije brtve dubine od cca.70mm. Prošireni nadvojni profil, visina 200 mm (nije iskazan u dimenziji stavke, ali je uključen u cijenu). Okvir pripravljen za spajanje s prozorskom klupicom. Dvoslojno izolacijsko float staklo. U cijeni stavke uključiti komplet sav potreban rad i materijal prema opisu u troškovniku, kao i sve dodatne radove i materijale potrebne da se izradi kompletni prozor kao oblikovna i funkcionalna cjelina.
Izvedba: dvodijelni prozor sa fiksnim ostakljenjem i prozorom sa zaokretnim/otklopnim krilima rastera 1,26 m, uklj. spojne i panel površine
Visina prozora: 1,7 m
Koeficijent toplinske provodljivosti: min. 1,3 W/m2K. Zahtijevani koeficijent prolaza topline Uw odnosi se na cijeli prozor i uzima u obzir koeficijent prolaza topline okvira (Uf), ostakljenja (Ug min. 1,1 W/m2K) i profila za održavanje razmaka izolacijskog ostakljenja (y-vrijednost).)
Kontrola: Kontakt na zasunu za kombiniranu kontrolu otvaranja i zatvaranja, VdS razred C, skrivena ugradnja
Okovi: Ručka prozora, od aluminija, s eloksiranom površinom. Panti skriveni.
Vanjska klupica za prozor: od ekstrudiranog aluminijskog profila, debljina 2 mm, boja RAL 7016 - anthrazitgrau, praškasti premaz. 50 mm izbočena iz fasade, bočno izvučena za spoj sa zidom, sidrenje s podesivim kutnikom za učvršćivanje uglavljenim odozdo, antivibracijska traka.
Boje: sukladno Kauflandovoj paleti boja</t>
  </si>
  <si>
    <t>310.010.00115</t>
  </si>
  <si>
    <t>POZ P15
Dobava, izvedba i ugradnja vanjskog dvodijelnog zaokretno-otklopnog PVC prozora s višekomornim profilnim sustavom i dvije brtve dubine od cca.70mm. Prošireni nadvojni profil, visina 200 mm (nije iskazan u dimenziji stavke, ali je uključen u cijenu). Okvir pripravljen za spajanje s prozorskom klupicom. Dvoslojno izolacijsko float staklo. U cijeni stavke uključiti komplet sav potreban rad i materijal prema opisu u troškovniku, kao i sve dodatne radove i materijale potrebne da se izradi kompletni prozor kao oblikovna i funkcionalna cjelina.
Izvedba: dvodijelni prozor sa fiksnim ostakljenjem i prozorom sa zaokretnim/otklopnim krilima rastera 1,26 m, uklj. spojne i panel površine
Visina prozora: 1,7 m
Koeficijent toplinske provodljivosti: min. 1,3 W/m2K. Zahtijevani koeficijent prolaza topline Uw odnosi se na cijeli prozor i uzima u obzir koeficijent prolaza topline okvira (Uf), ostakljenja (Ug min. 1,1 W/m2K) i profila za održavanje razmaka izolacijskog ostakljenja (y-vrijednost).)
Kontrola: Kontakt na zasunu za kombiniranu kontrolu otvaranja i zatvaranja, VdS razred C, skrivena ugradnja
Okovi: Ručka prozora, od aluminija, s eloksiranom površinom. Panti skriveni.
Vanjska klupica za prozor: od ekstrudiranog aluminijskog profila, debljina 2 mm, boja RAL 7016 - anthrazitgrau, praškasti premaz. 50 mm izbočena iz fasade, bočno izvučena za spoj sa zidom, sidrenje s podesivim kutnikom za učvršćivanje uglavljenim odozdo, antivibracijska traka.
Boje: sukladno Kauflandovoj paleti boja</t>
  </si>
  <si>
    <t>310.010.00120</t>
  </si>
  <si>
    <t>POZ P16
Dobava, izvedba i ugradnja vanjskog dvodijelnog zaokretno-otklopnog PVC prozora s višekomornim profilnim sustavom i dvije brtve dubine od cca.70mm. Prošireni nadvojni profil, visina 200 mm (nije iskazan u dimenziji stavke, ali je uključen u cijenu). Okvir pripravljen za spajanje s prozorskom klupicom. Dvoslojno izolacijsko float staklo. U cijeni stavke uključiti komplet sav potreban rad i materijal prema opisu u troškovniku, kao i sve dodatne radove i materijale potrebne da se izradi kompletni prozor kao oblikovna i funkcionalna cjelina.
Izvedba: dvodijelni uglovni prozor sa fiksnim ostakljenjem i prozorom sa zaokretnim/otklopnim krilima rastera 1,26 m, uklj. spojne i panel površine
Visina prozora: 1,7 m
Koeficijent toplinske provodljivosti: min. 1,3 W/m2K. Zahtijevani koeficijent prolaza topline Uw odnosi se na cijeli prozor i uzima u obzir koeficijent prolaza topline okvira (Uf), ostakljenja (Ug min. 1,1 W/m2K) i profila za održavanje razmaka izolacijskog ostakljenja (y-vrijednost).)
Kontrola: Kontakt na zasunu za kombiniranu kontrolu otvaranja i zatvaranja, VdS razred C, skrivena ugradnja
Okovi: Ručka prozora, od aluminija, s eloksiranom površinom. Panti skriveni.
Vanjska klupica za prozor: od ekstrudiranog aluminijskog profila, debljina 2 mm, boja RAL 7016 - anthrazitgrau, praškasti premaz. 50 mm izbočena iz fasade, bočno izvučena za spoj sa zidom, sidrenje s podesivim kutnikom za učvršćivanje uglavljenim odozdo, antivibracijska traka.
Boje: sukladno Kauflandovoj paleti boja</t>
  </si>
  <si>
    <t>310.010.00125</t>
  </si>
  <si>
    <t>x..AF1..x - PVC  višedijelni zaokretno otklopni prozor visine 1,7 m</t>
  </si>
  <si>
    <t>POZ P08
Dobava, izvedba i ugradnja vanjskog dvodijelnog ili višedijelnog zaokretno-otklopnog PVC prozora s višekomornim profilnim sustavom i dvije brtve dubine od cca.70mm. Prošireni nadvojni profil, visina 200 mm (nije iskazan u dimenziji stavke, ali je uključen u cijenu). Okvir pripravljen za spajanje s prozorskom klupicom. Dvoslojno izolacijsko float staklo. U cijeni stavke uključiti komplet sav potreban rad i materijal prema opisu u troškovniku, kao i sve dodatne radove i materijale potrebne da se izradi kompletni prozor kao oblikovna i funkcionalna cjelina.
Izvedba: prozorska traka s prozorima sa zaokretnim/otklopnim krilima rastera 1,26 m, uklj. spojne i panel površine
Visina prozora: 1,7 m
Koeficijent toplinske provodljivosti: min. 1,3 W/m2K. Zahtijevani koeficijent prolaza topline Uw odnosi se na cijeli prozor i uzima u obzir koeficijent prolaza topline okvira (Uf), ostakljenja (Ug min. 1,1 W/m2K) i profila za održavanje razmaka izolacijskog ostakljenja (y-vrijednost).)
Kontrola: Kontakt na zasunu za kombiniranu kontrolu otvaranja i zatvaranja, VdS razred C, skrivena ugradnja
Okovi: Ručka prozora, od aluminija, s eloksiranom površinom. Panti skriveni.
Vanjska klupica za prozor: od ekstrudiranog aluminijskog profila, debljina 2 mm, boja RAL 7016 - anthrazitgrau, praškasti premaz. 50 mm izbočena iz fasade, bočno izvučena za spoj sa zidom, sidrenje s podesivim kutnikom za učvršćivanje uglavljenim odozdo, antivibracijska traka.
Boje: sukladno Kauflandovoj paleti boja</t>
  </si>
  <si>
    <t>310.010.00130</t>
  </si>
  <si>
    <t>x..AF3..x - PVC otklopni prozor dim [1,01 / 0,6] m</t>
  </si>
  <si>
    <t>POZ P03, POZ P04, POZ P06, POZ P11, POZ P12
Dobava, izvedba i ugradnja vanjskog otklopnog PVC prozora s višekomornim profilnim sustavom i dvije brtve dubine od cca.70mm. Prošireni nadvojni profil, visina 200 mm (nije iskazan u dimenziji stavke, ali je uključen u cijenu). Okvir pripravljen za spajanje s prozorskom klupicom. Dvoslojno izolacijsko neprozirno satinirano float staklo. U cijeni stavke uključiti komplet sav potreban rad i materijal prema opisu u troškovniku, kao i sve dodatne radove i materijale potrebne da se izradi kompletni prozor kao oblikovna i funkcionalna cjelina.
Izvedba: prozor s otklopnim krilom
Širina prozora: 1,01 m
Visina prozora: 0,6 m
Koeficijent toplinske provodljivosti: min. 1,3 W/m2K. Zahtijevani koeficijent prolaza topline Uw odnosi se na cijeli prozor i uzima u obzir koeficijent prolaza topline okvira (Uf), ostakljenja (Ug min. 1,1 W/m2K) i profila za održavanje razmaka izolacijskog ostakljenja (y-vrijednost).)
Kontrola: Kontakt na zasunu za kombiniranu kontrolu otvaranja i zatvaranja, VdS razred C, skrivena ugradnja
Okovi: Poluga za otvaranje/zatvaranje prozora, s eloksiranom površinom, sa zaključavanjem, osigurana protiv pogrešne upotrebe.
Vanjska klupica za prozor: od ekstrudiranog aluminijskog profila, debljina 2 mm, boja RAL 7047 - anthrazitgrau, praškasti premaz. 50 mm izbočena iz fasade, bočno izvučena za spoj sa zidom, sidrenje s podesivim kutnikom za učvršćivanje uglavljenim odozdo, antivibracijska traka.
Boje: sukladno Kauflandovoj paleti boja</t>
  </si>
  <si>
    <t>310.010.00135</t>
  </si>
  <si>
    <t>x..AF3..x -  PVC dvodijelni otklopni prozor visine 0,6 m</t>
  </si>
  <si>
    <t>POZ P02
Dobava, izvedba i ugradnja vanjskog dvodijelnog otklopnog PVC prozora s višekomornim profilnim sustavom i dvije brtve dubine od cca.70mm. Prošireni nadvojni profil, visina 200 mm (nije iskazan u dimenziji stavke, ali je uključen u cijenu). Okvir pripravljen za spajanje s prozorskom klupicom. Dvoslojno izolacijsko neprozirno satinirano float staklo. U cijeni stavke uključiti komplet sav potreban rad i materijal prema opisu u troškovniku, kao i sve dodatne radove i materijale potrebne da se izradi kompletni prozor kao oblikovna i funkcionalna cjelina.
Izvedba: prozorska traka, s prozorima s otklopnim krilima rastera 1,01 m, uklj. spojne i panel površine
Visina prozora: 0,6 m
Koeficijent toplinske provodljivosti: min. 1,3 W/m2K. Zahtijevani koeficijent prolaza topline Uw odnosi se na cijeli prozor i uzima u obzir koeficijent prolaza topline okvira (Uf), ostakljenja (Ug min. 1,1 W/m2K) i profila za održavanje razmaka izolacijskog ostakljenja (y-vrijednost).)
Kontrola: Kontakt na zasunu za kombiniranu kontrolu otvaranja i zatvaranja, VdS razred C, skrivena ugradnja
Okovi: Poluga za otvaranje/zatvaranje prozora, s eloksiranom površinom, sa zaključavanjem, osigurana protiv pogrešne upotrebe.
Vanjska klupica za prozor: od ekstrudiranog aluminijskog profila, debljina 2 mm, boja RAL 7047 - anthrazitgrau, praškasti premaz. 50 mm izbočena iz fasade, bočno izvučena za spoj sa zidom, sidrenje s podesivim kutnikom za učvršćivanje uglavljenim odozdo, antivibracijska traka.
Boje: sukladno Kauflandovoj paleti boja</t>
  </si>
  <si>
    <t>310.010.00140</t>
  </si>
  <si>
    <t>POZ P13
Dobava, izvedba i ugradnja vanjskog dvodijelnog otklopnog PVC prozora s višekomornim profilnim sustavom i dvije brtve dubine od cca.70mm. Prošireni nadvojni profil, visina 200 mm (nije iskazan u dimenziji stavke, ali je uključen u cijenu). Okvir pripravljen za spajanje s prozorskom klupicom. Dvoslojno izolacijsko neprozirno satinirano float staklo. U cijeni stavke uključiti komplet sav potreban rad i materijal prema opisu u troškovniku, kao i sve dodatne radove i materijale potrebne da se izradi kompletni prozor kao oblikovna i funkcionalna cjelina.
Izvedba: prozorska traka, s prozorima s otklopnim krilima rastera 1,01 m, uklj. spojne i panel površine
Visina prozora: 0,6 m
Koeficijent toplinske provodljivosti: min. 1,3 W/m2K. Zahtijevani koeficijent prolaza topline Uw odnosi se na cijeli prozor i uzima u obzir koeficijent prolaza topline okvira (Uf), ostakljenja (Ug min. 1,1 W/m2K) i profila za održavanje razmaka izolacijskog ostakljenja (y-vrijednost).)
Kontrola: Kontakt na zasunu za kombiniranu kontrolu otvaranja i zatvaranja, VdS razred C, skrivena ugradnja
Okovi: Poluga za otvaranje/zatvaranje prozora, s eloksiranom površinom, sa zaključavanjem, osigurana protiv pogrešne upotrebe.
Vanjska klupica za prozor: od ekstrudiranog aluminijskog profila, debljina 2 mm, boja RAL 7016 - anthrazitgrau, praškasti premaz. 50 mm izbočena iz fasade, bočno izvučena za spoj sa zidom, sidrenje s podesivim kutnikom za učvršćivanje uglavljenim odozdo, antivibracijska traka.
Boje: sukladno Kauflandovoj paleti boja</t>
  </si>
  <si>
    <t>310.010.00145</t>
  </si>
  <si>
    <t>x..AF3..x -  PVC višedijelni  otklopni prozor visine 0,6 m</t>
  </si>
  <si>
    <t>POZ P14
Dobava, izvedba i ugradnja vanjskog dvodijelnog ili višedijelnog otklopnog PVC prozora s višekomornim profilnim sustavom i dvije brtve dubine od cca.70mm. Prošireni nadvojni profil, visina 200 mm (nije iskazan u dimenziji stavke, ali je uključen u cijenu). Okvir pripravljen za spajanje s prozorskom klupicom. Dvoslojno izolacijsko neprozirno satinirano float staklo. U cijeni stavke uključiti komplet sav potreban rad i materijal prema opisu u troškovniku, kao i sve dodatne radove i materijale potrebne da se izradi kompletni prozor kao oblikovna i funkcionalna cjelina.
Izvedba: prozorska traka, s prozorima s otklopnim krilima rastera 1,01 m, uklj. spojne i panel površine
Visina prozora: 0,6 m
Koeficijent toplinske provodljivosti: min. 1,3 W/m2K. Zahtijevani koeficijent prolaza topline Uw odnosi se na cijeli prozor i uzima u obzir koeficijent prolaza topline okvira (Uf), ostakljenja (Ug min. 1,1 W/m2K) i profila za održavanje razmaka izolacijskog ostakljenja (y-vrijednost).)
Kontrola: Kontakt na zasunu za kombiniranu kontrolu otvaranja i zatvaranja, VdS razred C, skrivena ugradnja
Okovi: Poluga za otvaranje/zatvaranje prozora, s eloksiranom površinom, sa zaključavanjem, osigurana protiv pogrešne upotrebe.
Vanjska klupica za prozor: od ekstrudiranog aluminijskog profila, debljina 2 mm, boja RAL 7016 - anthrazitgrau, praškasti premaz. 50 mm izbočena iz fasade, bočno izvučena za spoj sa zidom, sidrenje s podesivim kutnikom za učvršćivanje uglavljenim odozdo, antivibracijska traka.
Boje: sukladno Kauflandovoj paleti boja</t>
  </si>
  <si>
    <t>310.010.00150</t>
  </si>
  <si>
    <t>POZ F02
Dobava, izvedba i ugradnja vanjskog dvodijelnog ili višedijelnog otklopnog PVC prozora s višekomornim profilnim sustavom i dvije brtve dubine od cca.70mm. Prošireni nadvojni profil, visina 200 mm (nije iskazan u dimenziji stavke, ali je uključen u cijenu). Okvir pripravljen za spajanje s prozorskom klupicom. Dvoslojno izolacijsko neprozirno satinirano float staklo. U cijeni stavke uključiti komplet sav potreban rad i materijal prema opisu u troškovniku, kao i sve dodatne radove i materijale potrebne da se izradi kompletni prozor kao oblikovna i funkcionalna cjelina.
Izvedba: prozorska traka, s prozorima sa zaokretnim krilima rastera 1,01 m, uklj. spojne i panel površine
Visina prozora: 0,6 m
Koeficijent toplinske provodljivosti: min. 1,3 W/m2K. Zahtijevani koeficijent prolaza topline Uw odnosi se na cijeli prozor i uzima u obzir koeficijent prolaza topline okvira (Uf), ostakljenja (Ug min. 1,1 W/m2K) i profila za održavanje razmaka izolacijskog ostakljenja (y-vrijednost).)
Kontrola: Kontakt na zasunu za kombiniranu kontrolu otvaranja i zatvaranja, VdS razred C, skrivena ugradnja
Okovi: Poluga za otvaranje/zatvaranje prozora, s eloksiranom površinom, sa zaključavanjem, osigurana protiv pogrešne upotrebe.
Vanjska klupica za prozor: od ekstrudiranog aluminijskog profila, debljina 2 mm, boja RAL 7016 - anthrazitgrau, praškasti premaz. 50 mm izbočena iz fasade, bočno izvučena za spoj sa zidom, sidrenje s podesivim kutnikom za učvršćivanje uglavljenim odozdo, antivibracijska traka.
Boje: sukladno Kauflandovoj paleti boja
Prozorska krila trebaju biti spojena na sigurnosni sustav koji u slučaju požara otvara sva tri otvora - tri motora za tri krila u potpuno otvorenom položaju 90° (otvor služi za osiguranje uvjeta provjetravanja stubišta u slučaju požara, i kao takav treba ispuniti sve projektom predviđene zahtjeve).</t>
  </si>
  <si>
    <t>310.010.00155</t>
  </si>
  <si>
    <t>x..AF5..x - PVC protuprovalni prozor dim [1,26 / 1,1] m</t>
  </si>
  <si>
    <t>POZ P01
Dobava, izvedba i ugradnja vanjskog PVC prozora s višekomornim profilnim sustavom i dvije brtve dubine od cca.70mm. Prošireni nadvojni profil, visina 200 mm. Okvir pripravljen za spajanje s prozorskom klupicom. U cijeni stavke uključiti komplet sav potreban rad i materijal prema opisu u troškovniku, kao i sve dodatne radove i materijale potrebne da se izradi kompletni prozor kao oblikovna i funkcionalna cjelina.
Izvedba: fiksni prozor
Širina prozora: 1,26 m + 1,26 m
Visina prozora: 1,1 m
Koeficijent toplinske provodljivosti: min. 1,3 W/m2K. Zahtijevani koeficijent prolaza topline Uw odnosi se na cijeli prozor i uzima u obzir koeficijent prolaza topline okvira (Uf), ostakljenja (Ug min. 1,1 W/m2K) i profila za održavanje razmaka izolacijskog ostakljenja (y-vrijednost).) Uključena folija za zaštitiu od pogleda.
Kontrola: Kontakt na zasunu za kombiniranu kontrolu otvaranja i zatvaranja, detektor loma stakla, VdS razred C, skrivena ugradnja
Zahtjev: folija za zaštitu od pogleda
Vanjska klupica za prozor: od ekstrudiranog aluminijskog profila, debljina 2 mm, boja RAL 7047 - anthrazitgrau, praškasti premaz. 50 mm izbočena iz fasade, bočno izvučena za spoj sa zidom, sidrenje s podesivim kutnikom za učvršćivanje uglavljenim odozdo, antivibracijska traka.
Boje: sukladno Kauflandovoj paleti boja</t>
  </si>
  <si>
    <t>310.020</t>
  </si>
  <si>
    <t>Vrata</t>
  </si>
  <si>
    <t>310.030</t>
  </si>
  <si>
    <t>311</t>
  </si>
  <si>
    <t>Zaštita od sunca</t>
  </si>
  <si>
    <t>311.000</t>
  </si>
  <si>
    <t>Ograničenje usluge zaštite od sunca</t>
  </si>
  <si>
    <t>U sljedećim pozicijama potrebno je uzeti u obzir i uračunati sljedeće usluge, čak i ako nisu izričito navedene:
- Pričvršćivanje na svim vrstama podloga kao što su profilni sustavi od plastike, aluminija, itd.
- eventualna oštećenja na površini i / ili slojevima pravilno ukloniti
- Kabele za priključak pogona zaštite protiv sunjca dovesti u unutrašnjost zgrade i opremiti utikačem, proboje zabrtviti
- Upravljačku jedinicu spaja električar na gradilištu</t>
  </si>
  <si>
    <t>311.010</t>
  </si>
  <si>
    <t>Vanjska zaštita od sunca</t>
  </si>
  <si>
    <t>311.010.00100</t>
  </si>
  <si>
    <t>x..SJ6..x - Vanjske žaluzine, za pojedinačne prozore, veličine 1,26 / 1,4 m</t>
  </si>
  <si>
    <t>POZ P05
Zaštitu od sunca kao vanjske lamelne žaluzine, za jednostruke prozore, uklj. dodatnu zaštitu od vjetra sukladno sustavu proizvođača. izraditi, isporučiti i montirati.
Izvedba: Jednostruka zavjesa
Aluminijske lamele: sa savijenim rubovima, 80 mm, blago zakrivljene, s premazom u prahu
Donja šina: od aluminija, s premazom u prahu
Bočna vodilica: Aluminijske vodilice, s premazom u prahu
Traka i ljestvasti svitak: od vrlo čvrstog poliestra
Rukovanje: ručno, pomoću poluge i ručice s unutarnje strane.
Širina prozorskog elementa: 1,26 m
Visina prozorskog elementa: 1,4 m
Boje: sukladno Kauflandovoj paleti boja</t>
  </si>
  <si>
    <t>311.010.00105</t>
  </si>
  <si>
    <t>x..SJ6..x - Vanjske žaluzine, za pojedinačne prozore, veličine 1,26 / 1,7 m</t>
  </si>
  <si>
    <t>POZ P10
Zaštitu od sunca kao vanjske lamelne žaluzine, za jednostruke prozore, uklj. dodatnu zaštitu od vjetra sukladno sustavu proizvođača. izraditi, isporučiti i montirati.
Izvedba: Jednostruka zavjesa
Aluminijske lamele: sa savijenim rubovima, 80 mm, blago zakrivljene, s premazom u prahu
Donja šina: od aluminija, s premazom u prahu
Bočna vodilica: Aluminijske vodilice, s premazom u prahu
Traka i ljestvasti svitak: od vrlo čvrstog poliestra
Rukovanje: ručno, pomoću poluge i ručice s unutarnje strane.
Širina prozorskog elementa: 1,26 m
Visina prozorskog elementa: 1,7 m
Boje: sukladno Kauflandovoj paleti boja</t>
  </si>
  <si>
    <t>311.010.00110</t>
  </si>
  <si>
    <t>x..SJ6..x - Vanjske žaluzine, za prozorske vrpce, visine 1,7 m (SAMO KUTIJA)</t>
  </si>
  <si>
    <t>POZ P07
Zaštitu od sunca kao vanjske lamelne žaluzine, za prozorske trake, u različitim pojedinačnim dimenzijama, uklj. dodatnu zaštitu od vjetra sukladno sustavu proizvođača. izraditi, isporučiti i montirati.
Isporuka kao prethodna stavka, ali samo kutije za žaluzine radi ujednačenog izgleda fasade.
Visina prozorskih traka: 1,7 m
Boje: sukladno Kauflandovoj paleti boja</t>
  </si>
  <si>
    <t>311.010.00115</t>
  </si>
  <si>
    <t>x..SJ6..x - Vanjske žaluzine, za prozorske vrpce, visine 1,7 m</t>
  </si>
  <si>
    <t>POZ P08, POZ P15, POZ P16
Zaštitu od sunca kao vanjske lamelne žaluzine, za prozorske trake, u različitim pojedinačnim dimenzijama, uklj. dodatnu zaštitu od vjetra sukladno sustavu proizvođača. izraditi, isporučiti i montirati.
Izvedba: Jednostruka zavjesa s maksimalnom širinom od 2,52 m, raster 1,26 m, uklj. spojna polja, maksimalno 2 mehanički spojene zavjese
Aluminijske lamele: sa savijenim rubovima, 80 mm, blago zakrivljene, s premazom u prahu
Donja šina: od aluminija, s premazom u prahu
Bočna vodilica: Aluminijske vodilice, s premazom u prahu
Traka i ljestvasti svitak: od vrlo čvrstog poliestra
Rukovanje: ručno, pomoću poluge i ručice s unutarnje strane.
Visina prozorskih traka: 1,7 m
Boje: sukladno Kauflandovoj paleti boja</t>
  </si>
  <si>
    <t>311.010.00120</t>
  </si>
  <si>
    <t>- maska lamela zaštite od sunca</t>
  </si>
  <si>
    <t>Dobava, izrada i postava gornja kutne maskice za prihvat paleta lamela, od obrubljenog aluminijskog lima, minimalne debljine lima 1,5 mm, obloženo prahom u nijansi RAL 7016 - anthrazitgrau otporni na ultraljubičasto zračenje.</t>
  </si>
  <si>
    <t>31.03.2025.</t>
  </si>
  <si>
    <t>Prilog 4- Ugovorni troškovnik- TRIBE INŽENJERING d.o.o.</t>
  </si>
  <si>
    <t>313.010</t>
  </si>
  <si>
    <t>unutarnja vrata</t>
  </si>
  <si>
    <t>313.010.00100</t>
  </si>
  <si>
    <t>x..IT26..x - PVC 1-krilna vrata dimenzije [ 0,86 / 2,16 ] m</t>
  </si>
  <si>
    <t>POZ P19, POZ P20
Izrada i postava unutarnjih jednokrilnih vrata PVC izvedbe bez praga. Okvir vrata od pvc profila sa pocinčanim metalnim ojačanjem od čelika
Referentna mjera za ugradnju: [ 0,86 / 2,16 ] m
Izvedba: Zaokretna vrata, 1-krilna, sa smjerom otvaranja ulijevo ili udesno
Okvir: pvc profila sa pocinčanim metalnim ojačanjem od čelika
Krilo vrata: izvedeno od pvc sendvić panela debljine 40mm.
Izvedba rubova: savijeni
Šarke: od nehrđajućeg čelika
Garnitura: Kvaka od plastike s čeličnom jezgrom, U-oblik s okruglim okvirima kvake i brave
Brava: Ugradbena brava sa zasunom, objektne kvalitete, pripremljena za profilni cilindar
Boje: sukladno Kauflandovoj paleti boja
Zidni zaustavljač vrata od mekane plastike, okrugli, promjera ca. 40 mm, s držačem od nehrđajućeg čelika, uklj. sredstva za pričvršćivanje, isporučiti i montirati</t>
  </si>
  <si>
    <t>313.010.00105</t>
  </si>
  <si>
    <t>x..IT26..x - PVC 1-krilna vrata dimenzije [ 0,96 / 2,16 ] m</t>
  </si>
  <si>
    <t>POZ P21, POZ P22, POZ P23, POZ P24
Izrada i postava unutarnjih jednokrilnih vrata PVC izvedbe bez praga. Okvir vrata od pvc profila sa pocinčanim metalnim ojačanjem od čelika
Referentna mjera za ugradnju: [ 0,96 / 2,16 ] m
Izvedba: Zaokretna vrata, 1-krilna, sa smjerom otvaranja ulijevo ili udesno
Okvir: pvc profila sa pocinčanim metalnim ojačanjem od čelika
Krilo vrata: izvedeno od pvc sendvić panela debljine 40mm.
Izvedba rubova: savijeni
Šarke: od nehrđajućeg čelika
Garnitura: Kvaka od plastike s čeličnom jezgrom, U-oblik s okruglim okvirima kvake i brave
Brava: Ugradbena brava sa zasunom, objektne kvalitete, pripremljena za profilni cilindar
Boje: sukladno Kauflandovoj paleti boja
Zidni zaustavljač vrata od mekane plastike, okrugli, promjera ca. 40 mm, s držačem od nehrđajućeg čelika, uklj. sredstva za pričvršćivanje, isporučiti i montirati</t>
  </si>
  <si>
    <t>313.010.00110</t>
  </si>
  <si>
    <t>x..IT26..x - PVC 1-krilna vrata dimenzije [ 1,06 / 2,16 ] m</t>
  </si>
  <si>
    <t>POZ P25
Izrada i postava unutarnjih jednokrilnih vrata PVC izvedbe bez praga. Okvir vrata od pvc profila sa pocinčanim metalnim ojačanjem od čelika
Referentna mjera za ugradnju: [ 1,06 / 2,16 ] m
Izvedba: Zaokretna vrata, 1-krilna, sa smjerom otvaranja ulijevo ili udesno
Okvir: pvc profila sa pocinčanim metalnim ojačanjem od čelika
Krilo vrata: izvedeno od pvc sendvić panela debljine 40mm.
Izvedba rubova: savijeni
Šarke: od nehrđajućeg čelika
Garnitura: Kvaka od plastike s čeličnom jezgrom, U-oblik s okruglim okvirima kvake i brave
Brava: Ugradbena brava sa zasunom, objektne kvalitete, pripremljena za profilni cilindar
Boje: sukladno Kauflandovoj paleti boja
Zidni zaustavljač vrata od mekane plastike, okrugli, promjera ca. 40 mm, s držačem od nehrđajućeg čelika, uklj. sredstva za pričvršćivanje, isporučiti i montirati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</si>
</sst>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&quot;-&quot;#,##0.00\ &quot;€&quot;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  <charset val="238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DF7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2451B2"/>
      </left>
      <right style="thin">
        <color rgb="FF2451B2"/>
      </right>
      <top style="thin">
        <color rgb="FF2451B2"/>
      </top>
      <bottom style="thin">
        <color rgb="FF2451B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1" xfId="0" applyFill="1" applyBorder="1"/>
    <xf numFmtId="0" fontId="2" fillId="2" borderId="2" xfId="0" applyFont="1" applyFill="1" applyBorder="1"/>
    <xf numFmtId="10" fontId="0" fillId="3" borderId="3" xfId="0" applyNumberFormat="1" applyFill="1" applyBorder="1"/>
    <xf numFmtId="0" fontId="0" fillId="3" borderId="3" xfId="0" applyFill="1" applyBorder="1"/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right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0" fontId="0" fillId="0" borderId="0" xfId="0" applyAlignment="1">
      <alignment wrapText="1"/>
    </xf>
    <xf numFmtId="164" fontId="0" fillId="3" borderId="3" xfId="0" applyNumberFormat="1" applyFill="1" applyBorder="1" applyAlignment="1">
      <alignment wrapText="1"/>
    </xf>
    <xf numFmtId="164" fontId="0" fillId="0" borderId="0" xfId="0" applyNumberFormat="1" applyAlignment="1">
      <alignment wrapText="1"/>
    </xf>
    <xf numFmtId="4" fontId="2" fillId="2" borderId="2" xfId="0" applyNumberFormat="1" applyFont="1" applyFill="1" applyBorder="1"/>
    <xf numFmtId="164" fontId="0" fillId="3" borderId="0" xfId="0" applyNumberFormat="1" applyFill="1" applyAlignment="1">
      <alignment wrapText="1"/>
    </xf>
    <xf numFmtId="0" fontId="4" fillId="0" borderId="0" xfId="0" applyFont="1" applyAlignment="1">
      <alignment wrapText="1"/>
    </xf>
    <xf numFmtId="0" fontId="2" fillId="2" borderId="0" xfId="0" applyFont="1" applyFill="1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2"/>
  <sheetViews>
    <sheetView tabSelected="1" view="pageBreakPreview" topLeftCell="A76" zoomScale="70" zoomScaleNormal="55" zoomScaleSheetLayoutView="70" workbookViewId="0">
      <selection activeCell="H15" sqref="H15"/>
    </sheetView>
  </sheetViews>
  <sheetFormatPr defaultRowHeight="14.5" x14ac:dyDescent="0.35"/>
  <cols>
    <col min="1" max="1" width="19" customWidth="1"/>
    <col min="2" max="2" width="29" hidden="1" customWidth="1"/>
    <col min="3" max="3" width="46.81640625" customWidth="1"/>
    <col min="4" max="4" width="98.7265625" bestFit="1" customWidth="1"/>
    <col min="5" max="5" width="11" customWidth="1"/>
    <col min="6" max="6" width="16.81640625" customWidth="1"/>
    <col min="7" max="7" width="19" customWidth="1"/>
    <col min="8" max="8" width="22" customWidth="1"/>
    <col min="9" max="10" width="9" hidden="1" customWidth="1"/>
  </cols>
  <sheetData>
    <row r="1" spans="1:20" s="1" customForma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s="2" customFormat="1" ht="21" x14ac:dyDescent="0.5">
      <c r="A2" s="21" t="s">
        <v>148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0" s="1" customFormat="1" x14ac:dyDescent="0.35">
      <c r="A3" s="22" t="s">
        <v>147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1:20" s="1" customFormat="1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20" s="3" customFormat="1" ht="18.5" x14ac:dyDescent="0.45">
      <c r="A5" s="18" t="s">
        <v>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s="1" customFormat="1" x14ac:dyDescent="0.35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1:20" s="1" customFormat="1" x14ac:dyDescent="0.35">
      <c r="A7" s="19" t="s">
        <v>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spans="1:20" s="1" customFormat="1" x14ac:dyDescent="0.3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spans="1:20" s="3" customFormat="1" ht="18.5" x14ac:dyDescent="0.45">
      <c r="A9" s="18" t="s">
        <v>3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 s="1" customFormat="1" x14ac:dyDescent="0.35">
      <c r="A10" s="19" t="s">
        <v>4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20" s="3" customFormat="1" ht="18.5" x14ac:dyDescent="0.4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0" s="1" customFormat="1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 s="4" customFormat="1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spans="1:20" s="5" customFormat="1" ht="18.5" x14ac:dyDescent="0.45">
      <c r="C14" s="5" t="s">
        <v>5</v>
      </c>
      <c r="H14" s="15">
        <f>H25+H49+H68+H79</f>
        <v>90320.68</v>
      </c>
    </row>
    <row r="15" spans="1:20" x14ac:dyDescent="0.35">
      <c r="C15" t="s">
        <v>6</v>
      </c>
      <c r="D15" s="6">
        <v>0</v>
      </c>
    </row>
    <row r="16" spans="1:20" x14ac:dyDescent="0.35">
      <c r="C16" t="s">
        <v>7</v>
      </c>
    </row>
    <row r="17" spans="1:20" x14ac:dyDescent="0.35">
      <c r="C17" t="s">
        <v>8</v>
      </c>
      <c r="D17" s="6">
        <v>0</v>
      </c>
    </row>
    <row r="18" spans="1:20" x14ac:dyDescent="0.35">
      <c r="C18" t="s">
        <v>9</v>
      </c>
    </row>
    <row r="19" spans="1:20" x14ac:dyDescent="0.35">
      <c r="C19" t="s">
        <v>10</v>
      </c>
      <c r="D19" s="6">
        <v>0</v>
      </c>
      <c r="E19" s="7">
        <v>0</v>
      </c>
    </row>
    <row r="20" spans="1:20" x14ac:dyDescent="0.35">
      <c r="C20" t="s">
        <v>11</v>
      </c>
    </row>
    <row r="22" spans="1:20" s="4" customFormat="1" x14ac:dyDescent="0.3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spans="1:20" s="8" customFormat="1" ht="29" x14ac:dyDescent="0.35">
      <c r="A23" s="8" t="s">
        <v>12</v>
      </c>
      <c r="B23" s="8" t="s">
        <v>13</v>
      </c>
      <c r="C23" s="8" t="s">
        <v>14</v>
      </c>
      <c r="D23" s="8" t="s">
        <v>15</v>
      </c>
      <c r="E23" s="9" t="s">
        <v>16</v>
      </c>
      <c r="F23" s="8" t="s">
        <v>17</v>
      </c>
      <c r="G23" s="9" t="s">
        <v>18</v>
      </c>
      <c r="H23" s="9" t="s">
        <v>19</v>
      </c>
      <c r="I23" s="8" t="s">
        <v>20</v>
      </c>
    </row>
    <row r="25" spans="1:20" s="10" customFormat="1" x14ac:dyDescent="0.35">
      <c r="A25" s="10" t="s">
        <v>29</v>
      </c>
      <c r="C25" s="10" t="s">
        <v>30</v>
      </c>
      <c r="H25" s="11">
        <f>SUM(H26,H29,H31,H36,H38,H45,H46,H47)</f>
        <v>54700</v>
      </c>
    </row>
    <row r="26" spans="1:20" s="10" customFormat="1" x14ac:dyDescent="0.35">
      <c r="A26" s="10" t="s">
        <v>31</v>
      </c>
      <c r="C26" s="10" t="s">
        <v>27</v>
      </c>
      <c r="H26" s="11">
        <v>0</v>
      </c>
    </row>
    <row r="27" spans="1:20" s="12" customFormat="1" ht="409.5" x14ac:dyDescent="0.35">
      <c r="C27" s="12" t="s">
        <v>21</v>
      </c>
      <c r="D27" s="12" t="s">
        <v>22</v>
      </c>
      <c r="I27" s="12" t="s">
        <v>23</v>
      </c>
    </row>
    <row r="28" spans="1:20" s="12" customFormat="1" ht="188.5" x14ac:dyDescent="0.35">
      <c r="C28" s="12" t="s">
        <v>32</v>
      </c>
      <c r="D28" s="12" t="s">
        <v>33</v>
      </c>
      <c r="I28" s="12" t="s">
        <v>23</v>
      </c>
    </row>
    <row r="29" spans="1:20" s="10" customFormat="1" x14ac:dyDescent="0.35">
      <c r="A29" s="10" t="s">
        <v>34</v>
      </c>
      <c r="C29" s="10" t="s">
        <v>35</v>
      </c>
      <c r="H29" s="11">
        <f>SUM(H30)</f>
        <v>3750</v>
      </c>
    </row>
    <row r="30" spans="1:20" s="12" customFormat="1" ht="362.5" x14ac:dyDescent="0.35">
      <c r="A30" s="12" t="s">
        <v>36</v>
      </c>
      <c r="B30" s="12" t="s">
        <v>23</v>
      </c>
      <c r="C30" s="12" t="s">
        <v>37</v>
      </c>
      <c r="D30" s="12" t="s">
        <v>38</v>
      </c>
      <c r="E30" s="12">
        <v>1</v>
      </c>
      <c r="F30" s="12" t="s">
        <v>24</v>
      </c>
      <c r="G30" s="13">
        <v>3750</v>
      </c>
      <c r="H30" s="14">
        <f>IF(AND(ISNUMBER(E30),ISNUMBER(G30)),ROUND(PRODUCT(PRODUCT(E30, G30), 1 - J30), 2),"")</f>
        <v>3750</v>
      </c>
      <c r="I30" s="12" t="s">
        <v>23</v>
      </c>
      <c r="J30" s="12">
        <v>0</v>
      </c>
    </row>
    <row r="31" spans="1:20" s="10" customFormat="1" x14ac:dyDescent="0.35">
      <c r="A31" s="10" t="s">
        <v>39</v>
      </c>
      <c r="C31" s="10" t="s">
        <v>40</v>
      </c>
      <c r="H31" s="11">
        <f>SUM(H32,H33,H34,)</f>
        <v>9400</v>
      </c>
    </row>
    <row r="32" spans="1:20" s="12" customFormat="1" ht="333.5" x14ac:dyDescent="0.35">
      <c r="A32" s="12" t="s">
        <v>41</v>
      </c>
      <c r="B32" s="12" t="s">
        <v>23</v>
      </c>
      <c r="C32" s="12" t="s">
        <v>42</v>
      </c>
      <c r="D32" s="12" t="s">
        <v>43</v>
      </c>
      <c r="E32" s="12">
        <v>1</v>
      </c>
      <c r="F32" s="12" t="s">
        <v>24</v>
      </c>
      <c r="G32" s="13">
        <v>4100</v>
      </c>
      <c r="H32" s="14">
        <f>IF(AND(ISNUMBER(E32),ISNUMBER(G32)),ROUND(PRODUCT(PRODUCT(E32, G32), 1 - J32), 2),"")</f>
        <v>4100</v>
      </c>
      <c r="I32" s="12" t="s">
        <v>23</v>
      </c>
      <c r="J32" s="12">
        <v>0</v>
      </c>
    </row>
    <row r="33" spans="1:10" s="12" customFormat="1" ht="333.5" x14ac:dyDescent="0.35">
      <c r="A33" s="12" t="s">
        <v>44</v>
      </c>
      <c r="B33" s="12" t="s">
        <v>23</v>
      </c>
      <c r="C33" s="12" t="s">
        <v>45</v>
      </c>
      <c r="D33" s="12" t="s">
        <v>46</v>
      </c>
      <c r="E33" s="12">
        <v>1</v>
      </c>
      <c r="F33" s="12" t="s">
        <v>24</v>
      </c>
      <c r="G33" s="13">
        <v>3600</v>
      </c>
      <c r="H33" s="14">
        <f>IF(AND(ISNUMBER(E33),ISNUMBER(G33)),ROUND(PRODUCT(PRODUCT(E33, G33), 1 - J33), 2),"")</f>
        <v>3600</v>
      </c>
      <c r="I33" s="12" t="s">
        <v>23</v>
      </c>
      <c r="J33" s="12">
        <v>0</v>
      </c>
    </row>
    <row r="34" spans="1:10" s="12" customFormat="1" ht="333.5" x14ac:dyDescent="0.35">
      <c r="A34" s="12" t="s">
        <v>47</v>
      </c>
      <c r="B34" s="12" t="s">
        <v>23</v>
      </c>
      <c r="C34" s="12" t="s">
        <v>48</v>
      </c>
      <c r="D34" s="12" t="s">
        <v>49</v>
      </c>
      <c r="E34" s="12">
        <v>1</v>
      </c>
      <c r="F34" s="12" t="s">
        <v>24</v>
      </c>
      <c r="G34" s="13">
        <v>1700</v>
      </c>
      <c r="H34" s="14">
        <f>IF(AND(ISNUMBER(E34),ISNUMBER(G34)),ROUND(PRODUCT(PRODUCT(E34, G34), 1 - J34), 2),"")</f>
        <v>1700</v>
      </c>
      <c r="I34" s="12" t="s">
        <v>23</v>
      </c>
      <c r="J34" s="12">
        <v>0</v>
      </c>
    </row>
    <row r="35" spans="1:10" s="12" customFormat="1" x14ac:dyDescent="0.35">
      <c r="D35" s="17"/>
      <c r="G35" s="16"/>
      <c r="H35" s="14"/>
    </row>
    <row r="36" spans="1:10" s="10" customFormat="1" x14ac:dyDescent="0.35">
      <c r="A36" s="10" t="s">
        <v>50</v>
      </c>
      <c r="C36" s="10" t="s">
        <v>51</v>
      </c>
      <c r="H36" s="11">
        <f>SUM(H37)</f>
        <v>20800</v>
      </c>
    </row>
    <row r="37" spans="1:10" s="12" customFormat="1" ht="409.5" x14ac:dyDescent="0.35">
      <c r="A37" s="12" t="s">
        <v>52</v>
      </c>
      <c r="B37" s="12" t="s">
        <v>23</v>
      </c>
      <c r="C37" s="12" t="s">
        <v>53</v>
      </c>
      <c r="D37" s="12" t="s">
        <v>54</v>
      </c>
      <c r="E37" s="12">
        <v>52</v>
      </c>
      <c r="F37" s="12" t="s">
        <v>28</v>
      </c>
      <c r="G37" s="13">
        <v>400</v>
      </c>
      <c r="H37" s="14">
        <f>IF(AND(ISNUMBER(E37),ISNUMBER(G37)),ROUND(PRODUCT(PRODUCT(E37, G37), 1 - J37), 2),"")</f>
        <v>20800</v>
      </c>
      <c r="I37" s="12" t="s">
        <v>23</v>
      </c>
      <c r="J37" s="12">
        <v>0</v>
      </c>
    </row>
    <row r="38" spans="1:10" s="10" customFormat="1" x14ac:dyDescent="0.35">
      <c r="A38" s="10" t="s">
        <v>55</v>
      </c>
      <c r="C38" s="10" t="s">
        <v>56</v>
      </c>
      <c r="H38" s="11">
        <f>SUM(H39,H40,H41,H42,H43,H44)</f>
        <v>16700</v>
      </c>
    </row>
    <row r="39" spans="1:10" s="12" customFormat="1" ht="362.5" x14ac:dyDescent="0.35">
      <c r="A39" s="12" t="s">
        <v>57</v>
      </c>
      <c r="B39" s="12" t="s">
        <v>23</v>
      </c>
      <c r="C39" s="12" t="s">
        <v>58</v>
      </c>
      <c r="D39" s="12" t="s">
        <v>59</v>
      </c>
      <c r="E39" s="12">
        <v>1</v>
      </c>
      <c r="F39" s="12" t="s">
        <v>24</v>
      </c>
      <c r="G39" s="13">
        <v>3350</v>
      </c>
      <c r="H39" s="14">
        <f t="shared" ref="H39:H44" si="0">IF(AND(ISNUMBER(E39),ISNUMBER(G39)),ROUND(PRODUCT(PRODUCT(E39, G39), 1 - J39), 2),"")</f>
        <v>3350</v>
      </c>
      <c r="I39" s="12" t="s">
        <v>23</v>
      </c>
      <c r="J39" s="12">
        <v>0</v>
      </c>
    </row>
    <row r="40" spans="1:10" s="12" customFormat="1" ht="290" x14ac:dyDescent="0.35">
      <c r="A40" s="12" t="s">
        <v>60</v>
      </c>
      <c r="B40" s="12" t="s">
        <v>23</v>
      </c>
      <c r="C40" s="12" t="s">
        <v>61</v>
      </c>
      <c r="D40" s="12" t="s">
        <v>62</v>
      </c>
      <c r="E40" s="12">
        <v>25</v>
      </c>
      <c r="F40" s="12" t="s">
        <v>28</v>
      </c>
      <c r="G40" s="13">
        <v>400</v>
      </c>
      <c r="H40" s="14">
        <f t="shared" si="0"/>
        <v>10000</v>
      </c>
      <c r="I40" s="12" t="s">
        <v>23</v>
      </c>
      <c r="J40" s="12">
        <v>0</v>
      </c>
    </row>
    <row r="41" spans="1:10" s="12" customFormat="1" ht="304.5" x14ac:dyDescent="0.35">
      <c r="A41" s="12" t="s">
        <v>63</v>
      </c>
      <c r="B41" s="12" t="s">
        <v>23</v>
      </c>
      <c r="C41" s="12" t="s">
        <v>64</v>
      </c>
      <c r="D41" s="12" t="s">
        <v>65</v>
      </c>
      <c r="E41" s="12">
        <v>1</v>
      </c>
      <c r="F41" s="12" t="s">
        <v>24</v>
      </c>
      <c r="G41" s="13">
        <v>3350</v>
      </c>
      <c r="H41" s="14">
        <f t="shared" si="0"/>
        <v>3350</v>
      </c>
      <c r="I41" s="12" t="s">
        <v>23</v>
      </c>
      <c r="J41" s="12">
        <v>0</v>
      </c>
    </row>
    <row r="42" spans="1:10" s="12" customFormat="1" ht="58" x14ac:dyDescent="0.35">
      <c r="A42" s="12" t="s">
        <v>66</v>
      </c>
      <c r="B42" s="12" t="s">
        <v>23</v>
      </c>
      <c r="C42" s="12" t="s">
        <v>67</v>
      </c>
      <c r="D42" s="12" t="s">
        <v>68</v>
      </c>
      <c r="E42" s="12">
        <v>5</v>
      </c>
      <c r="F42" s="12" t="s">
        <v>25</v>
      </c>
      <c r="G42" s="13"/>
      <c r="H42" s="14" t="str">
        <f t="shared" si="0"/>
        <v/>
      </c>
      <c r="I42" s="12" t="s">
        <v>23</v>
      </c>
      <c r="J42" s="12">
        <v>0</v>
      </c>
    </row>
    <row r="43" spans="1:10" s="12" customFormat="1" ht="87" x14ac:dyDescent="0.35">
      <c r="A43" s="12" t="s">
        <v>69</v>
      </c>
      <c r="B43" s="12" t="s">
        <v>23</v>
      </c>
      <c r="C43" s="12" t="s">
        <v>70</v>
      </c>
      <c r="D43" s="12" t="s">
        <v>71</v>
      </c>
      <c r="E43" s="12">
        <v>2</v>
      </c>
      <c r="F43" s="12" t="s">
        <v>24</v>
      </c>
      <c r="G43" s="13"/>
      <c r="H43" s="14" t="str">
        <f t="shared" si="0"/>
        <v/>
      </c>
      <c r="I43" s="12" t="s">
        <v>23</v>
      </c>
      <c r="J43" s="12">
        <v>0</v>
      </c>
    </row>
    <row r="44" spans="1:10" s="12" customFormat="1" ht="43.5" x14ac:dyDescent="0.35">
      <c r="A44" s="12" t="s">
        <v>72</v>
      </c>
      <c r="B44" s="12" t="s">
        <v>23</v>
      </c>
      <c r="C44" s="12" t="s">
        <v>73</v>
      </c>
      <c r="D44" s="12" t="s">
        <v>74</v>
      </c>
      <c r="E44" s="12">
        <v>2.5</v>
      </c>
      <c r="F44" s="12" t="s">
        <v>25</v>
      </c>
      <c r="G44" s="13"/>
      <c r="H44" s="14" t="str">
        <f t="shared" si="0"/>
        <v/>
      </c>
      <c r="I44" s="12" t="s">
        <v>23</v>
      </c>
      <c r="J44" s="12">
        <v>0</v>
      </c>
    </row>
    <row r="45" spans="1:10" s="10" customFormat="1" x14ac:dyDescent="0.35">
      <c r="A45" s="10" t="s">
        <v>75</v>
      </c>
      <c r="C45" s="10" t="s">
        <v>76</v>
      </c>
      <c r="H45" s="11">
        <v>0</v>
      </c>
    </row>
    <row r="46" spans="1:10" s="10" customFormat="1" x14ac:dyDescent="0.35">
      <c r="A46" s="10" t="s">
        <v>77</v>
      </c>
      <c r="C46" s="10" t="s">
        <v>78</v>
      </c>
      <c r="H46" s="11">
        <v>0</v>
      </c>
    </row>
    <row r="47" spans="1:10" s="10" customFormat="1" x14ac:dyDescent="0.35">
      <c r="A47" s="10" t="s">
        <v>79</v>
      </c>
      <c r="C47" s="10" t="s">
        <v>26</v>
      </c>
      <c r="H47" s="11">
        <f>SUM(H48)</f>
        <v>4050</v>
      </c>
    </row>
    <row r="48" spans="1:10" s="12" customFormat="1" ht="116" x14ac:dyDescent="0.35">
      <c r="A48" s="12" t="s">
        <v>80</v>
      </c>
      <c r="B48" s="12" t="s">
        <v>23</v>
      </c>
      <c r="C48" s="12" t="s">
        <v>81</v>
      </c>
      <c r="D48" s="12" t="s">
        <v>82</v>
      </c>
      <c r="E48" s="12">
        <v>1</v>
      </c>
      <c r="F48" s="12" t="s">
        <v>24</v>
      </c>
      <c r="G48" s="13">
        <v>4050</v>
      </c>
      <c r="H48" s="14">
        <f>IF(AND(ISNUMBER(E48),ISNUMBER(G48)),ROUND(PRODUCT(PRODUCT(E48, G48), 1 - J48), 2),"")</f>
        <v>4050</v>
      </c>
      <c r="I48" s="12" t="s">
        <v>23</v>
      </c>
      <c r="J48" s="12">
        <v>0</v>
      </c>
    </row>
    <row r="49" spans="1:10" s="10" customFormat="1" x14ac:dyDescent="0.35">
      <c r="A49" s="10" t="s">
        <v>83</v>
      </c>
      <c r="C49" s="10" t="s">
        <v>84</v>
      </c>
      <c r="H49" s="11">
        <f>SUM(H50,H53,H66,H67)</f>
        <v>23800.68</v>
      </c>
    </row>
    <row r="50" spans="1:10" s="10" customFormat="1" x14ac:dyDescent="0.35">
      <c r="A50" s="10" t="s">
        <v>85</v>
      </c>
      <c r="C50" s="10" t="s">
        <v>27</v>
      </c>
      <c r="H50" s="11">
        <v>0</v>
      </c>
    </row>
    <row r="51" spans="1:10" s="12" customFormat="1" ht="409.5" x14ac:dyDescent="0.35">
      <c r="C51" s="12" t="s">
        <v>21</v>
      </c>
      <c r="D51" s="12" t="s">
        <v>22</v>
      </c>
      <c r="I51" s="12" t="s">
        <v>23</v>
      </c>
    </row>
    <row r="52" spans="1:10" s="12" customFormat="1" ht="145" x14ac:dyDescent="0.35">
      <c r="C52" s="12" t="s">
        <v>86</v>
      </c>
      <c r="D52" s="12" t="s">
        <v>87</v>
      </c>
      <c r="I52" s="12" t="s">
        <v>23</v>
      </c>
    </row>
    <row r="53" spans="1:10" s="10" customFormat="1" x14ac:dyDescent="0.35">
      <c r="A53" s="10" t="s">
        <v>88</v>
      </c>
      <c r="C53" s="10" t="s">
        <v>89</v>
      </c>
      <c r="H53" s="11">
        <f>SUM(H54,H55,H56,H57,H58,H59,H60,H61,H62,H63,H64,H65)</f>
        <v>23800.68</v>
      </c>
    </row>
    <row r="54" spans="1:10" s="12" customFormat="1" ht="275.5" x14ac:dyDescent="0.35">
      <c r="A54" s="12" t="s">
        <v>90</v>
      </c>
      <c r="B54" s="12" t="s">
        <v>23</v>
      </c>
      <c r="C54" s="12" t="s">
        <v>91</v>
      </c>
      <c r="D54" s="12" t="s">
        <v>92</v>
      </c>
      <c r="E54" s="12">
        <v>1</v>
      </c>
      <c r="F54" s="12" t="s">
        <v>24</v>
      </c>
      <c r="G54" s="13">
        <v>790</v>
      </c>
      <c r="H54" s="14">
        <f t="shared" ref="H54:H65" si="1">IF(AND(ISNUMBER(E54),ISNUMBER(G54)),ROUND(PRODUCT(PRODUCT(E54, G54), 1 - J54), 2),"")</f>
        <v>790</v>
      </c>
      <c r="I54" s="12" t="s">
        <v>23</v>
      </c>
      <c r="J54" s="12">
        <v>0</v>
      </c>
    </row>
    <row r="55" spans="1:10" s="12" customFormat="1" ht="275.5" x14ac:dyDescent="0.35">
      <c r="A55" s="12" t="s">
        <v>93</v>
      </c>
      <c r="B55" s="12" t="s">
        <v>23</v>
      </c>
      <c r="C55" s="12" t="s">
        <v>94</v>
      </c>
      <c r="D55" s="12" t="s">
        <v>95</v>
      </c>
      <c r="E55" s="12">
        <v>1</v>
      </c>
      <c r="F55" s="12" t="s">
        <v>24</v>
      </c>
      <c r="G55" s="13">
        <v>805</v>
      </c>
      <c r="H55" s="14">
        <f t="shared" si="1"/>
        <v>805</v>
      </c>
      <c r="I55" s="12" t="s">
        <v>23</v>
      </c>
      <c r="J55" s="12">
        <v>0</v>
      </c>
    </row>
    <row r="56" spans="1:10" s="12" customFormat="1" ht="275.5" x14ac:dyDescent="0.35">
      <c r="A56" s="12" t="s">
        <v>96</v>
      </c>
      <c r="B56" s="12" t="s">
        <v>23</v>
      </c>
      <c r="C56" s="12" t="s">
        <v>97</v>
      </c>
      <c r="D56" s="12" t="s">
        <v>98</v>
      </c>
      <c r="E56" s="12">
        <v>2.5099999999999998</v>
      </c>
      <c r="F56" s="12" t="s">
        <v>25</v>
      </c>
      <c r="G56" s="13">
        <v>606</v>
      </c>
      <c r="H56" s="14">
        <f t="shared" si="1"/>
        <v>1521.06</v>
      </c>
      <c r="I56" s="12" t="s">
        <v>23</v>
      </c>
      <c r="J56" s="12">
        <v>0</v>
      </c>
    </row>
    <row r="57" spans="1:10" s="12" customFormat="1" ht="275.5" x14ac:dyDescent="0.35">
      <c r="A57" s="12" t="s">
        <v>99</v>
      </c>
      <c r="B57" s="12" t="s">
        <v>23</v>
      </c>
      <c r="C57" s="12" t="s">
        <v>97</v>
      </c>
      <c r="D57" s="12" t="s">
        <v>100</v>
      </c>
      <c r="E57" s="12">
        <v>2.5099999999999998</v>
      </c>
      <c r="F57" s="12" t="s">
        <v>25</v>
      </c>
      <c r="G57" s="13">
        <v>606</v>
      </c>
      <c r="H57" s="14">
        <f t="shared" si="1"/>
        <v>1521.06</v>
      </c>
      <c r="I57" s="12" t="s">
        <v>23</v>
      </c>
      <c r="J57" s="12">
        <v>0</v>
      </c>
    </row>
    <row r="58" spans="1:10" s="12" customFormat="1" ht="275.5" x14ac:dyDescent="0.35">
      <c r="A58" s="12" t="s">
        <v>101</v>
      </c>
      <c r="B58" s="12" t="s">
        <v>23</v>
      </c>
      <c r="C58" s="12" t="s">
        <v>97</v>
      </c>
      <c r="D58" s="12" t="s">
        <v>102</v>
      </c>
      <c r="E58" s="12">
        <v>2.5099999999999998</v>
      </c>
      <c r="F58" s="12" t="s">
        <v>25</v>
      </c>
      <c r="G58" s="13">
        <v>609</v>
      </c>
      <c r="H58" s="14">
        <f t="shared" si="1"/>
        <v>1528.59</v>
      </c>
      <c r="I58" s="12" t="s">
        <v>23</v>
      </c>
      <c r="J58" s="12">
        <v>0</v>
      </c>
    </row>
    <row r="59" spans="1:10" s="12" customFormat="1" ht="261" x14ac:dyDescent="0.35">
      <c r="A59" s="12" t="s">
        <v>103</v>
      </c>
      <c r="B59" s="12" t="s">
        <v>23</v>
      </c>
      <c r="C59" s="12" t="s">
        <v>104</v>
      </c>
      <c r="D59" s="12" t="s">
        <v>105</v>
      </c>
      <c r="E59" s="12">
        <v>6.26</v>
      </c>
      <c r="F59" s="12" t="s">
        <v>25</v>
      </c>
      <c r="G59" s="13">
        <v>609</v>
      </c>
      <c r="H59" s="14">
        <f t="shared" si="1"/>
        <v>3812.34</v>
      </c>
      <c r="I59" s="12" t="s">
        <v>23</v>
      </c>
      <c r="J59" s="12">
        <v>0</v>
      </c>
    </row>
    <row r="60" spans="1:10" s="12" customFormat="1" ht="290" x14ac:dyDescent="0.35">
      <c r="A60" s="12" t="s">
        <v>106</v>
      </c>
      <c r="B60" s="12" t="s">
        <v>23</v>
      </c>
      <c r="C60" s="12" t="s">
        <v>107</v>
      </c>
      <c r="D60" s="12" t="s">
        <v>108</v>
      </c>
      <c r="E60" s="12">
        <v>5</v>
      </c>
      <c r="F60" s="12" t="s">
        <v>24</v>
      </c>
      <c r="G60" s="13">
        <v>580</v>
      </c>
      <c r="H60" s="14">
        <f t="shared" si="1"/>
        <v>2900</v>
      </c>
      <c r="I60" s="12" t="s">
        <v>23</v>
      </c>
      <c r="J60" s="12">
        <v>0</v>
      </c>
    </row>
    <row r="61" spans="1:10" s="12" customFormat="1" ht="275.5" x14ac:dyDescent="0.35">
      <c r="A61" s="12" t="s">
        <v>109</v>
      </c>
      <c r="B61" s="12" t="s">
        <v>23</v>
      </c>
      <c r="C61" s="12" t="s">
        <v>110</v>
      </c>
      <c r="D61" s="12" t="s">
        <v>111</v>
      </c>
      <c r="E61" s="12">
        <v>2.0099999999999998</v>
      </c>
      <c r="F61" s="12" t="s">
        <v>25</v>
      </c>
      <c r="G61" s="13">
        <v>720</v>
      </c>
      <c r="H61" s="14">
        <f t="shared" si="1"/>
        <v>1447.2</v>
      </c>
      <c r="I61" s="12" t="s">
        <v>23</v>
      </c>
      <c r="J61" s="12">
        <v>0</v>
      </c>
    </row>
    <row r="62" spans="1:10" s="12" customFormat="1" ht="275.5" x14ac:dyDescent="0.35">
      <c r="A62" s="12" t="s">
        <v>112</v>
      </c>
      <c r="B62" s="12" t="s">
        <v>23</v>
      </c>
      <c r="C62" s="12" t="s">
        <v>110</v>
      </c>
      <c r="D62" s="12" t="s">
        <v>113</v>
      </c>
      <c r="E62" s="12">
        <v>2.0099999999999998</v>
      </c>
      <c r="F62" s="12" t="s">
        <v>25</v>
      </c>
      <c r="G62" s="13">
        <v>685</v>
      </c>
      <c r="H62" s="14">
        <f t="shared" si="1"/>
        <v>1376.85</v>
      </c>
      <c r="I62" s="12" t="s">
        <v>23</v>
      </c>
      <c r="J62" s="12">
        <v>0</v>
      </c>
    </row>
    <row r="63" spans="1:10" s="12" customFormat="1" ht="275.5" x14ac:dyDescent="0.35">
      <c r="A63" s="12" t="s">
        <v>114</v>
      </c>
      <c r="B63" s="12" t="s">
        <v>23</v>
      </c>
      <c r="C63" s="12" t="s">
        <v>115</v>
      </c>
      <c r="D63" s="12" t="s">
        <v>116</v>
      </c>
      <c r="E63" s="12">
        <v>5.01</v>
      </c>
      <c r="F63" s="12" t="s">
        <v>25</v>
      </c>
      <c r="G63" s="13">
        <v>668</v>
      </c>
      <c r="H63" s="14">
        <f t="shared" si="1"/>
        <v>3346.68</v>
      </c>
      <c r="I63" s="12" t="s">
        <v>23</v>
      </c>
      <c r="J63" s="12">
        <v>0</v>
      </c>
    </row>
    <row r="64" spans="1:10" s="12" customFormat="1" ht="319" x14ac:dyDescent="0.35">
      <c r="A64" s="12" t="s">
        <v>117</v>
      </c>
      <c r="B64" s="12" t="s">
        <v>23</v>
      </c>
      <c r="C64" s="12" t="s">
        <v>115</v>
      </c>
      <c r="D64" s="12" t="s">
        <v>118</v>
      </c>
      <c r="E64" s="12">
        <v>3.01</v>
      </c>
      <c r="F64" s="12" t="s">
        <v>25</v>
      </c>
      <c r="G64" s="13">
        <v>1190</v>
      </c>
      <c r="H64" s="14">
        <f t="shared" si="1"/>
        <v>3581.9</v>
      </c>
      <c r="I64" s="12" t="s">
        <v>23</v>
      </c>
      <c r="J64" s="12">
        <v>0</v>
      </c>
    </row>
    <row r="65" spans="1:10" s="12" customFormat="1" ht="275.5" x14ac:dyDescent="0.35">
      <c r="A65" s="12" t="s">
        <v>119</v>
      </c>
      <c r="B65" s="12" t="s">
        <v>23</v>
      </c>
      <c r="C65" s="12" t="s">
        <v>120</v>
      </c>
      <c r="D65" s="12" t="s">
        <v>121</v>
      </c>
      <c r="E65" s="12">
        <v>1</v>
      </c>
      <c r="F65" s="12" t="s">
        <v>24</v>
      </c>
      <c r="G65" s="13">
        <v>1170</v>
      </c>
      <c r="H65" s="14">
        <f t="shared" si="1"/>
        <v>1170</v>
      </c>
      <c r="I65" s="12" t="s">
        <v>23</v>
      </c>
      <c r="J65" s="12">
        <v>0</v>
      </c>
    </row>
    <row r="66" spans="1:10" s="10" customFormat="1" x14ac:dyDescent="0.35">
      <c r="A66" s="10" t="s">
        <v>122</v>
      </c>
      <c r="C66" s="10" t="s">
        <v>123</v>
      </c>
      <c r="H66" s="11">
        <v>0</v>
      </c>
    </row>
    <row r="67" spans="1:10" s="10" customFormat="1" x14ac:dyDescent="0.35">
      <c r="A67" s="10" t="s">
        <v>124</v>
      </c>
      <c r="C67" s="10" t="s">
        <v>26</v>
      </c>
      <c r="H67" s="11">
        <v>0</v>
      </c>
    </row>
    <row r="68" spans="1:10" s="10" customFormat="1" x14ac:dyDescent="0.35">
      <c r="A68" s="10" t="s">
        <v>125</v>
      </c>
      <c r="C68" s="10" t="s">
        <v>126</v>
      </c>
      <c r="H68" s="11">
        <f>SUM(H69,H72,)</f>
        <v>6500</v>
      </c>
    </row>
    <row r="69" spans="1:10" s="10" customFormat="1" x14ac:dyDescent="0.35">
      <c r="A69" s="10" t="s">
        <v>127</v>
      </c>
      <c r="C69" s="10" t="s">
        <v>27</v>
      </c>
      <c r="H69" s="11">
        <v>0</v>
      </c>
    </row>
    <row r="70" spans="1:10" s="12" customFormat="1" ht="409.5" x14ac:dyDescent="0.35">
      <c r="C70" s="12" t="s">
        <v>21</v>
      </c>
      <c r="D70" s="12" t="s">
        <v>22</v>
      </c>
      <c r="I70" s="12" t="s">
        <v>23</v>
      </c>
    </row>
    <row r="71" spans="1:10" s="12" customFormat="1" ht="87" x14ac:dyDescent="0.35">
      <c r="C71" s="12" t="s">
        <v>128</v>
      </c>
      <c r="D71" s="12" t="s">
        <v>129</v>
      </c>
      <c r="I71" s="12" t="s">
        <v>23</v>
      </c>
    </row>
    <row r="72" spans="1:10" s="10" customFormat="1" x14ac:dyDescent="0.35">
      <c r="A72" s="10" t="s">
        <v>130</v>
      </c>
      <c r="C72" s="10" t="s">
        <v>131</v>
      </c>
      <c r="H72" s="11">
        <f>SUM(H73,H74,H75,H76,H77)</f>
        <v>6500</v>
      </c>
    </row>
    <row r="73" spans="1:10" s="12" customFormat="1" ht="188.5" x14ac:dyDescent="0.35">
      <c r="A73" s="12" t="s">
        <v>132</v>
      </c>
      <c r="B73" s="12" t="s">
        <v>23</v>
      </c>
      <c r="C73" s="12" t="s">
        <v>133</v>
      </c>
      <c r="D73" s="12" t="s">
        <v>134</v>
      </c>
      <c r="E73" s="12">
        <v>1</v>
      </c>
      <c r="F73" s="12" t="s">
        <v>24</v>
      </c>
      <c r="G73" s="13">
        <v>345</v>
      </c>
      <c r="H73" s="14">
        <f>IF(AND(ISNUMBER(E73),ISNUMBER(G73)),ROUND(PRODUCT(PRODUCT(E73, G73), 1 - J73), 2),"")</f>
        <v>345</v>
      </c>
      <c r="I73" s="12" t="s">
        <v>23</v>
      </c>
      <c r="J73" s="12">
        <v>0</v>
      </c>
    </row>
    <row r="74" spans="1:10" s="12" customFormat="1" ht="188.5" x14ac:dyDescent="0.35">
      <c r="A74" s="12" t="s">
        <v>135</v>
      </c>
      <c r="B74" s="12" t="s">
        <v>23</v>
      </c>
      <c r="C74" s="12" t="s">
        <v>136</v>
      </c>
      <c r="D74" s="12" t="s">
        <v>137</v>
      </c>
      <c r="E74" s="12">
        <v>1</v>
      </c>
      <c r="F74" s="12" t="s">
        <v>24</v>
      </c>
      <c r="G74" s="13">
        <v>435</v>
      </c>
      <c r="H74" s="14">
        <f>IF(AND(ISNUMBER(E74),ISNUMBER(G74)),ROUND(PRODUCT(PRODUCT(E74, G74), 1 - J74), 2),"")</f>
        <v>435</v>
      </c>
      <c r="I74" s="12" t="s">
        <v>23</v>
      </c>
      <c r="J74" s="12">
        <v>0</v>
      </c>
    </row>
    <row r="75" spans="1:10" s="12" customFormat="1" ht="116" x14ac:dyDescent="0.35">
      <c r="A75" s="12" t="s">
        <v>138</v>
      </c>
      <c r="B75" s="12" t="s">
        <v>23</v>
      </c>
      <c r="C75" s="12" t="s">
        <v>139</v>
      </c>
      <c r="D75" s="12" t="s">
        <v>140</v>
      </c>
      <c r="E75" s="12">
        <v>2.5</v>
      </c>
      <c r="F75" s="12" t="s">
        <v>25</v>
      </c>
      <c r="G75" s="13">
        <v>290</v>
      </c>
      <c r="H75" s="14">
        <f>IF(AND(ISNUMBER(E75),ISNUMBER(G75)),ROUND(PRODUCT(PRODUCT(E75, G75), 1 - J75), 2),"")</f>
        <v>725</v>
      </c>
      <c r="I75" s="12" t="s">
        <v>23</v>
      </c>
      <c r="J75" s="12">
        <v>0</v>
      </c>
    </row>
    <row r="76" spans="1:10" s="12" customFormat="1" ht="188.5" x14ac:dyDescent="0.35">
      <c r="A76" s="12" t="s">
        <v>141</v>
      </c>
      <c r="B76" s="12" t="s">
        <v>23</v>
      </c>
      <c r="C76" s="12" t="s">
        <v>142</v>
      </c>
      <c r="D76" s="12" t="s">
        <v>143</v>
      </c>
      <c r="E76" s="12">
        <v>11.25</v>
      </c>
      <c r="F76" s="12" t="s">
        <v>25</v>
      </c>
      <c r="G76" s="13">
        <v>290</v>
      </c>
      <c r="H76" s="14">
        <f>IF(AND(ISNUMBER(E76),ISNUMBER(G76)),ROUND(PRODUCT(PRODUCT(E76, G76), 1 - J76), 2),"")</f>
        <v>3262.5</v>
      </c>
      <c r="I76" s="12" t="s">
        <v>23</v>
      </c>
      <c r="J76" s="12">
        <v>0</v>
      </c>
    </row>
    <row r="77" spans="1:10" s="12" customFormat="1" ht="43.5" x14ac:dyDescent="0.35">
      <c r="A77" s="12" t="s">
        <v>144</v>
      </c>
      <c r="B77" s="12" t="s">
        <v>23</v>
      </c>
      <c r="C77" s="12" t="s">
        <v>145</v>
      </c>
      <c r="D77" s="12" t="s">
        <v>146</v>
      </c>
      <c r="E77" s="12">
        <v>16.5</v>
      </c>
      <c r="F77" s="12" t="s">
        <v>25</v>
      </c>
      <c r="G77" s="13">
        <v>105</v>
      </c>
      <c r="H77" s="14">
        <f>IF(AND(ISNUMBER(E77),ISNUMBER(G77)),ROUND(PRODUCT(PRODUCT(E77, G77), 1 - J77), 2),"")</f>
        <v>1732.5</v>
      </c>
      <c r="I77" s="12" t="s">
        <v>23</v>
      </c>
      <c r="J77" s="12">
        <v>0</v>
      </c>
    </row>
    <row r="79" spans="1:10" x14ac:dyDescent="0.35">
      <c r="A79" s="10" t="s">
        <v>149</v>
      </c>
      <c r="B79" s="10"/>
      <c r="C79" s="10" t="s">
        <v>150</v>
      </c>
      <c r="D79" s="10"/>
      <c r="E79" s="10"/>
      <c r="F79" s="10"/>
      <c r="G79" s="10"/>
      <c r="H79" s="11">
        <f>SUM(H80,H81,H82,H83,H84,H85,H86)</f>
        <v>5320</v>
      </c>
    </row>
    <row r="80" spans="1:10" ht="217.5" x14ac:dyDescent="0.35">
      <c r="A80" s="12" t="s">
        <v>151</v>
      </c>
      <c r="B80" s="12" t="s">
        <v>23</v>
      </c>
      <c r="C80" s="12" t="s">
        <v>152</v>
      </c>
      <c r="D80" s="12" t="s">
        <v>153</v>
      </c>
      <c r="E80" s="12">
        <v>2</v>
      </c>
      <c r="F80" s="12" t="s">
        <v>24</v>
      </c>
      <c r="G80" s="13">
        <v>690</v>
      </c>
      <c r="H80" s="14">
        <f t="shared" ref="H80:H82" si="2">IF(AND(ISNUMBER(E80),ISNUMBER(G80)),ROUND(PRODUCT(PRODUCT(E80, G80), 1 - L80), 2),"")</f>
        <v>1380</v>
      </c>
    </row>
    <row r="81" spans="1:8" ht="217.5" x14ac:dyDescent="0.35">
      <c r="A81" s="12" t="s">
        <v>154</v>
      </c>
      <c r="B81" s="12" t="s">
        <v>23</v>
      </c>
      <c r="C81" s="12" t="s">
        <v>155</v>
      </c>
      <c r="D81" s="12" t="s">
        <v>156</v>
      </c>
      <c r="E81" s="12">
        <v>4</v>
      </c>
      <c r="F81" s="12" t="s">
        <v>24</v>
      </c>
      <c r="G81" s="13">
        <v>770</v>
      </c>
      <c r="H81" s="14">
        <f t="shared" si="2"/>
        <v>3080</v>
      </c>
    </row>
    <row r="82" spans="1:8" ht="217.5" x14ac:dyDescent="0.35">
      <c r="A82" s="12" t="s">
        <v>157</v>
      </c>
      <c r="B82" s="12" t="s">
        <v>23</v>
      </c>
      <c r="C82" s="12" t="s">
        <v>158</v>
      </c>
      <c r="D82" s="12" t="s">
        <v>159</v>
      </c>
      <c r="E82" s="12">
        <v>1</v>
      </c>
      <c r="F82" s="12" t="s">
        <v>24</v>
      </c>
      <c r="G82" s="13">
        <v>860</v>
      </c>
      <c r="H82" s="14">
        <f t="shared" si="2"/>
        <v>860</v>
      </c>
    </row>
  </sheetData>
  <autoFilter ref="A23:J77" xr:uid="{00000000-0001-0000-0000-000000000000}"/>
  <mergeCells count="14">
    <mergeCell ref="A1:T1"/>
    <mergeCell ref="A2:T2"/>
    <mergeCell ref="A3:T3"/>
    <mergeCell ref="A4:T4"/>
    <mergeCell ref="A5:T5"/>
    <mergeCell ref="A11:T11"/>
    <mergeCell ref="A12:T12"/>
    <mergeCell ref="A13:T13"/>
    <mergeCell ref="A22:T22"/>
    <mergeCell ref="A6:T6"/>
    <mergeCell ref="A7:T7"/>
    <mergeCell ref="A8:T8"/>
    <mergeCell ref="A9:T9"/>
    <mergeCell ref="A10:T10"/>
  </mergeCells>
  <pageMargins left="0.7" right="0.7" top="0.75" bottom="0.75" header="0.3" footer="0.3"/>
  <pageSetup scale="36" orientation="portrait" r:id="rId1"/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A51507092ABC42A1F78E63565BAFD7" ma:contentTypeVersion="13" ma:contentTypeDescription="Create a new document." ma:contentTypeScope="" ma:versionID="734188f9c1b952b39dcdf50d050f4aa5">
  <xsd:schema xmlns:xsd="http://www.w3.org/2001/XMLSchema" xmlns:xs="http://www.w3.org/2001/XMLSchema" xmlns:p="http://schemas.microsoft.com/office/2006/metadata/properties" xmlns:ns2="f915974b-6f1e-4350-9f7e-2d11fb1812c4" xmlns:ns3="cb3740f1-362a-4884-a648-7855dba250b9" targetNamespace="http://schemas.microsoft.com/office/2006/metadata/properties" ma:root="true" ma:fieldsID="775bb8f63432d086516b657537b92153" ns2:_="" ns3:_="">
    <xsd:import namespace="f915974b-6f1e-4350-9f7e-2d11fb1812c4"/>
    <xsd:import namespace="cb3740f1-362a-4884-a648-7855dba250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15974b-6f1e-4350-9f7e-2d11fb1812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751c936-5afc-4ad0-aeab-ca19b149e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740f1-362a-4884-a648-7855dba250b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9648af3-417c-4ecd-a1bc-5e03dfaadbd5}" ma:internalName="TaxCatchAll" ma:showField="CatchAllData" ma:web="cb3740f1-362a-4884-a648-7855dba250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15974b-6f1e-4350-9f7e-2d11fb1812c4">
      <Terms xmlns="http://schemas.microsoft.com/office/infopath/2007/PartnerControls"/>
    </lcf76f155ced4ddcb4097134ff3c332f>
    <TaxCatchAll xmlns="cb3740f1-362a-4884-a648-7855dba250b9" xsi:nil="true"/>
  </documentManagement>
</p:properties>
</file>

<file path=customXml/itemProps1.xml><?xml version="1.0" encoding="utf-8"?>
<ds:datastoreItem xmlns:ds="http://schemas.openxmlformats.org/officeDocument/2006/customXml" ds:itemID="{C382BE64-29B4-45A7-8FC3-2010D38C83A6}"/>
</file>

<file path=customXml/itemProps2.xml><?xml version="1.0" encoding="utf-8"?>
<ds:datastoreItem xmlns:ds="http://schemas.openxmlformats.org/officeDocument/2006/customXml" ds:itemID="{713C39BE-D748-4E63-BE05-009A71E035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84CDAF-748D-4DB5-AB4E-CC9EFEEEDB44}">
  <ds:schemaRefs>
    <ds:schemaRef ds:uri="http://schemas.microsoft.com/office/2006/metadata/properties"/>
    <ds:schemaRef ds:uri="http://schemas.microsoft.com/office/infopath/2007/PartnerControls"/>
    <ds:schemaRef ds:uri="f915974b-6f1e-4350-9f7e-2d11fb1812c4"/>
    <ds:schemaRef ds:uri="cb3740f1-362a-4884-a648-7855dba250b9"/>
  </ds:schemaRefs>
</ds:datastoreItem>
</file>

<file path=docMetadata/LabelInfo.xml><?xml version="1.0" encoding="utf-8"?>
<clbl:labelList xmlns:clbl="http://schemas.microsoft.com/office/2020/mipLabelMetadata">
  <clbl:label id="{60b37cb2-a399-4c31-a85a-411fc8b623d3}" enabled="1" method="Standard" siteId="{d04f4717-5a6e-4b98-b3f9-6918e0385f4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2025-03-21T05:48:34Z</dcterms:created>
  <dcterms:modified xsi:type="dcterms:W3CDTF">2025-06-30T04:52:54Z</dcterms:modified>
  <cp:category/>
  <dc:language>hr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0x01010053A51507092ABC42A1F78E63565BAFD7</vt:lpwstr>
  </property>
  <property fmtid="{D5CDD505-2E9C-101B-9397-08002B2CF9AE}" pid="3" name="Order">
    <vt:r8>1168500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</Properties>
</file>
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filterPrivacy="1"/>
  <xr:revisionPtr revIDLastSave="9" documentId="8_{0B434602-BFD8-4381-BE24-E57F49FB0033}" xr6:coauthVersionLast="47" xr6:coauthVersionMax="47" xr10:uidLastSave="{D5B60FB9-F8A2-4BEB-B231-10683493047F}"/>
  <bookViews>
    <workbookView xWindow="-120" yWindow="-120" windowWidth="29040" windowHeight="15720" xr2:uid="{00000000-000D-0000-FFFF-FFFF00000000}"/>
  </bookViews>
  <sheets>
    <sheet name="sheet1" sheetId="1" r:id="rId1"/>
  </sheets>
  <definedNames>
    <definedName name="_xlnm._FilterDatabase" localSheetId="0" hidden="1">sheet1!$A$23:$L$155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5" i="1" l="1"/>
  <c r="H35" i="1"/>
  <c r="H38" i="1"/>
  <c r="H51" i="1"/>
  <c r="H150" i="1"/>
  <c r="H155" i="1" l="1"/>
  <c r="H154" i="1" s="1"/>
  <c r="H153" i="1"/>
  <c r="H152" i="1" s="1"/>
  <c r="H151" i="1"/>
  <c r="J151" i="1" s="1"/>
  <c r="H145" i="1"/>
  <c r="J145" i="1" s="1"/>
  <c r="H144" i="1"/>
  <c r="J144" i="1" s="1"/>
  <c r="H143" i="1"/>
  <c r="J143" i="1" s="1"/>
  <c r="H142" i="1"/>
  <c r="J142" i="1" s="1"/>
  <c r="H141" i="1"/>
  <c r="J141" i="1" s="1"/>
  <c r="H140" i="1"/>
  <c r="J140" i="1" s="1"/>
  <c r="H139" i="1"/>
  <c r="J139" i="1" s="1"/>
  <c r="H138" i="1"/>
  <c r="J138" i="1" s="1"/>
  <c r="H137" i="1"/>
  <c r="J137" i="1" s="1"/>
  <c r="H136" i="1"/>
  <c r="J136" i="1" s="1"/>
  <c r="H135" i="1"/>
  <c r="J135" i="1" s="1"/>
  <c r="H134" i="1"/>
  <c r="J134" i="1" s="1"/>
  <c r="H133" i="1"/>
  <c r="J133" i="1" s="1"/>
  <c r="H132" i="1"/>
  <c r="J132" i="1" s="1"/>
  <c r="H131" i="1"/>
  <c r="J131" i="1" s="1"/>
  <c r="H130" i="1"/>
  <c r="J130" i="1" s="1"/>
  <c r="H129" i="1"/>
  <c r="J129" i="1" s="1"/>
  <c r="H128" i="1"/>
  <c r="J128" i="1" s="1"/>
  <c r="H127" i="1"/>
  <c r="J127" i="1" s="1"/>
  <c r="H126" i="1"/>
  <c r="J126" i="1" s="1"/>
  <c r="H125" i="1"/>
  <c r="J125" i="1" s="1"/>
  <c r="H124" i="1"/>
  <c r="J124" i="1" s="1"/>
  <c r="H123" i="1"/>
  <c r="J123" i="1" s="1"/>
  <c r="H122" i="1"/>
  <c r="J122" i="1" s="1"/>
  <c r="H121" i="1"/>
  <c r="J121" i="1" s="1"/>
  <c r="H120" i="1"/>
  <c r="J120" i="1" s="1"/>
  <c r="H119" i="1"/>
  <c r="J119" i="1" s="1"/>
  <c r="H118" i="1"/>
  <c r="J118" i="1" s="1"/>
  <c r="H117" i="1"/>
  <c r="J117" i="1" s="1"/>
  <c r="H116" i="1"/>
  <c r="J116" i="1" s="1"/>
  <c r="H115" i="1"/>
  <c r="J115" i="1" s="1"/>
  <c r="H114" i="1"/>
  <c r="J114" i="1" s="1"/>
  <c r="H113" i="1"/>
  <c r="J113" i="1" s="1"/>
  <c r="H112" i="1"/>
  <c r="J112" i="1" s="1"/>
  <c r="H111" i="1"/>
  <c r="J111" i="1" s="1"/>
  <c r="H110" i="1"/>
  <c r="J110" i="1" s="1"/>
  <c r="H109" i="1"/>
  <c r="J109" i="1" s="1"/>
  <c r="H108" i="1"/>
  <c r="J108" i="1" s="1"/>
  <c r="H107" i="1"/>
  <c r="J107" i="1" s="1"/>
  <c r="H106" i="1"/>
  <c r="J106" i="1" s="1"/>
  <c r="H105" i="1"/>
  <c r="J105" i="1" s="1"/>
  <c r="H104" i="1"/>
  <c r="J104" i="1" s="1"/>
  <c r="H103" i="1"/>
  <c r="J103" i="1" s="1"/>
  <c r="H102" i="1"/>
  <c r="J102" i="1" s="1"/>
  <c r="H101" i="1"/>
  <c r="J101" i="1" s="1"/>
  <c r="H100" i="1"/>
  <c r="J100" i="1" s="1"/>
  <c r="H99" i="1"/>
  <c r="J99" i="1" s="1"/>
  <c r="H98" i="1"/>
  <c r="J98" i="1" s="1"/>
  <c r="H97" i="1"/>
  <c r="J97" i="1" s="1"/>
  <c r="H95" i="1"/>
  <c r="J95" i="1" s="1"/>
  <c r="H94" i="1"/>
  <c r="J94" i="1" s="1"/>
  <c r="H92" i="1"/>
  <c r="J92" i="1" s="1"/>
  <c r="H91" i="1"/>
  <c r="J91" i="1" s="1"/>
  <c r="H90" i="1"/>
  <c r="J90" i="1" s="1"/>
  <c r="H89" i="1"/>
  <c r="J89" i="1" s="1"/>
  <c r="H88" i="1"/>
  <c r="J88" i="1" s="1"/>
  <c r="H87" i="1"/>
  <c r="J87" i="1" s="1"/>
  <c r="H86" i="1"/>
  <c r="H85" i="1"/>
  <c r="J85" i="1" s="1"/>
  <c r="H82" i="1"/>
  <c r="J82" i="1" s="1"/>
  <c r="J81" i="1" s="1"/>
  <c r="H80" i="1"/>
  <c r="J80" i="1" s="1"/>
  <c r="H79" i="1"/>
  <c r="J79" i="1" s="1"/>
  <c r="H78" i="1"/>
  <c r="J78" i="1" s="1"/>
  <c r="H77" i="1"/>
  <c r="J77" i="1" s="1"/>
  <c r="H76" i="1"/>
  <c r="J76" i="1" s="1"/>
  <c r="H75" i="1"/>
  <c r="J75" i="1" s="1"/>
  <c r="H74" i="1"/>
  <c r="J74" i="1" s="1"/>
  <c r="H73" i="1"/>
  <c r="J73" i="1" s="1"/>
  <c r="H72" i="1"/>
  <c r="J72" i="1" s="1"/>
  <c r="H71" i="1"/>
  <c r="J71" i="1" s="1"/>
  <c r="H70" i="1"/>
  <c r="J70" i="1" s="1"/>
  <c r="H69" i="1"/>
  <c r="J69" i="1" s="1"/>
  <c r="H68" i="1"/>
  <c r="J68" i="1" s="1"/>
  <c r="H67" i="1"/>
  <c r="H65" i="1"/>
  <c r="J65" i="1" s="1"/>
  <c r="H64" i="1"/>
  <c r="J64" i="1" s="1"/>
  <c r="H63" i="1"/>
  <c r="J63" i="1" s="1"/>
  <c r="H62" i="1"/>
  <c r="J62" i="1" s="1"/>
  <c r="H61" i="1"/>
  <c r="J61" i="1" s="1"/>
  <c r="H60" i="1"/>
  <c r="J60" i="1" s="1"/>
  <c r="H59" i="1"/>
  <c r="J59" i="1" s="1"/>
  <c r="H58" i="1"/>
  <c r="J58" i="1" s="1"/>
  <c r="H57" i="1"/>
  <c r="J57" i="1" s="1"/>
  <c r="H56" i="1"/>
  <c r="J56" i="1" s="1"/>
  <c r="H50" i="1"/>
  <c r="J50" i="1" s="1"/>
  <c r="H49" i="1"/>
  <c r="J49" i="1" s="1"/>
  <c r="H48" i="1"/>
  <c r="J48" i="1" s="1"/>
  <c r="H47" i="1"/>
  <c r="J47" i="1" s="1"/>
  <c r="H46" i="1"/>
  <c r="J46" i="1" s="1"/>
  <c r="H37" i="1"/>
  <c r="J37" i="1" s="1"/>
  <c r="H36" i="1"/>
  <c r="J36" i="1" s="1"/>
  <c r="H34" i="1"/>
  <c r="J34" i="1" s="1"/>
  <c r="H33" i="1"/>
  <c r="J33" i="1" s="1"/>
  <c r="H32" i="1"/>
  <c r="J32" i="1" s="1"/>
  <c r="H31" i="1"/>
  <c r="J31" i="1" s="1"/>
  <c r="H30" i="1"/>
  <c r="H146" i="1" l="1"/>
  <c r="H14" i="1" s="1"/>
  <c r="J30" i="1"/>
  <c r="H29" i="1"/>
  <c r="J150" i="1"/>
  <c r="H93" i="1"/>
  <c r="H81" i="1"/>
  <c r="H43" i="1"/>
  <c r="J43" i="1"/>
  <c r="J35" i="1"/>
  <c r="H66" i="1"/>
  <c r="J67" i="1"/>
  <c r="J66" i="1" s="1"/>
  <c r="J93" i="1"/>
  <c r="H96" i="1"/>
  <c r="J153" i="1"/>
  <c r="J152" i="1" s="1"/>
  <c r="J29" i="1"/>
  <c r="J25" i="1" s="1"/>
  <c r="J96" i="1"/>
  <c r="H55" i="1"/>
  <c r="J86" i="1"/>
  <c r="J84" i="1" s="1"/>
  <c r="H84" i="1"/>
  <c r="J55" i="1"/>
  <c r="J155" i="1"/>
  <c r="J154" i="1" s="1"/>
  <c r="J146" i="1" l="1"/>
  <c r="J38" i="1"/>
  <c r="J51" i="1"/>
  <c r="J14" i="1" l="1"/>
  <c r="J16" i="1" s="1"/>
  <c r="J17" i="1" s="1"/>
  <c r="J18" i="1" s="1"/>
  <c r="J20" i="1" s="1"/>
  <c r="J19" i="1" s="1"/>
  <c r="J15" i="1" l="1"/>
</calcChain>
</file>

<file path=xl/sharedStrings.xml><?xml version="1.0" encoding="utf-8"?>
<sst xmlns="http://schemas.openxmlformats.org/spreadsheetml/2006/main" count="693" uniqueCount="320">
  <si>
    <t>Kaufland Hrvatska k.d.</t>
  </si>
  <si>
    <t>Donje svetice 14 10000 Zagreb, Hrvatska</t>
  </si>
  <si>
    <t>Broj telefona: 0994344287</t>
  </si>
  <si>
    <t>Projekt: Osijek-Retfala</t>
  </si>
  <si>
    <t>Gradilište: Svilajska ul., 31000 Osijek</t>
  </si>
  <si>
    <t>Ukupni neto iznos</t>
  </si>
  <si>
    <t>Popust</t>
  </si>
  <si>
    <t>Ukupni iznos s popustom</t>
  </si>
  <si>
    <t>Zakonska stopa PDV-a</t>
  </si>
  <si>
    <t>Ukupni bruto iznos</t>
  </si>
  <si>
    <t>Gotovinski popust/Rok u danima</t>
  </si>
  <si>
    <t>Ukupni bruto iznos (s gotovinskim popustom)</t>
  </si>
  <si>
    <t>Kod</t>
  </si>
  <si>
    <t>Vrsta</t>
  </si>
  <si>
    <t>Kratki opis</t>
  </si>
  <si>
    <t>Dugi opis</t>
  </si>
  <si>
    <t>Količina</t>
  </si>
  <si>
    <t>Jedinica</t>
  </si>
  <si>
    <t>Jedinična cijena</t>
  </si>
  <si>
    <t>Ukupno</t>
  </si>
  <si>
    <t>Stopa PDV-a</t>
  </si>
  <si>
    <t>bidderInputLabels</t>
  </si>
  <si>
    <t>ZTV - Dodatni tehnički uvjeti ugovora</t>
  </si>
  <si>
    <t>1.) Dodatni ugovoreni tehnički uvjeti dio su troškovnika te u slučaju ugovaranja postaju dio ugovora. Izvođač radova se dakle obavezuje na sve radove i primjene koje proizlaze iz ovih uvjeta te su one uračunate u cijenu, ukoliko nisu zasebno ponuđene.
2.) Cijene stavki se prikazuju kao neto iznos u državnoj valuti. Važeći zakonski propisani porez na dodanu vrijednost obračunava se zasebno.
3.) U slučaju proturječnosti dodatnih ugovorenih tehničkih uvjeta vrijede prvenstveno podaci iz troškovnika. U slučaju proturječnosti između troškovnika i tehničke dokumentacije koja se predaje prilikom natječaja, vrijedi tehnička dokumentacija.
4.) Prije početka davanja ponude, ponuditelj je dužan pažljivo pročitati kompletan tekst općih uvjeta uz troškovnik, općih i posebnih uvjeta uz svaku grupu radova, tekst samog troškovnika i ostale dijelove tehničke dokumentacije. Ako opis bilo koje stavke u troškovniku dovodi do sumnje o načinu izvedbe ili upotrebu gradiva zahtijevane kvalitete, treba prije predaje ponude zatražiti pojašnjenje od ovlaštene osobe Investitora. Naknadno pozivanje na manjkavost ili nepoznavanje projektno-tehničke dokumentacije ili opisa u troškovniku neće se uzeti u obzir, niti smatrati razlogom za produženje roka izvedbe, a niti će se priznati bilo kakva razlika u cijeni s tog naslova.
5.) Tehnička dokumentacija koja se predaje prilikom natječaja informativnog je karaktera, a ponuđač je dužan u svom trošku izvršiti kontrolu projektno tehničke dokumentacije u smislu točnosti, tehničke ispravnosti, izvedivosti i međusobne usklađenosti. Sve eventualne primjedbe ponuditelj/izvoditelj dužan je pravovremeno uz ponudu, a u svakom slučaju prije izvedbe u pisanom obliku dostaviti Nadzoru i Naručitelju
6.) Ponuditelj je dužan provesti i kontrolu lokacije na licu mjesta prije davanja ponude. Jedinične cijene za pojedine vrste radova sadrže i sve one posredne troškove koji nisu iskazani u troškovniku, ali su neminovni za izvršenje radova predviđenih projektom.
7.) Organizacija gradilišta uračunata je u cijenu, ukoliko nije ponuđena kao zasebna stavka.
8.) Dizalice za podizanje, skele, strojevi, alati, pomoćna sredstva i konstrukcije uzeti su u obzir te su uračunati u jediničnu cijenu.
9.) Skele za radove na fasadi i radove na krovu predmet su ovog natječaja. Ponuditelj smije koristiti postojeće skele uz poštivanje sigurnosnih uvjeta i na vlastitu odgovornost. Preinake na skelama nisu dozvoljene te se one moraju predati u ispravnom stanju u kojem su i preuzete.
10.) Kompletnu režiju gradilišta usigurava i rješava ponuditelj/izvođač i i uključena je u jediničnu cijenu.
11.) Ponuditelj je obvezan redovno prikupljati i ,pravilno skladištiti i odvoziti na ovlašteni deponij sve otpadne materijale, ostatke, krhotine, građevinski otpad, ambalaže, obični otpad i slično o vlastitom trošku. Kod odlaganja otpada potrebno je pridržavati se svih javnopravnih uputa i propisa.
12.) Onečišćenja koja uslijed radova nastaju na susjednim terenima, zgradama, putovima, cestama, trgovima i slično, izvođač radova treba svakodnevno čistiti.
13.) Izvođač preuzima odgovornost za osiguravanje, skladištenje i spremanje vlastite građevinske opreme, strojeva, uređaja, alata i slično. Jednako vrijedi i za građevinske materijale, elemente i za ugradnju određenih uređaja i objekata sve do primopredaje obavljenih građevinskih radova.
14.) Prilikom izvođenja radova, izvoditelj treba zaštititi sve susjedne plohe, dijelove konstrukcije i prethodno izvedene radove na prikladan način a u skladu sa pravilima zaštite na radu, tako da ne dođe do oštećenja istih. Troškove zaštite treba izvoditelj ukalkulirati u ponudbenu cijenu izvođenja radova. Ukoliko ipak dođe do oštećenja prethodno izvedenih radova za koje je odgovoran izvoditelj ili njegov kooperant, dužan je iste o svom trošku dovesti u stanje prije oštećenja ili naručiti iste radove kod drugog izvoditelja na svoj teret.
15.) Sve potrebne mjere prema javnopravnim uputama i propisima za sigurnost i zaštitu zdravlja trebaju se uzeti u obzir te ih se treba pridržavati prilikom izvođenja radova.
16.) Prilikom davanja ponude i izvođenja radova treba se uzeti u obzir, uračunati i pridržavati se
- svih državnih i javnopravnih zakona, smjernica i propisa
- svih odgovarajućih tehničkih standarda, pravila i smjernica
- općeprihvaćenih pravila tehnike
- uputa, propisa i napomena proizvođača za ugradnju i obradu
- Kauflandovih građevinskih opisa, ugovorenih uvjeta i ostalih Kauflandovih dokumenata i planova.
17.) Stavke troškovnika obuhvačaju konačno dovršenje radova definiranih po količini i kvaliteti, onosno podrazumijevaju se kao gotove, potpune i funkcionirajuće, uklj. sve potrebne male dijelove i sredstva za pričvršćivanje, pomoćne materijale i sredstva, podkonstrukcije itd., kao i sve dodatne i posebne usluge - čak i kada one nisu detaljno opisane.
18.) Ako su treće stranke uključene u izvođenje predradnji, izvođač radova ih treba provjeravati. U slučaju nepravilnosti ili prigovora pravovremeno treba informirati naručitelja, tako da može tehnički i organizacijski dovršiti poslove.
19.) Obavezno se treba pridržavati svih Kauflandovih proizvodnih uputa, osim ako postoje opravdani razlozi za odstupanje (npr. dostupnost). U tom slučaju izvođač treba ponuditi istovjetni proizvod ili sustav te potvrditi istovjetnost. O njoj odlučuje naručitelj.
20.) Sustavi se izvode isključivo pomoću komponenata koje su predviđene od strane proizvođača sustava.
21.) Svi materijali, građevinski elementi i uređaji koji neposredno utječu na izgled i funkcionalnost prije ugradnje se trebaju provjeriti. Ugrađuju se tek nakon što naručitelj ili ovlaštena osoba odobri ugradnju na gradilištu. O vrsti i obliku uzorka odlučuje naručitelj.
22.) Ako nije drukčije propisano, izmjene postojećih projektnih rješenja od strane ponuditelja/izvođača a koje utječu na mehaničku stabilnost, ponuditelj/izvođač je dužan u svom trošku ishoditi sve suglasnosti, dozvole i sl.
Projekt izvedenog stanja ukalkulirati u jedničnu cijenu te dostaviti Kauflandu u pisanom i digitalnom obliku.
23.) Svi radovi na objektu te primjenjeni sistemi gradnje moraju biti izvedeni prema pravilu struke, odnosnu u granicama dopuštenih tolerancija.
24.) Ukoliko je ugovoreni termin izvršenja objekta uključen i zimski odnosno ljetni period, to se neće posebno izvođaču priznavati na ime naknade za rad pri niskoj temperaturi, zaštita konstrukcija od hladnoće i vrućine, te atmosferskih nepogoda, sve mora biti uključeno u jediničnu cijenu. Za vrijeme zime objekat se mora zaštititi. Svi eventualni smrznuti dijelovi moraju se ukloniti i izvesti ponovo bez bilo kakve naplate. Ukoliko je temperatura niža od temperature pri kojoj je dozvoljen dotični rad, a Investitor ipak traži da se radi, Izvođač si ima pravo zaračunati naknadu po normi 6,006 ali u tom slučaju Izvođač snosi punu odgovornost za ispravnost i kvalitetu rada. To isto vrijedi i za zaštitu radova tokom ljeta od prebrzog sušenja uslijed visoke temperature.
25.) U jediničnu cijenu rada izvođač treba obuhvatiti i slijedeće radove, koji se neće zasebno platiti kao naknadni rad, čak i ako nisu izričito navedenei u troškovniku:
- sve vrste transporta građevinskih materijala, elemenata, uređaja, objekata itd. do mjesta ugradnje
- potrebne i uobičajene pripreme i predobrade tla
- sve vrste bušenja, zavarivanja, lijepljenja, malih dijelova, sredstava za pričvršćivanje, međupoložaja, izolacije, brtvljenja, folija, spojeva itd. koje su potrebne za priključak, montažu i pričvršćivanje građevinskih dijelova i elemenata
- stručna priprema i priključak na sve okolne dijelove, ugradbene i nadgradne elemente i propuste
- sve izrade kutova, spojnih površina i elemenata, završnih elemenata, slobodnih krajeva itd.
- sve podloge za montažu, priključak i pričvršćivanje kao što su beton, zidani elementi, čelik, aluminij, limovi, gips karton, itd.
- potrebne spojne, kose i okrugle rezove te ostatke rezanja
- Izrada otvora i proreza za instalacije i ugradbene elemente drugih izvođača
- interno povezivanje kablovima i priključak objekata, dovod prema električnim trošilima na gradilištu od strane elektro izvođača</t>
  </si>
  <si>
    <t/>
  </si>
  <si>
    <t>kom</t>
  </si>
  <si>
    <t>m</t>
  </si>
  <si>
    <t>Prethodne napomene</t>
  </si>
  <si>
    <t>m2</t>
  </si>
  <si>
    <t>kg</t>
  </si>
  <si>
    <t>m1</t>
  </si>
  <si>
    <t>302</t>
  </si>
  <si>
    <t>Radovi na krovovima</t>
  </si>
  <si>
    <t>302.000</t>
  </si>
  <si>
    <t>Opseg usluga za krovne radove</t>
  </si>
  <si>
    <t>U sljedećim pozicijama potrebno je uzeti u obzir i uračunati sljedeće usluge, čak i ako nisu izričito navedene:
- eventualna oštećenja na površini i / ili slojevima pravilno ukloniti
- Dijelovi lima s pojačanjima do promjera 300 mm ili dimenzija 300/300 mm (bez statičke zamjene)</t>
  </si>
  <si>
    <t>302.010</t>
  </si>
  <si>
    <t>Trapezni limovi</t>
  </si>
  <si>
    <t>302.010.00100</t>
  </si>
  <si>
    <t>- dobava trapeznog čeličnog lima [T150], debljina [1,0] mm</t>
  </si>
  <si>
    <t>Dobava vruće pocinčanog trapeznog čeličnog lima, obostrano plastificiran za ravne krovove nagiba do 3%.
Unutarnja strana: 15 µm poliester, RAL 9010 čisto bijelo
Vanjska strana: 12 µm poliester/RSL, slično RAL 9002 (sivo-bijelo)
Profil: [T150]
Debljina lima: [1,0] mm
Statički sustav: postava na pozitivnu stranu, višepoljni nosač (kroz dva ili više polja) ili kontinuirano</t>
  </si>
  <si>
    <t>302.010.00105</t>
  </si>
  <si>
    <t>- postava trapeznog čeličnog lima [T150], debljina [1,0] mm</t>
  </si>
  <si>
    <t>Postava vruće pocinčanog trapeznog čeličnog lima, obostrano plastificiran za ravne krovove nagiba do 3%. U cijenu uključena montaža, spojna sredstva, sav ostali rad i ostali sitni materijal te ostale usluge kako bi se stavka izvela do gotove funkcionalnosti.
Unutarnja strana: 15 µm poliester, RAL 9010 čisto bijelo
Vanjska strana: 12 µm poliester/RSL, slično RAL 9002 (sivo-bijelo)
Profil: [T150]
Debljina lima: [1,0] mm
Statički sustav: postava na pozitivnu stranu, višepoljni nosač (kroz dva ili više polja) ili kontinuirano
Prihvat limova: u prethodno ugrađene tipske šine samoreznim vijcima ili vijcima za beton za krovnu konstrukciju</t>
  </si>
  <si>
    <t>302.010.00110</t>
  </si>
  <si>
    <t>- kutni lim, veza trapeznog lima i atike na zabatima</t>
  </si>
  <si>
    <t>Isporučiti i montirati čel. lim vruće pocinčan, uključujući sav potreban materijal za montažu na betonsku konstrukciju. Lim saviti u obliku slova "L" profila veličine 350/150 mm. Debljina lima 1 mm. Polaže se uz zabatni krovni nadozid i trapezasti lim za ukrućenje ruba krova.</t>
  </si>
  <si>
    <t>302.010.00115</t>
  </si>
  <si>
    <t>- otvori do 0,3 / 0,3 m</t>
  </si>
  <si>
    <t>Izrada otvora u krovnom trapeznom limu za prolaz instalacija ili građevinskih elemenata. Ojačanje oko izrezanog otvora izvesti od čeličnog pocinčanog plastificiranog lima. Izrezani materijal pravilno zbrinuti. Izvedba do gotove funkcionalnosti uključivo sav rad i materijal.
Boja plastifikacije lima za ojačanje: 12 µm poliester/RSL, slično RAL 9002 (sivo-bijelo)
Dimenzija otvora: do 0,30/0,30 m
Debljina lima za ojačanje: 0,60/0,60 m
Debljina lima: ≥ tN 1.5 x tN (trapezni lim)</t>
  </si>
  <si>
    <t>302.010.00120</t>
  </si>
  <si>
    <t>- otvori veći od 0,3 / 0,3 m</t>
  </si>
  <si>
    <t>Izrada otvora u krovnom trapeznom limu za prolaz instalacija ili građevinskih elemenata. Ojačanje oko izrezanog otvora izvesti iz čeličnih profila definiranih statičkim proračunom. Izrezani materijal pravilno zbrinuti. Izvedba do gotove funkcionalnosti uključivo sav rad i materijal.
Dimenzija otvora: veći [0,30/0,30] m
Čelično ojačanje se obračunava u zasebnoj poziciji.</t>
  </si>
  <si>
    <t>304.060</t>
  </si>
  <si>
    <t>Zaštita od pada</t>
  </si>
  <si>
    <t>304.060.00100</t>
  </si>
  <si>
    <t>- isporuka i ugradnja zaštitnih sidra kao zaštita od pada, trapezni lim</t>
  </si>
  <si>
    <t>Dobava i ugradnja zaštitnih sidara kao zaštita od pada s ravnog krova tzv. sekuranata ABS POINT. Točkasta sidra su promjera 16 mm , izrađena od nehrđajučeg čelika , ispitana i u skladu s HRN EN 795. Sidra se montiraju na trapezni lim minimalne debljine 0,88mm. Sidro izvesti minimalno 20cm iznad hidroizolacije.
Visina pada: do [10,0] m
Visina krovne konstrukcije: do 300 mm
Montažna podloga: Trapezni lim</t>
  </si>
  <si>
    <t>304.060.00105</t>
  </si>
  <si>
    <t>- isporuka i ugradnja sustava za spašavanje, trapezni lim</t>
  </si>
  <si>
    <t>Sustav za sigurnosno uže prema DIN EN 795 razred C za pričvršćivanje osobne zaštitne opreme protiv pada, u različitim pojedinačnim dužinama, koji se sastoji od nosača i sustava užeta, nosači izolirani s unutarnje strane, izvedba sukladno montažnoj podlozi, broj i razmak nosača prema potrebi, isporučiti i montirati, uklj. sredstva za pričvršćivanje sukladno montažnoj podlozi, kutne, krajnje i unutarnje nosače, sustav užeta s držačima, bravama, zaobilascima, itd.
Visina pada: do [10,0] m
Visina krovne konstrukcije: do 300 mm
Montažna podloga: Trapezni lim</t>
  </si>
  <si>
    <t>307</t>
  </si>
  <si>
    <t>Fasada</t>
  </si>
  <si>
    <t>307.000</t>
  </si>
  <si>
    <t>Radovi koje je potrebno obuhvatiti jediničnom cijenom</t>
  </si>
  <si>
    <t>U sljedećim pozicijama potrebno je uzeti u obzir i uračunati sljedeće usluge, čak i ako nisu izričito navedene:
- Sredstva za pričvršćivanje od nehrđajućeg čelika
- Trodimenzionalno podesive podkonstrukcije
- obojane limove i pravokutne dijelove za priključke, krajeve i prijelaze
- eventualna oštećenja na površini i / ili slojevima pravilno ukloniti
- potrebna pojačanja uslijed povećanog utjecaja vjetra
- Prihvate za fuge na građevinama i promjene dužina uslijed temperaturnih varijacija
- kontrolirano odvođenje kišnice i kišnice nošene vjetrom
- Jednoliko i ravnomjerno postavljanje fuga i vijaka prema planu ili u dogovoru s naručiteljem</t>
  </si>
  <si>
    <t>307.010</t>
  </si>
  <si>
    <t>Fasadni profilirani lim</t>
  </si>
  <si>
    <t>307.020</t>
  </si>
  <si>
    <t>Fasadni sendvič paneli</t>
  </si>
  <si>
    <t>- Fasadni sendvič elementi-poliuretanska pjena (PIR)</t>
  </si>
  <si>
    <t>TERMOIZOLACIJSKI FASADNI PANELI
Dobava i postava fasade od sendvić panela dijelom sa jezgrom od poliuretanske pjene (PIR) i dijelom o mineralne vune, debljine 14cm. Izvedba do gotove funkcionalnosti prema detaljima proizvođača i isporučitelja panela. U cijeni sav rad, materijal, spojni pribor, kompletno oblikovanje te skela.
Vanjska strana panela:
• Pokrovni lim s laganim profiliranjem (mikroliniran), prema seriji proizvođača
debljina lima za panel od poliuretanske pjene (PIR) 0,63 mm
debljina lima za panel od mineralne vune 0,63 mm
• Premazivanje bojom: poliesterski premaz, debljina sloja 25 μm
• Ton boje slično RAL 7047/ RAL7016 odn. prema projektno specifičnom dizajnu fasade i uzorku
Unutrašnja strana panela:
• glatki pokrovni limovi
debljina lima za panel od poliuretanske pjene (PIR) 0,40 mm
debljina lima za panel od mineralne vune 0,50 mm
• Premazivanje bojom: poliesterski premaz, ton boje slično RAL 7047 telegrau 4 ili slično RAL 9002 grauweiß odn. prema uzorku
Oblikovani dijelovi
• od porubljenih limova prema planu fasade i smjernicama proizvođača ploče:
• donji završeci fasade s odgovarajućim okapnim profilom, od porubljenih limova
• Bočni završeci fasade oko bravarije (završeci iznad opšava)
• Kutovi i rubovi zgrade
• toplinska izolacija na spojevima
NAPOMENA: Opšavi oko prozora i vrata obrađeni u zasebnoj stavci.
Smjer polaganja: vertikalno
Visina montaže panela od ±0.00 do vrha atike (+10.0)
širina panela 100 cm (sve prema nacrtima)</t>
  </si>
  <si>
    <t>- Fasadni sendvič elementi-poliuretanska pjena (PIR)-nastavak stavke 307.020.00100</t>
  </si>
  <si>
    <t>Pričvršćenje pri dnu:
Panel se pričvršćuje za "HALFEN HTU 60/22/3" šine samoureznim vijcima (3 kom/m').
"HALFEN HTU 60/22/3" šine iskazane zasebnom stavkom ove grupe radova-ostali betonski i AB radovi i ugrađeni su potporne fasadne zidove po obodu objekta.
U cijenu stavke uključit dvije EPDM trake na spoju sa ab fasadnim parapetnim zidom.
Svi pričvrsni dijelovi kao i limovi (potrebni za izradu ovog detalja) iskazani posebnom stavkom.
Pričvršćenje pri vrhu:
Panel se pričvršćuje za čelične profile 60×80×3 mm (zasebna stavka ove grupe radova (čelična konstrukcija) prethodno pričvršćene za krovne rubne nosače (grede).
Potrebne vijke kao i pločice (za izradu skrivenog spoja) za prijenos sile uključiti u cijeni stavke.
Sva pričvršćenja u svemu prema detaljnim nacrtima i statičkom proračunu.
Učvršćenje nehrđajućim samonareznim brtvenim vijcima iz visokokvalitenog čelika, s navulkaniziranim neoprenskim brtvilom, pričvrsni elementi u istoj boji kao i lim. Ploče postavljene vertikalno, nevidljivo pričvršćene, trake za brtvljenje između ploča. Svi prodori, za vrata, prozore i ventilacijske reške, kao i svi unutrašnji i vanjski uglovi moraju se izvesti s kutnim profilima i tipskim elementima.
U cijenu uključeno: isporuka i ugradnja ugaonih elemenata, detalj vertikalnog spoja, proračun pričvršćenja, detalj prihvata na potporne fasadne zidove po obodu objekta i na AB krovne rubne nosače (grede), detalj kape atike, detalj kuteva, detalj opšivanja otvora vrata, detalj opšivanja otvora prozora, izrada prodora bravarski stavki, prodora rasvjete, sve navedeno sa vanjske, unutarnje i bočne strane.</t>
  </si>
  <si>
    <t>307.020.00110</t>
  </si>
  <si>
    <t>Obavezna je primjena svih propisa za montažu od strane proizvođača.
Površine otvora nisu odbijane iz količine, a prodori su uključeni u cijenu.
NAPOMENA: Obrada gornjeg završetka panela (atika), donjeg završetak panela (sokl), tipski elamenati za špalete prozora i vrata tipski elamenati za oblogu kuta fasade, spoj sa objektom tehničkih prostroija i spoj sa alucobond fasadom iskazano posebnom stavkom.
Sve ostale prodore i obrade koje nisu navedene (iskazane posebnom stavkom) uključit u cijenu izrade stavke.
Kod obrade prodora uključiti u stavku opšavne limove u boji fasade (zatvaranje otvora oko prodora + brtvljenje PU pjenom + trajnoelastični kit u boji fasade).
Izvođač je dužan sa davanjem ponude dostaviti traženi uzorak sa pratećim tehničkim listom te potpisanim pismom namjere sa proizvođačem panela da će se ugraditi navedeni panel navedenog proizvođača. Čelična podkonstrukcija nije predmet ove pozicije. Sve izvesti i ponuditi u skladu s opisom gradnje KaBa, općim napomenama i opisu stavke.
PANEL SA JEZGROM OD POLIURETANSKE PJENE (PIR)
Svojstva panela:
koeficijent prolaza topline U=0,161 W/m2k
reakcija na požar B-s1, d0
zvučna izolacija 25dB
gustoća ispune 38kg/m3</t>
  </si>
  <si>
    <t>307.020.00115</t>
  </si>
  <si>
    <t>- Fasadni sendvič elementi-jezgra od mineralne vune</t>
  </si>
  <si>
    <t>U svemu kao stavka 307.020.00110 samo:
PANEL SA JEZGROM OD MINERALNE VUNE
Svojstva panela:
koeficijent prolaza topline U=0,34 W/m2k
reakcija na požar A2-s1, d0
zvučna izolacija 31dB
gustoća ispune 140kg/m3</t>
  </si>
  <si>
    <t>307.020.00120</t>
  </si>
  <si>
    <t>- Fasadni sendvič elementi-Tipski elamenati za špalete prozora i vrata</t>
  </si>
  <si>
    <t>Tipski elamenati za špalete prozora i vrata
Izrada, dobava te postava tipskih elamenata za špalete prozora i vrata, svi opšavni elementi uklopivi sa oblogom od fasadnih panela koji je kao završni sloj pročelja. Elemente za špalete pričvrstiti za panel ili predvidjeti ukoliko je potrebno novu potkonstrukciju oko vrata ili prozora. Učvršćenje nehrđajućim samonareznim brtvenim vijcima iz visokokvalitenog čelika, s navulkaniziranim neoprenskim brtvilom, pričvrsni elementi u istoj boji kao i lim. U cijenu uključena doprema, postava na gradilištu, skela te sav materijal koji je potreban da se stavka izvede do gotove funkcionalnosti. Izvedba elemenata u istoj boji kao što su i paneli na tom dijelu pročelja.
Sve izvesti i ponuditi u skladu s opisom gradnje KaBa, općim napomenama i opisu stavke.</t>
  </si>
  <si>
    <t>307.020.00125</t>
  </si>
  <si>
    <t>- Fasadni sendvič elementi-Tipski elamenati za oblogu kuta fasade</t>
  </si>
  <si>
    <t>Tipski elamenati za oblogu kuta fasade
Izrada, dobava te postava tipskih elamenata za oblogu kuta fasade (unutarnji i vanjski) uklopiv sa oblogom od fasadnog panela koji je kao završni sloj pročelja. Elemente kuta pričvrstiti za panel ili predvidjeti ukoliko je potrebno novu potkonstrukciju. Učvršćenje nehrđajućim samonareznim brtvenim vijcima iz visokokvalitenog čelika, s navulkaniziranim neoprenskim brtvilom, pričvrsni elementi u istoj boji kao i lim. U cijenu uključena doprema, postava na gradilištu, skela te sav materijal koji je potreban da se stavka izvede do gotove funkcionalnosti. Izvedba elemenata u istoj boji kao što su i paneli na tom dijelu pročelja.
Sve izvesti i ponuditi u skladu s opisom gradnje KaBa, općim napomenama i opisu stavke.
NAPOMENA: Količinom stavke obuhvaćeni samo vanjski kutni profili.</t>
  </si>
  <si>
    <t>307.020.00130</t>
  </si>
  <si>
    <t>- Fasadni sendvič elementi-Donji završetak panela</t>
  </si>
  <si>
    <t>Donji završetak panela
Izrada, dobava te postava donjeg završetka panela:
▪ Postava čeličnog L 100/100/4 profila (naslon panela). Pričvršćuje se u ab potporni fasadni zid pripadajućim tiplama.
▪ Konstruktivni lim - čelični pocinčani d=2,50mm, pričvršćuje se na prethodno opisani čelični profil, okvirna razvijena širina 25 cm, služi za donji prihvat okapnog lima, postavlja se kontinuirano.
▪ Kontinuitet toplinske izolacije sa limenog fasadnog panela na oblogu (XPS) ab fasadnog parapetnog zida osigurati PUR pjenom, ili u slučaju požarnog preskoka od negorive (vatrootpore) pjene.
▪ Okapni lim - čelični pocinčani d=1,5mm, obostrano plastificiran u tonu fasade (konačnu potvrdu tona potrebno ishoditi pismeno od investitora) okvirna razvijena širina 20 cm.
Učvršćenje nehrđajućim samonareznim brtvenim vijcima iz visokokvalitenog čelika, s navulkaniziranim neoprenskim brtvilom, pričvrsni elementi u istoj boji kao i lim. U cijenu uključena doprema, postava na gradilištu, brtvene trake, skela te sav materijal koji je potreban da se stavka izvede do gotove funkcionalnosti. Izvedba elemenata u istoj boji kao što su i paneli na tom dijelu pročelja.
Sve izvesti i ponuditi u skladu s opisom gradnje KaBa, općim napomenama i opisu stavke.</t>
  </si>
  <si>
    <t>Zaštita od udara</t>
  </si>
  <si>
    <t>409</t>
  </si>
  <si>
    <t>Bravarski posao</t>
  </si>
  <si>
    <t>409.000</t>
  </si>
  <si>
    <t>Opseg usluga bravarskog posla</t>
  </si>
  <si>
    <t>U sljedećim pozicijama potrebno je uzeti u obzir i uračunati sljedeće usluge, čak i ako nisu izričito navedene:
- Mjerenje i niveliranje usluga od zadanih mjernih točaka odnosno osi
- Sve spojne limove, bušene rupe, zavarene spojeve, sitne dijelove, međuslojeve i sredstva za pričvršćivanje, itd., koja su potrebna za montažu i pričvršćivanje čeličnih elemenata.
- sva sredstva za pričvršćivanje su trajno zaštićena od korozije
- eventualna oštećenja na površini i / ili slojevima pravilno ukloniti
- sve spojeve izraditi bez razmaka pomoću neskupljajućeg materijala
- Radove zavarivanja samo uz potvrdu o potrebnim kvalifikacijama za izvođenje radova zavarivanja u visokogradnji prema DIN EN 1090 (potvrda za zavarivanje)
- Grundiranje s debljinom sloja od minimalno 20 µm
- Gotove zavarene šavove spremne za lakiranje
- Planirana nadvišenja
- Izoliranje kontaktnih površina kod moguće kontaktne korozije
- trajno elastične brtve na svim spojnim fugama prema graničnim elementima, uklj. ispunu fuga
- Ograničavanje dubine bušenja u podnim pločama do 14 cm</t>
  </si>
  <si>
    <t>409.010</t>
  </si>
  <si>
    <t>Stepenice</t>
  </si>
  <si>
    <t>409.010.00100</t>
  </si>
  <si>
    <t>x..ST1, ST4..x - vanjsko čelično stubište, konstrukcija</t>
  </si>
  <si>
    <t>POZ 201
Isporučiti i montirati čeličnu konstrukciju vanjskih čeličnih stubišta tlocrtnih dimenzija [1,35/3,10] m, visine [1,40] m. Nosači antikorozivno zaštičeni vrućim cinčanjem. Sve kompletno izvedeno i montirano do funkcionalne gotovosti, uključujući sva sredstva za pričvrščivanje, ukrute, pločevine, zavare.
Kvaliteta čelika: S [235]
Stubište se sastoji iz slijedećih elemenata:
[UPN 180]</t>
  </si>
  <si>
    <t>409.010.00105</t>
  </si>
  <si>
    <t>x..ST1, ST4..x - vanjsko čelično stubište, gazišta/podesti</t>
  </si>
  <si>
    <t>POZ 201
Dobava i postava hodne površine vanjskih stubišta izvedene od protukliznih čeličnih rešetki širine mreže 30/30 mm, nosive šipke 40/3 mm, zavareno u okvir od profilnog čelika, učvršćeno na uzdužne nosače vijčanom izvedbom. Sve antikorozivno zaštićeno vrućim cinčanjem. Sve kompletno izvedeno i montirano do funkcionalne gotovosti, uključujući sva sredstva za pričvrščivanje I ukrute.
dimenzije gazišta: [1,2 / 0,3] m; ukupno [6] kom
dimenzije podesta/međupodesta: [1,2 / 1,2] m; ukupno [1] kom</t>
  </si>
  <si>
    <t>409.010.00110</t>
  </si>
  <si>
    <t>x..ST1, ST4..x - vanjsko čelično stubište, ograda</t>
  </si>
  <si>
    <t>POZ 201
Dobava i postava ograde vanjskih stubišta visine 1,20m iznad obloge izvedene od stupova, ispune oduzdužno postavljenih cijevi.Sve antikorozivno zaštićeno vrućim cinčanjem. Sve kompletno izvedeno i montirano do funkcionalne gotovosti, uključujući sva sredstva za pričvrščivanje I ukrute.
stupovi i rukohvat: Ø48,3 / 3mm;
ispuna: Ø42,4mm / 3mm</t>
  </si>
  <si>
    <t>409.010.00115</t>
  </si>
  <si>
    <t>- fiksne ljestve izvana</t>
  </si>
  <si>
    <t>POZ 203
Nepomične, vertikalne ljestve od pocinčanog čelika, montirane ispred zida, s gazištima zavarenima za vodilice, s razmakom između gazišta od 250 mm, s ručkama u U-obliku na obje strane na gornjem izlazu, u različitim pojedinačnim dužinama, izraditi, isporučiti i montirati. Svi elementi penjalice (ako i nisu ekspilictno navedeni ili nacrtani u shemi) sukladno važećem Pravilniku o zaštiti na radu na mjestiam rada.
U stavku uključena i vertikalna potkonstrukcija od SHS profila 100x100x3mm, ukupne duljine cca 7m.
Visina ljestvi: do 8,0 m</t>
  </si>
  <si>
    <t>409.010.00120</t>
  </si>
  <si>
    <t>POZ 204
Nepomične, vertikalne ljestve od pocinčanog čelika, montirane ispred zida, s gazištima zavarenima za vodilice, s razmakom između gazišta od 250 mm, s ručkama u U-obliku na obje strane na gornjem izlazu, u različitim pojedinačnim dužinama, izraditi, isporučiti i montirati. Svi elementi penjalice (ako i nisu ekspilictno navedeni ili nacrtani u shemi) sukladno važećem Pravilniku o zaštiti na radu na mjestiam rada.
Visina ljestvi: do 8,0 m</t>
  </si>
  <si>
    <t>409.010.00125</t>
  </si>
  <si>
    <t>POZ 205
Nepomične, vertikalne ljestve od pocinčanog čelika, montirane ispred zida, s gazištima zavarenima za vodilice, s razmakom između gazišta od 250 mm, s ručkama u U-obliku na obje strane na gornjem izlazu, u različitim pojedinačnim dužinama, izraditi, isporučiti i montirati. Svi elementi penjalice (ako i nisu ekspilictno navedeni ili nacrtani u shemi) sukladno važećem Pravilniku o zaštiti na radu na mjestiam rada.
Visina ljestvi: do 8,0 m</t>
  </si>
  <si>
    <t>409.010.00130</t>
  </si>
  <si>
    <t>POZ 206
Nepomične, vertikalne ljestve od pocinčanog čelika, montirane između vanjske terase (za odmor zaposlenika) i krovne plohe prizemlja. Izraditi, isporučiti i montirati. Svi elementi (ako i nisu ekspilictno navedeni ili nacrtani u shemi) sukladno važećem Pravilniku o zaštiti na radu na mjestiam rada.</t>
  </si>
  <si>
    <t>409.010.00140</t>
  </si>
  <si>
    <t>Nepomične, vertikalne ljestve od pocinčanog čelika, montirane ispred zida, s gazištima upetim u AB zid, s razmakom između gazišta od 250 mm, izraditi, isporučiti i montirati. Svi elementi penjalice (ako i nisu ekspilictno navedeni ili nacrtani u shemi) sukladno važećem Pravilniku o zaštiti na radu na mjestiam rada.
Mjesto ugradnje - ulaz i sprinkler bazen i strojarnicu sprinkler bazena.
Visina ljestvi: do 8,0 m</t>
  </si>
  <si>
    <t>409.010.00145</t>
  </si>
  <si>
    <t>- Doplata za ljestve, kavez za zaštitu leđa</t>
  </si>
  <si>
    <t>Doplata za gore Navedene ljestve, za izvedbu s leđobranom kao zaštitni sustav.</t>
  </si>
  <si>
    <t>409.010.00150</t>
  </si>
  <si>
    <t>- Doplata za fiksne ljestve, pristupna brava</t>
  </si>
  <si>
    <t>Doplata za gore Navedene ljestve, za izvedbu prilaza s mogućnošću zatvaranja, pripremljenog za profilni cilindar.</t>
  </si>
  <si>
    <t>409.020</t>
  </si>
  <si>
    <t>Platforme za krovne uređaje</t>
  </si>
  <si>
    <t>409.020.00100</t>
  </si>
  <si>
    <t>x..TU1+TU3..x - platforma kondenzatora, konstrukcija</t>
  </si>
  <si>
    <t>POZ 310+305
POZ 310
Isporučiti i montirati čeličnu konstrukciju kondenzatora tlocrtnih dimenzija [3,05/6,90] m, visine [1,00] m mjereno od završne kote krova. Nosači antikorozivno zaštičeni vrućim cinčanjem. Sve kompletno izvedeno i montirano do funkcionalne gotovosti, uključujući sva sredstva za pričvrščivanje, ukrute, pločevine, zavare.
Kvaliteta čelika: S [235]
Čelična konstrukcija se sastoji od slijedečih elemenata:
[SHS 150x150x5mm]
[HEA 140]
[IPE 140]
[Ø101x5mm]
Stubište na platformu:
[UPN 180]
[Ø50x3,6mm]
POZ 305
Isporučiti i montirati čeličnu konstrukciju dizalice topline tlocrtnih dimenzija [3,00/5,15] m, visine [1,00] m mjereno od završne kote krova. Nosači antikorozivno zaštičeni vrućim cinčanjem. Sve kompletno izvedeno i montirano do funkcionalne gotovosti, uključujući sva sredstva za pričvrščivanje, ukrute, pločevine, zavare.
Kvaliteta čelika: S [235]
Čelična konstrukcija se sastoji od slijedečih elemenata:
[SHS 150x150x5mm]
[HEA 140]
[IPE 140]
[Ø101x5mm]
Stubište na platformu:
[UPN 180]
[Ø50x3,6mm]
Stavka uključuje i krovnu kućicu za proboj instalacija koja se nalazi ispod platforme (izvesti prema detalju).</t>
  </si>
  <si>
    <t>409.020.00105</t>
  </si>
  <si>
    <t>x..TU1+TU3..x - platforma kondenzatora, hodna površina</t>
  </si>
  <si>
    <t>POZ 310+305
Dobava i postava hodne površine kondenzatora (uključivo i pristupno stubište) izvedene od protukliznih čeličnih rešetki širine mreže 30/30 mm, nosive šipke 40/3 mm, zavareno u okvir od profilnog čelika, učvršćeno na uzdužne nosače vijčanom izvedbom. Sve antikorozivno zaštičeno vrućim cinčanjem. Sve kompletno izvedeno i montirano do funkcionalne gotovosti, uključujući sva sredstva za pričvrščivanje I ukrute.</t>
  </si>
  <si>
    <t>409.020.00110</t>
  </si>
  <si>
    <t>x..TU2..x - platforma HOWAL uređaja, konstrukcija</t>
  </si>
  <si>
    <t>POZ 301
Isporučiti i montirati nosivu vruće cinčanu čeličnu potkonstrukciju ventilacijskih uređaja HOWAL. Nosači antikorozivno zaštičeni vrućim cinčanjem. Sve kompletno izvedeno i montirano do funkcionalne gotovosti, uključujući sva sredstva za pričvrščivanje, ukrute, pločevine, zavare.
Kvaliteta čelika: S [235]
Čelična konstrukcija se sastoji od slijedečih elemenata:
[SHS 100x100x5mm]
[SHS 60x60x3mm]</t>
  </si>
  <si>
    <t>409.020.00115</t>
  </si>
  <si>
    <t>POZ 302
Isporučiti i montirati nosivu vruće cinčanu čeličnu potkonstrukciju ventilacijskih uređaja HOWAL. Nosači antikorozivno zaštičeni vrućim cinčanjem. Sve kompletno izvedeno i montirano do funkcionalne gotovosti, uključujući sva sredstva za pričvrščivanje, ukrute, pločevine, zavare.
Kvaliteta čelika: S [235]
Čelična konstrukcija se sastoji od slijedečih elemenata:
[SHS 100x100x5mm]</t>
  </si>
  <si>
    <t>409.020.00120</t>
  </si>
  <si>
    <t>POZ 303
Isporučiti i montirati nosivu vruće cinčanu čeličnu potkonstrukciju ventilacijskih uređaja HOWAL. Nosači antikorozivno zaštičeni vrućim cinčanjem. Sve kompletno izvedeno i montirano do funkcionalne gotovosti, uključujući sva sredstva za pričvrščivanje, ukrute, pločevine, zavare.
Kvaliteta čelika: S [235]
Čelična konstrukcija se sastoji od slijedečih elemenata:
[SHS 100x100x5mm]
[SHS 60x60x3mm]</t>
  </si>
  <si>
    <t>409.020.00125</t>
  </si>
  <si>
    <t>POZ 304
Isporučiti i montirati nosivu vruće cinčanu čeličnu potkonstrukciju ventilacijskih uređaja HOWAL. Nosači antikorozivno zaštičeni vrućim cinčanjem. Sve kompletno izvedeno i montirano do funkcionalne gotovosti, uključujući sva sredstva za pričvrščivanje, ukrute, pločevine, zavare.
Kvaliteta čelika: S [235]
Čelična konstrukcija se sastoji od slijedečih elemenata:
[SHS 100x100x5mm]</t>
  </si>
  <si>
    <t>409.020.00140</t>
  </si>
  <si>
    <t>x..TU3..x - platforma dizalice topline, konstrukcija</t>
  </si>
  <si>
    <t>POZ 306
Isporučiti i montirati čeličnu konstrukciju dizalice topline tlocrtnih dimenzija [0,80/1,20] m, visine [0,3] m mjereno od završne kote krova. Nosači antikorozivno zaštičeni vrućim cinčanjem. Sve kompletno izvedeno i montirano do funkcionalne gotovosti, uključujući sva sredstva za pričvrščivanje, ukrute, pločevine, zavare.
Kvaliteta čelika: S [235]
[SHS 60x60x3,2mm]
[UPE 140]</t>
  </si>
  <si>
    <t>409.020.00150</t>
  </si>
  <si>
    <t>POZ 307
Isporučiti i montirati čeličnu konstrukciju dizalice topline tlocrtnih dimenzija [0,80/1,20] m, visine [0,3] m mjereno od završne kote krova. Nosači antikorozivno zaštičeni vrućim cinčanjem. Sve kompletno izvedeno i montirano do funkcionalne gotovosti, uključujući sva sredstva za pričvrščivanje, ukrute, pločevine, zavare.
Kvaliteta čelika: S [235]
[SHS 60x60x3,2mm]
[UPE 140]</t>
  </si>
  <si>
    <t>409.020.00160</t>
  </si>
  <si>
    <t>POZ 308
Isporučiti i montirati čeličnu konstrukciju dizalice topline tlocrtnih dimenzija [0,80/3,15] m, visine [0,3] m mjereno od završne kote krova. Nosači antikorozivno zaštičeni vrućim cinčanjem. Sve kompletno izvedeno i montirano do funkcionalne gotovosti, uključujući sva sredstva za pričvrščivanje, ukrute, pločevine, zavare.
Kvaliteta čelika: S [235]
[SHS 60x60x3,2mm]
[UPE 140]</t>
  </si>
  <si>
    <t>409.020.00170</t>
  </si>
  <si>
    <t>POZ 309
Isporučiti i montirati čeličnu konstrukciju dizalice topline tlocrtnih dimenzija [0,80/3,7] m, visine [0,3] m mjereno od završne kote krova. Nosači antikorozivno zaštičeni vrućim cinčanjem. Sve kompletno izvedeno i montirano do funkcionalne gotovosti, uključujući sva sredstva za pričvrščivanje, ukrute, pločevine, zavare.
Kvaliteta čelika: S [235]
[SHS 60x60x3,2mm]
[UPE 140]</t>
  </si>
  <si>
    <t>409.020.00180</t>
  </si>
  <si>
    <t>x..TU3..x - platforma dizalice topline, hodna površina</t>
  </si>
  <si>
    <t>POZ 311
Dobava i postava hodne površine dizalice topline (uključivo i pristupno stubište) izvedene od protukliznih čeličnih rešetki širine mreže 30/30 mm, nosive šipke 40/3 mm, zavareno u okvir od profilnog čelika. Ugradnja okvira od L profila za nošenje rešetke uključeno u stavku. Sve antikorozivno zaštičeno vrućim cinčanjem. Sve kompletno izvedeno i montirano do funkcionalne gotovosti, uključujući sva sredstva za pričvrščivanje I ukrute.</t>
  </si>
  <si>
    <t>409.020.00185</t>
  </si>
  <si>
    <t>POZ 312
Isporučiti i montirati čeličnu konstrukciju dizalice topline tlocrtnih dimenzija [0,80/1,20] m, visine [0,3] m mjereno od završne kote krova. Nosači antikorozivno zaštičeni vrućim cinčanjem. Sve kompletno izvedeno i montirano do funkcionalne gotovosti, uključujući sva sredstva za pričvrščivanje, ukrute, pločevine, zavare.
Kvaliteta čelika: S [235]
[SHS 60x60x3,2mm]
[UPE 140]</t>
  </si>
  <si>
    <t>409.020.00195</t>
  </si>
  <si>
    <t>POZ 313
Isporučiti i montirati čeličnu konstrukciju dizalice topline tlocrtnih dimenzija [0,80/1,20] m, visine [0,3] m mjereno od završne kote krova. Nosači antikorozivno zaštičeni vrućim cinčanjem. Sve kompletno izvedeno i montirano do funkcionalne gotovosti, uključujući sva sredstva za pričvrščivanje, ukrute, pločevine, zavare.
Kvaliteta čelika: S [235]
[SHS 60x60x3,2mm]
[UPE 140]</t>
  </si>
  <si>
    <t>409.020.00205</t>
  </si>
  <si>
    <t>POZ 314
Isporučiti i montirati čeličnu konstrukciju dizalice topline tlocrtnih dimenzija [0,80/1,20] m, visine [0,3] m mjereno od završne kote krova. Nosači antikorozivno zaštičeni vrućim cinčanjem. Sve kompletno izvedeno i montirano do funkcionalne gotovosti, uključujući sva sredstva za pričvrščivanje, ukrute, pločevine, zavare.
Kvaliteta čelika: S [235]
[SHS 60x60x3,2mm]
[UPE 140]</t>
  </si>
  <si>
    <t>409.030</t>
  </si>
  <si>
    <t>Ograde i rukohvati</t>
  </si>
  <si>
    <t>409.030.00100</t>
  </si>
  <si>
    <t>x..IG1..x - ograda na betonskom stubištu</t>
  </si>
  <si>
    <t>POZ 208
Izraditi i montirati čeličnu ogradu na betonskom stubištu. Izvedba do gotove funkcionalnosti sa svim spojnim sredstvima, pločevinama.
Visina ograde: Visina ograde prema državnim propisima, ali ne manja od 1,0 m iznad podloge
Konstrukcija ograde: Okvir ograde od čeličnih cijevi sa zavarenim okruglim lukovima, promjera ca. 38 mm, s vertikalnim ispunama od okruglog čelika, promjera 12 mm, s razmakom od 110 mm između šipki, sa stupovima od čeličnih cijevi, promjera ca. 38 mm, s poklopcem i priključnom pločom, pričvršćen za bočnu stranu stepenica pomoću tipli, s grundiranom površinom
Rukohvat: od cijevi od nehrđajućeg čelika, s brušenom (granulacija 240) i četkanom površinom, promjera ca. 44 mm, sa zavarenim i brušenim spojevima, pričvršćenjem na bočnoj strani ograde pomoću kutnih elemenata od okruglih cijevi od nehrđajućeg čelika, s visinom rukohvata 0,85 m iznad podloge, kontinuiran bez prekida, s obrađenim krajevima, s opipljivim oznakama/natpisima naziva etaže
Boja ograde: temeljni premaz sa završnim slojem laka na bazi umjetne smole RAL 7016.</t>
  </si>
  <si>
    <t>409.040</t>
  </si>
  <si>
    <t>Nadstrešnice</t>
  </si>
  <si>
    <t>409.050</t>
  </si>
  <si>
    <t>409.050.00100</t>
  </si>
  <si>
    <t>x..RS7..x - čelični kut za zaštitu od udara</t>
  </si>
  <si>
    <t>Čelični kutni element, s profilom L80/80/6 mm, zaobljenim kutovima, pocninčan, u pojedinačnim dužinama od 2,0 m, kao zaštitu rubova za zidove i potpornje od zidanih elemenata ili armiranog betona, izraditi, isporučiti i pričvrstiti vijcima s upuštenom glavom.</t>
  </si>
  <si>
    <t>409.050.00105</t>
  </si>
  <si>
    <t>x..RS10..x - zaštitni stup za zaštitu od udaraca, pocinčani,</t>
  </si>
  <si>
    <t>Stup od okrugle cijevi, promjera ca. 101 mm, debljine 5 mm, s ispupčenom gornjom pločom, od pocinčanog čelika, kao zaštitu od udaraca, izraditi, isporučiti i montirati.
Visina: 900 mm iznad gotovog poda
Pričvršćivanje: Usidravanje u grubi pod bušenjem cilindričnih rupa, dubine ca. 150 - 200 mm. Spoj stupa i poda fugirati trajnoelastičnom masom svjetlosive boje.</t>
  </si>
  <si>
    <t>409.050.00110</t>
  </si>
  <si>
    <t>x..RS10, ..x - Stup za zaštitu od udaraca, pocinčani, sidreno pričvršćivanje, završni pod</t>
  </si>
  <si>
    <t>Stup od okrugle cijevi, promjera ca. 101 mm, debljine 5 mm, s ispupčenom gornjom pločom, od pocinčanog čelika, kao zaštitu od udaraca, izraditi, isporučiti i montirati.
Visina: 900 mm iznad gotovog poda
Pričvršćivanje: Usidravanje na gotovi pod pomoću zavarenog postolja, promjera 200 mm, debljine ca. 10 mm, sa sidrima i M12 vijcima s upuštenim glavama.</t>
  </si>
  <si>
    <t>409.050.00115</t>
  </si>
  <si>
    <t>x..RS10..x - zaštitni nosač protiv udaraca, nehrđajući čelik, čvrsta montaža</t>
  </si>
  <si>
    <t>Stup od okrugle cijevi, promjera ca. 101 mm, debljine 5 mm, s ispupčenom gornjom pločom, od nehrđajućeg čelika, s brušenom (granulacija 240) površinom, kao zaštitu od udaraca, izraditi, isporučiti i montirati.
Visina: 900 mm iznad gotovog poda
Pričvršćivanje: Usidravanje u grubi pod bušenjem cilindričnih rupa, dubine ca. 150 - 200 mm. Spoj stupa i poda fugirati trajnoelastičnom masom svjetlosive boje.</t>
  </si>
  <si>
    <t>409.050.00120</t>
  </si>
  <si>
    <t>x..RS16..x - nosivi zaštitni nosač, duljina 1,6 m, čvrsto učvršćenje</t>
  </si>
  <si>
    <t>Stremen od okruglih cijevi, promjera ca. 108 mm, debljine 4 mm, od pocinčanog čelika, kao zaštitu od udaraca, izraditi, isporučiti i montirati.
Dužina: 1,6 m
Visina: 0,4 m iznad gotovog poda
Pričvršćivanje: Usidravanje u grubi pod bušenjem cilindričnih rupa, dubine ca. 150 - 200 mm. Spoj stupa i poda fugirati trajnoelastičnom masom svjetlosive boje.</t>
  </si>
  <si>
    <t>409.050.00125</t>
  </si>
  <si>
    <t>x..RS21..x - Zaštita vrata o cjevastog okvira, dimenzija 2,2 / 2,5 m</t>
  </si>
  <si>
    <t>Cijevni okvir, od kvadratnih šupljih profila 100/100/4 mm, s priključcima na zid, pločama za pričvršćivanje i nošenje 200/200/6 mm, s držačem za magnete, od čelika, s grundiranom površinom, s pričvršćivanjem pomoću spojnog sidra i M12 vijaka s upuštenim glavama, kao zaštitu od udaraca, izraditi, isporučiti i montirati.
Dimenzije širine/visine: ca. 2,2/2,5 m, prilagođeno za svijetli prolaz kroz vrata, obuhvatno ca. 5 cm manje
Razmak od zida: do ca. 1,2 m</t>
  </si>
  <si>
    <t>409.050.00130</t>
  </si>
  <si>
    <t>x..MA5..x - stup od okrugle cijevi</t>
  </si>
  <si>
    <t>Stup od okrugle cijevi, promjera ca. 180-200 mm, debljine 2 mm, s družinom ca. 1.200 mm, sa zatvorenom gornjom pločom, od čelika, s pocinčanom površinom, s unutarnje strane ispunjen betonom, kao zaštitu od udaraca, izraditi, isporučiti i montirati.
Visina: 0,8 m iznad gotovog poda, dubina spajanja 0,4 m
Pričvršćivanje: betonirano i pomoću poprečnog trna usidreno u temelj na gradilištu</t>
  </si>
  <si>
    <t>409.050.00135</t>
  </si>
  <si>
    <t>- Zaštita hidranata  od cjevastog okvira, dimenzija Ø40mm</t>
  </si>
  <si>
    <t>Cijevni okvir, od kvadratnih šupljih profila Ø40 mm, stijenka 4mm, s priključcima na zid, , od čelika, s grundiranom površinom, s pričvršćivanjem pomoću spojnog sidra i M12 vijaka s upuštenim glavama, kao zaštitu od udaraca, izraditi, isporučiti i montirati.
Dimenzije širine/visine: Ø40 mm, stijenka 4mm
Boja: uzorak crno-žute kose crte kao znak upozorenja</t>
  </si>
  <si>
    <t>409.060</t>
  </si>
  <si>
    <t>Prozorske rešetke</t>
  </si>
  <si>
    <t>409.060.00100</t>
  </si>
  <si>
    <t>x..FGI1..x - rešetkasti elementi prozora, dimenzije 2,73  / 1,3 m</t>
  </si>
  <si>
    <t>POZ B50
Prozorska rešetka od kvadratnih okvira 40/40/4 mm, s unutarnjom rešetkom od okruglog čelika, promjera 12 mm, s horizontalnim razmakom od 100 mm između šipki i vertikalnim razmakom od 200 mm, sidro prekriveno pričvršćeno pomoću injekcijskih tipli, maks. razmak između sidara 500 mm, s vruće pocinčanim čeličnim dijelovima i elementima za pričvršćivanje, izraditi, isporučiti i montirati. njakon vrućeg cinčanja, lakirati u tonu po izboru investitora.
Dimenzije širine/visine: ca. 2,73/1,3 m, prilagođeno visini prozora</t>
  </si>
  <si>
    <t>409.060.00105</t>
  </si>
  <si>
    <t>x..FGI1..x - rešetkasti elementi prozora, dimenzije 1,46  / 1,77 m</t>
  </si>
  <si>
    <t>POZ B51
Prozorska rešetka od kvadratnih okvira 40/40/4 mm, s unutarnjom rešetkom od okruglog čelika, promjera 12 mm, s horizontalnim razmakom od 100 mm između šipki i vertikalnim razmakom od 200 mm, sidro prekriveno pričvršćeno pomoću injekcijskih tipli, maks. razmak između sidara 500 mm, s vruće pocinčanim čeličnim dijelovima i elementima za pričvršćivanje, izraditi, isporučiti i montirati. njakon vrućeg cinčanja, lakirati u tonu po izboru investitora.
Dimenzije širine/visine: ca. 1,47 / 1,77 m, prilagođeno visini prozora</t>
  </si>
  <si>
    <t>409.070</t>
  </si>
  <si>
    <t>Podkonstrukcije</t>
  </si>
  <si>
    <t>409.070.00100</t>
  </si>
  <si>
    <t>- čelična konstrukcija, premazana bojom</t>
  </si>
  <si>
    <t>POZ 401
Nosače od profilnog čelika, u različitim pojedinačnim dužinama, položene u ravnini trapeznih limova kao podkonstrukcija ili za vješanje konstrukcija na gradilištu, uklj. gornje ploče, potpornje, prirubnice, bušene rupe, zavarene spojeve, sredstva za pričvršćivanje i spajanje izraditi, isporučiti i montirati.
Građevinski čelik: S235 prema EN 10025
Površina: grundirana i obojana
Boja: sukladno Kauflandovoj paleti boja</t>
  </si>
  <si>
    <t>409.070.00105</t>
  </si>
  <si>
    <t>POZ 402
Nosače od profilnog čelika, u različitim pojedinačnim dužinama, položene u ravnini trapeznih limova kao podkonstrukcija ili za vješanje konstrukcija na gradilištu, uklj. gornje ploče, potpornje, prirubnice, bušene rupe, zavarene spojeve, sredstva za pričvršćivanje i spajanje izraditi, isporučiti i montirati.
Građevinski čelik: S235 prema EN 10025
Površina: grundirana i obojana
Boja: sukladno Kauflandovoj paleti boja</t>
  </si>
  <si>
    <t>409.070.00110</t>
  </si>
  <si>
    <t>POZ 403
Nosače od profilnog čelika, u različitim pojedinačnim dužinama i presjecima, položene u ravnini trapeznih limova kao podkonstrukcija ili za vješanje konstrukcija na gradilištu, uklj. gornje ploče, potpornje, prirubnice, bušene rupe, zavarene spojeve, sredstva za pričvršćivanje i spajanje izraditi, isporučiti i montirati.
Građevinski čelik: S235 prema EN 10025
Površina: grundirana i obojana
Boja: sukladno Kauflandovoj paleti boja</t>
  </si>
  <si>
    <t>409.070.00115</t>
  </si>
  <si>
    <t>POZ 404
Nosače od profilnog čelika, u različitim pojedinačnim dužinama i presjecima, položene u ravnini trapeznih limova kao podkonstrukcija ili za vješanje konstrukcija na gradilištu, uklj. gornje ploče, potpornje, prirubnice, bušene rupe, zavarene spojeve, sredstva za pričvršćivanje i spajanje izraditi, isporučiti i montirati.
Građevinski čelik: S235 prema EN 10025
Površina: grundirana i obojana
Boja: sukladno Kauflandovoj paleti boja</t>
  </si>
  <si>
    <t>409.070.00120</t>
  </si>
  <si>
    <t>POZ 405
Nosače od profilnog čelika, u različitim pojedinačnim dužinama i presjecima, položene u ravnini trapeznih limova kao podkonstrukcija ili za vješanje konstrukcija na gradilištu, uklj. gornje ploče, potpornje, prirubnice, bušene rupe, zavarene spojeve, sredstva za pričvršćivanje i spajanje izraditi, isporučiti i montirati.
Građevinski čelik: S235 prema EN 10025
Površina: grundirana i obojana
Boja: sukladno Kauflandovoj paleti boja</t>
  </si>
  <si>
    <t>409.070.00125</t>
  </si>
  <si>
    <t>POZ 406
Nosače od profilnog čelika, u različitim pojedinačnim dužinama i presjecima, položene u ravnini trapeznih limova kao podkonstrukcija ili za vješanje konstrukcija na gradilištu, uklj. gornje ploče, potpornje, prirubnice, bušene rupe, zavarene spojeve, sredstva za pričvršćivanje i spajanje izraditi, isporučiti i montirati.
Građevinski čelik: S235 prema EN 10025
Površina: grundirana i obojana
Boja: sukladno Kauflandovoj paleti boja</t>
  </si>
  <si>
    <t>409.070.00130</t>
  </si>
  <si>
    <t>POZ 501, POZ 502, POZ 503
Nosače od profilnog čelika, u različitim pojedinačnim dužinama i presjecima, položene u ravnini trapeznih limova kao podkonstrukcija ili za vješanje konstrukcija na gradilištu, uklj. gornje ploče, potpornje, prirubnice, bušene rupe, zavarene spojeve, sredstva za pričvršćivanje i spajanje izraditi, isporučiti i montirati.
Građevinski čelik: S235 prema EN 10025
Površina: grundirana i obojana
Boja: sukladno Kauflandovoj paleti boja</t>
  </si>
  <si>
    <t>409.070.00135</t>
  </si>
  <si>
    <t>POZ 504
Nosače od profilnog čelika, u različitim pojedinačnim dužinama i presjecima, položene u ravnini trapeznih limova kao podkonstrukcija ili za vješanje konstrukcija na gradilištu, uklj. gornje ploče, potpornje, prirubnice, bušene rupe, zavarene spojeve, sredstva za pričvršćivanje i spajanje izraditi, isporučiti i montirati.
Građevinski čelik: S235 prema EN 10025
Površina: grundirana i obojana
Boja: sukladno Kauflandovoj paleti boja</t>
  </si>
  <si>
    <t>409.070.00140</t>
  </si>
  <si>
    <t>POZ 505
Nosače od profilnog čelika, u različitim pojedinačnim dužinama i presjecima, položene u ravnini trapeznih limova kao podkonstrukcija ili za vješanje konstrukcija na gradilištu, uklj. gornje ploče, potpornje, prirubnice, bušene rupe, zavarene spojeve, sredstva za pričvršćivanje i spajanje izraditi, isporučiti i montirati.
Građevinski čelik: S235 prema EN 10025
Površina: grundirana i obojana
Boja: sukladno Kauflandovoj paleti boja</t>
  </si>
  <si>
    <t>409.070.00145</t>
  </si>
  <si>
    <t>POZ 101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</si>
  <si>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409.070.00150</t>
  </si>
  <si>
    <t>POZ 102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</si>
  <si>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409.070.00155</t>
  </si>
  <si>
    <t>POZ 103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</si>
  <si>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409.070.00160</t>
  </si>
  <si>
    <t>POZ 104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</si>
  <si>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409.070.00165</t>
  </si>
  <si>
    <t>POZ 105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</si>
  <si>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409.070.00170</t>
  </si>
  <si>
    <t>POZ 106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</si>
  <si>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409.070.00175</t>
  </si>
  <si>
    <t>POZ 107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</si>
  <si>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409.070.00180</t>
  </si>
  <si>
    <t>POZ 108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</si>
  <si>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409.070.00185</t>
  </si>
  <si>
    <t>POZ 109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</si>
  <si>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409.070.00190</t>
  </si>
  <si>
    <t>POZ 110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</si>
  <si>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409.070.00195</t>
  </si>
  <si>
    <t>POZ 111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</si>
  <si>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409.070.00200</t>
  </si>
  <si>
    <t>POZ 112
Nosače od profilnog čelika, u različitim pojedinačnim dužinama i presjecima,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</si>
  <si>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409.070.00205</t>
  </si>
  <si>
    <t>POZ 113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</si>
  <si>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409.070.00210</t>
  </si>
  <si>
    <t>POZ 114
Nosače od profilnog čelika, u različitim pojedinačnim dužinama i presjecima,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</si>
  <si>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409.070.00215</t>
  </si>
  <si>
    <t>POZ 115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</si>
  <si>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409.070.00220</t>
  </si>
  <si>
    <t>POZ 116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</si>
  <si>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409.070.00225</t>
  </si>
  <si>
    <t>POZ 117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</si>
  <si>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409.070.00230</t>
  </si>
  <si>
    <t>POZ 118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</si>
  <si>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409.070.00231</t>
  </si>
  <si>
    <t>POZ 120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</si>
  <si>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409.070.00236</t>
  </si>
  <si>
    <t>POZ 121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</si>
  <si>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409.070.00235</t>
  </si>
  <si>
    <t>POZ 122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</si>
  <si>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409.070.00240</t>
  </si>
  <si>
    <t>POZ 123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</si>
  <si>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409.070.00245</t>
  </si>
  <si>
    <t>POZ 124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</si>
  <si>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409.070.00250</t>
  </si>
  <si>
    <t>POZ 125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</si>
  <si>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409.070.00255</t>
  </si>
  <si>
    <t>POZ 126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</si>
  <si>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409.070.00260</t>
  </si>
  <si>
    <t>POZ 127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</si>
  <si>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409.070.00265</t>
  </si>
  <si>
    <t>POZ 128
Nosače od profilnog čelika, u različitim pojedinačnim dužinama i presjecima,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</si>
  <si>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409.070.00270</t>
  </si>
  <si>
    <t>POZ 129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</si>
  <si>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409.070.00275</t>
  </si>
  <si>
    <t>POZ 130
Nosače od profilnog čelika, u različitim pojedinačnim dužinama i presjecima, položene u ravninigipskartonskog zida kao podkonstrukcija otvora u zidu, uklj. gornje ploče, potpornje, prirubnice, bušene rupe, zavarene spojeve, sredstva za pričvršćivanje i spajanje izraditi, isporučiti i montirati.
Građevinski čelik: S235 prema EN 10025
Površina: premazana bojom</t>
  </si>
  <si>
    <t>409.070.00280</t>
  </si>
  <si>
    <t>POZ 131
Nosače od profilnog čelika, u različitim pojedinačnim dužinama i presjecima, položene u ravninigipskartonskog zida kao podkonstrukcija otvora u zidu, uklj. gornje ploče, potpornje, prirubnice, bušene rupe, zavarene spojeve, sredstva za pričvršćivanje i spajanje izraditi, isporučiti i montirati.
Građevinski čelik: S235 prema EN 10025
Površina: premazana bojom</t>
  </si>
  <si>
    <t>409.070.00285</t>
  </si>
  <si>
    <t>POZ 132
Nosače od profilnog čelika, u različitim pojedinačnim dužinama, položene u ravnini gipskartonskog zida kao podkonstrukcija otvora u zidu, uklj. gornje ploče, potpornje, prirubnice, bušene rupe, zavarene spojeve, sredstva za pričvršćivanje i spajanje izraditi, isporučiti i montirati.
Građevinski čelik: S235 prema EN 10025
Površina: premazana bojom</t>
  </si>
  <si>
    <t>409.070.00290</t>
  </si>
  <si>
    <t>POZ 133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</si>
  <si>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409.070.00295</t>
  </si>
  <si>
    <t>POZ 134
Nosače od profilnog čelika, u različitim pojedinačnim dužinama i presjecima, položene u ravnini protupožarnog gipskartonskog zida kao podkonstrukcija otvora, uklj. gornje ploče, potpornje, prirubnice, bušene rupe, zavarene spojeve, sredstva za pričvršćivanje i spajanje izraditi, isporučiti i montirati.
Čelična konstrukcija mora biti zaštićena premazima da zadovolji vatrootpornost 90 minuta.
Građevinski čelik: S235 prema EN 10025
Površina: premazana bojom</t>
  </si>
  <si>
    <t>409.070.00300</t>
  </si>
  <si>
    <t>POZ 135
Nosače od profilnog čelika, u različitim pojedinačnim dužinama i presjecima, položene u ravnini protupožarnog gipskartonskog zida kao podkonstrukcija otvora, uklj. gornje ploče, potpornje, prirubnice, bušene rupe, zavarene spojeve, sredstva za pričvršćivanje i spajanje izraditi, isporučiti i montirati.
Čelična konstrukcija mora biti zaštićena premazima da zadovolji vatrootpornost 90 minuta.
Građevinski čelik: S235 prema EN 10025
Površina: premazana bojom</t>
  </si>
  <si>
    <t>409.070.00305</t>
  </si>
  <si>
    <t>POZ 136
Nosače od profilnog čelika, u različitim pojedinačnim dužinama i presjecima, položene u ravnini protupožarnog gipskartonskog zida kao podkonstrukcija otvora, uklj. gornje ploče, potpornje, prirubnice, bušene rupe, zavarene spojeve, sredstva za pričvršćivanje i spajanje izraditi, isporučiti i montirati.
Čelična konstrukcija mora biti zaštićena premazima da zadovolji vatrootpornost 90 minuta.
Građevinski čelik: S235 prema EN 10025
Površina: premazana bojom</t>
  </si>
  <si>
    <t>409.070.00310</t>
  </si>
  <si>
    <t>POZ 137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</si>
  <si>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409.070.00315</t>
  </si>
  <si>
    <t>POZ 138
Nosače od profilnog čelika, u različitim pojedinačnim dužinama i presjecima, položene u ravnini protupožarnog gipskartonskog zida kao podkonstrukcija otvora, uklj. gornje ploče, potpornje, prirubnice, bušene rupe, zavarene spojeve, sredstva za pričvršćivanje i spajanje izraditi, isporučiti i montirati.
Čelična konstrukcija mora biti zaštićena premazima da zadovolji vatrootpornost 90 minuta.
Građevinski čelik: S235 prema EN 10025
Površina: premazana bojom</t>
  </si>
  <si>
    <t>409.070.00320</t>
  </si>
  <si>
    <t>POZ 702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</si>
  <si>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409.070.00325</t>
  </si>
  <si>
    <t>POZ 703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</si>
  <si>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409.070.00330</t>
  </si>
  <si>
    <t>POZ 704
Nosače od profilnog čelika, u različitim pojedinačnim dužinama, položene u ravnini fasadnih panela kao podkonstrukcija otvora u fasadi, uklj. gornje ploče, potpornje, prirubnice, bušene rupe, zavarene spojeve, sredstva za pričvršćivanje i spajanje izraditi, isporučiti i montirati.
Građevinski čelik: S235 prema EN 10025
Površina: premazana bojom</t>
  </si>
  <si>
    <t>704</t>
  </si>
  <si>
    <t>Reklame</t>
  </si>
  <si>
    <t>704.000</t>
  </si>
  <si>
    <t>Opseg usluga, sustavi za oglašavanje</t>
  </si>
  <si>
    <t>U sljedećim pozicijama potrebno je uzeti u obzir i uračunati sljedeće usluge, čak i ako nisu izričito navedene:
- Mjerenje i niveliranje usluga od zadanih mjernih točaka odnosno osi
- obojane limove i pravokutne dijelove za priključke, krajeve i prijelaze
- eventualna oštećenja na površini i / ili slojevima pravilno ukloniti
- potrebne podkonstrukcije i pojačanja
- sva sredstva za pričvršćivanje su trajno zaštićena od korozije
- Gotove zavarene šavove spremne za lakiranje
- Izoliranje kontaktnih površina kod moguće kontaktne korozije
- trajno elastične brtve na svim spojnim fugama prema graničnim elementima, uklj. ispunu fuga</t>
  </si>
  <si>
    <t>704.010</t>
  </si>
  <si>
    <t>Fasadne reklame</t>
  </si>
  <si>
    <t>704.010.00105</t>
  </si>
  <si>
    <t>x..UW1..x - potkonstrukcija logotipa fasade Kaufland</t>
  </si>
  <si>
    <t>POZ 701
Podkonstrukciju za Kauflandov fasadni logotip od profilnog čelika, čelične cijevi ili čelični puni profili u različitim pojedinačnim dužinama i presjecima, uklj. gornje ploče, prirubnice, bušene rupe, zavarene spojeve, sredstva za pričvršćivanje i spajanje izraditi, sistemske elemente kao što su sidra, zatezne brave, itd., izraditi, isporučiti i montirati.
Logotip se postavlja na dvije pozicije na krovu (stavka uključuje obje konstrukcije, a iskaz kilaže je ukupan za obje konstrukcije).
Građevinski čelik: S235 prema EN 10025
Površina: pocinčana, vidljivi dijelovi u boji lakirani bojom od umjetne smole
Boje: sukladno Kauflandovoj paleti boja</t>
  </si>
  <si>
    <t>704.020</t>
  </si>
  <si>
    <t>Reklamni panoi</t>
  </si>
  <si>
    <t>704.020.00100</t>
  </si>
  <si>
    <t>x..UW7..x - Podkonstrukcija za reklamne plakate velike površine, 5.000 x 3.500 mm</t>
  </si>
  <si>
    <t>Podkonstrukciju za velike reklamne plakate u okviru, dimenzija 5.000 / 3.500 mm izraditi, isporučiti i montirati na sljedeći način:
Čelična konstrukcija okvira od šupljih profila, ca. 50/50 mm, vruće pocinčana i premazana u RAL boji po odabiru Kauflanda, s rupama za pričvršćenje, veliki reklamni plakat ca. 10 mm.
Pričvršćenje konstrukcije okvira pomoću navojnih šipki, spoj pomoću tipli i vijaka M16 u nosivoj posudi betonskog sendvič zida, broj i razmak prema statičkim zahtjevima.
Montaža isporučenih velikih reklamnih plakata s okvirom i platnom s natpisom pomoću vijčanih spojeva na gore navedenu podkonstrukciju.</t>
  </si>
  <si>
    <t>704.040</t>
  </si>
  <si>
    <t>Reklamni piloni</t>
  </si>
  <si>
    <t>704.040.00100</t>
  </si>
  <si>
    <t>x..WA6..x - pilon Kaufland, visina 16 m</t>
  </si>
  <si>
    <t>POZ 601
Kaufland reklamni element kao pilon, visine 16 m, dimenzije svjetleće kutije 4/4 m, na sljedeći način izraditi, isporučiti, montirati i spojiti:
Svjetleća kutija u tehničkoj i konstrukcijskoj izvedbi kao Kauflandov fasadni logotip (WA1), 3 komada po pilonu, pričvršćene na donju konstrukciju.
Pilon stup od čeličnih cijevnih profila dimenzije [ Ø 711/10] mm, vruće pocinčan i lakiran s premazom i bojom od umjetne smole, RAL 7016 - boja antracita, otporna protiv ultraljubičastog zračenja, uklj. revizijske otvore sa zaključavanjem za elektro instalacije, pričvršćen na betonski temelj.
Podkonstrukcija za pričvršćenje svjetlećih kutija na pilon stup od čeličnih cijevnih profila, vruće pocinčana ukupne težine [ 6.000 ] kg.
Temelj od armiranog betona obrađen u zasebnoj stavci. Potrebne ugradbene dijelove za pričvršćenje pilona na temelj trebaju se predati odjeljku odgovornom za radove s betonom i armiranim betonom.</t>
  </si>
  <si>
    <t>31.03.2025.</t>
  </si>
  <si>
    <t>Prilog 4- Ugovorni troškovnik- TRIBE INŽENJERING d.o.o.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</si>
</sst>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quot;-&quot;#,##0.00\ &quot;€&quot;"/>
    <numFmt numFmtId="165" formatCode="_-* #,##0.00\ [$€-41A]_-;\-* #,##0.00\ [$€-41A]_-;_-* &quot;-&quot;??\ [$€-41A]_-;_-@_-"/>
  </numFmts>
  <fonts count="4" x14ac:knownFonts="1">
    <font>
      <sz val="11"/>
      <color theme="1"/>
      <name val="Calibri"/>
      <family val="2"/>
      <scheme val="minor"/>
    </font>
    <font>
      <b/>
      <sz val="16"/>
      <name val="Calibri"/>
      <family val="2"/>
      <charset val="238"/>
    </font>
    <font>
      <b/>
      <sz val="14"/>
      <name val="Calibri"/>
      <family val="2"/>
      <charset val="238"/>
    </font>
    <font>
      <b/>
      <sz val="11"/>
      <name val="Calibri"/>
      <family val="2"/>
      <charset val="238"/>
    </font>
  </fonts>
  <fills count="4">
    <fill>
      <patternFill patternType="none"/>
    </fill>
    <fill>
      <patternFill patternType="gray125"/>
    </fill>
    <fill>
      <patternFill patternType="solid">
        <fgColor rgb="FFFFFFFF"/>
      </patternFill>
    </fill>
    <fill>
      <patternFill patternType="solid">
        <fgColor rgb="FFE9EDF7"/>
      </patternFill>
    </fill>
  </fills>
  <borders count="4">
    <border>
      <left/>
      <right/>
      <top/>
      <bottom/>
      <diagonal/>
    </border>
    <border>
      <left/>
      <right/>
      <top style="medium">
        <color rgb="FF000000"/>
      </top>
      <bottom/>
      <diagonal/>
    </border>
    <border>
      <left/>
      <right/>
      <top/>
      <bottom style="thin">
        <color rgb="FF000000"/>
      </bottom>
      <diagonal/>
    </border>
    <border>
      <left style="thin">
        <color rgb="FF2451B2"/>
      </left>
      <right style="thin">
        <color rgb="FF2451B2"/>
      </right>
      <top style="thin">
        <color rgb="FF2451B2"/>
      </top>
      <bottom style="thin">
        <color rgb="FF2451B2"/>
      </bottom>
      <diagonal/>
    </border>
  </borders>
  <cellStyleXfs count="1">
    <xf numFmtId="0" fontId="0" fillId="0" borderId="0"/>
  </cellStyleXfs>
  <cellXfs count="24">
    <xf numFmtId="0" fontId="0" fillId="0" borderId="0" xfId="0"/>
    <xf numFmtId="0" fontId="0" fillId="2" borderId="0" xfId="0" applyFill="1"/>
    <xf numFmtId="0" fontId="1" fillId="2" borderId="0" xfId="0" applyFont="1" applyFill="1"/>
    <xf numFmtId="0" fontId="2" fillId="2" borderId="0" xfId="0" applyFont="1" applyFill="1"/>
    <xf numFmtId="0" fontId="0" fillId="2" borderId="1" xfId="0" applyFill="1" applyBorder="1"/>
    <xf numFmtId="0" fontId="2" fillId="2" borderId="2" xfId="0" applyFont="1" applyFill="1" applyBorder="1"/>
    <xf numFmtId="164" fontId="2" fillId="2" borderId="2" xfId="0" applyNumberFormat="1" applyFont="1" applyFill="1" applyBorder="1"/>
    <xf numFmtId="10" fontId="0" fillId="3" borderId="3" xfId="0" applyNumberFormat="1" applyFill="1" applyBorder="1"/>
    <xf numFmtId="164" fontId="0" fillId="0" borderId="0" xfId="0" applyNumberFormat="1"/>
    <xf numFmtId="0" fontId="0" fillId="3" borderId="3" xfId="0" applyFill="1" applyBorder="1"/>
    <xf numFmtId="0" fontId="3" fillId="2" borderId="2" xfId="0" applyFont="1" applyFill="1" applyBorder="1" applyAlignment="1">
      <alignment wrapText="1"/>
    </xf>
    <xf numFmtId="0" fontId="3" fillId="2" borderId="2" xfId="0" applyFont="1" applyFill="1" applyBorder="1" applyAlignment="1">
      <alignment horizontal="right"/>
    </xf>
    <xf numFmtId="0" fontId="3" fillId="0" borderId="0" xfId="0" applyFont="1" applyAlignment="1">
      <alignment wrapText="1"/>
    </xf>
    <xf numFmtId="164" fontId="3" fillId="0" borderId="0" xfId="0" applyNumberFormat="1" applyFont="1" applyAlignment="1">
      <alignment wrapText="1"/>
    </xf>
    <xf numFmtId="0" fontId="0" fillId="0" borderId="0" xfId="0" applyAlignment="1">
      <alignment wrapText="1"/>
    </xf>
    <xf numFmtId="164" fontId="0" fillId="3" borderId="3" xfId="0" applyNumberFormat="1" applyFill="1" applyBorder="1" applyAlignment="1">
      <alignment wrapText="1"/>
    </xf>
    <xf numFmtId="164" fontId="0" fillId="0" borderId="0" xfId="0" applyNumberFormat="1" applyAlignment="1">
      <alignment wrapText="1"/>
    </xf>
    <xf numFmtId="9" fontId="0" fillId="0" borderId="0" xfId="0" applyNumberFormat="1" applyAlignment="1">
      <alignment wrapText="1"/>
    </xf>
    <xf numFmtId="165" fontId="2" fillId="2" borderId="2" xfId="0" applyNumberFormat="1" applyFont="1" applyFill="1" applyBorder="1"/>
    <xf numFmtId="0" fontId="0" fillId="2" borderId="0" xfId="0" applyFill="1"/>
    <xf numFmtId="0" fontId="1" fillId="2" borderId="0" xfId="0" applyFont="1" applyFill="1"/>
    <xf numFmtId="14" fontId="0" fillId="2" borderId="0" xfId="0" applyNumberFormat="1" applyFill="1" applyAlignment="1">
      <alignment horizontal="left"/>
    </xf>
    <xf numFmtId="0" fontId="2" fillId="2" borderId="0" xfId="0" applyFont="1" applyFill="1"/>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155"/>
  <sheetViews>
    <sheetView tabSelected="1" zoomScale="70" zoomScaleNormal="70" workbookViewId="0">
      <selection activeCell="D27" sqref="D27"/>
    </sheetView>
  </sheetViews>
  <sheetFormatPr defaultRowHeight="15" x14ac:dyDescent="0.25"/>
  <cols>
    <col min="1" max="1" width="19" customWidth="1"/>
    <col min="2" max="2" width="12.7109375" customWidth="1"/>
    <col min="3" max="3" width="37.7109375" customWidth="1"/>
    <col min="4" max="4" width="61" customWidth="1"/>
    <col min="5" max="5" width="11" customWidth="1"/>
    <col min="6" max="6" width="5" customWidth="1"/>
    <col min="7" max="7" width="19" customWidth="1"/>
    <col min="8" max="10" width="22" customWidth="1"/>
    <col min="11" max="12" width="9" hidden="1" customWidth="1"/>
  </cols>
  <sheetData>
    <row r="1" spans="1:24" s="1" customFormat="1" x14ac:dyDescent="0.25">
      <c r="A1" s="19"/>
      <c r="B1" s="19"/>
      <c r="C1" s="19"/>
      <c r="D1" s="19"/>
      <c r="E1" s="19"/>
      <c r="F1" s="19"/>
      <c r="G1" s="19"/>
      <c r="H1" s="19"/>
      <c r="I1" s="19"/>
      <c r="J1" s="19"/>
      <c r="K1" s="19"/>
      <c r="L1" s="19"/>
      <c r="M1" s="19"/>
      <c r="N1" s="19"/>
      <c r="O1" s="19"/>
      <c r="P1" s="19"/>
      <c r="Q1" s="19"/>
      <c r="R1" s="19"/>
      <c r="S1" s="19"/>
      <c r="T1" s="19"/>
      <c r="U1" s="19"/>
      <c r="V1" s="19"/>
      <c r="W1" s="19"/>
      <c r="X1" s="19"/>
    </row>
    <row r="2" spans="1:24" s="2" customFormat="1" ht="21" x14ac:dyDescent="0.35">
      <c r="A2" s="20" t="s">
        <v>319</v>
      </c>
      <c r="B2" s="20"/>
      <c r="C2" s="20"/>
      <c r="D2" s="20"/>
      <c r="E2" s="20"/>
      <c r="F2" s="20"/>
      <c r="G2" s="20"/>
      <c r="H2" s="20"/>
      <c r="I2" s="20"/>
      <c r="J2" s="20"/>
      <c r="K2" s="20"/>
      <c r="L2" s="20"/>
      <c r="M2" s="20"/>
      <c r="N2" s="20"/>
      <c r="O2" s="20"/>
      <c r="P2" s="20"/>
      <c r="Q2" s="20"/>
      <c r="R2" s="20"/>
      <c r="S2" s="20"/>
      <c r="T2" s="20"/>
      <c r="U2" s="20"/>
      <c r="V2" s="20"/>
      <c r="W2" s="20"/>
      <c r="X2" s="20"/>
    </row>
    <row r="3" spans="1:24" s="1" customFormat="1" x14ac:dyDescent="0.25">
      <c r="A3" s="21" t="s">
        <v>318</v>
      </c>
      <c r="B3" s="21"/>
      <c r="C3" s="21"/>
      <c r="D3" s="21"/>
      <c r="E3" s="21"/>
      <c r="F3" s="21"/>
      <c r="G3" s="21"/>
      <c r="H3" s="21"/>
      <c r="I3" s="21"/>
      <c r="J3" s="21"/>
      <c r="K3" s="21"/>
      <c r="L3" s="21"/>
      <c r="M3" s="21"/>
      <c r="N3" s="21"/>
      <c r="O3" s="21"/>
      <c r="P3" s="21"/>
      <c r="Q3" s="21"/>
      <c r="R3" s="21"/>
      <c r="S3" s="21"/>
      <c r="T3" s="21"/>
      <c r="U3" s="21"/>
      <c r="V3" s="21"/>
      <c r="W3" s="21"/>
      <c r="X3" s="21"/>
    </row>
    <row r="4" spans="1:24" s="1" customFormat="1" x14ac:dyDescent="0.25">
      <c r="A4" s="19"/>
      <c r="B4" s="19"/>
      <c r="C4" s="19"/>
      <c r="D4" s="19"/>
      <c r="E4" s="19"/>
      <c r="F4" s="19"/>
      <c r="G4" s="19"/>
      <c r="H4" s="19"/>
      <c r="I4" s="19"/>
      <c r="J4" s="19"/>
      <c r="K4" s="19"/>
      <c r="L4" s="19"/>
      <c r="M4" s="19"/>
      <c r="N4" s="19"/>
      <c r="O4" s="19"/>
      <c r="P4" s="19"/>
      <c r="Q4" s="19"/>
      <c r="R4" s="19"/>
      <c r="S4" s="19"/>
      <c r="T4" s="19"/>
      <c r="U4" s="19"/>
      <c r="V4" s="19"/>
      <c r="W4" s="19"/>
      <c r="X4" s="19"/>
    </row>
    <row r="5" spans="1:24" s="3" customFormat="1" ht="18.75" x14ac:dyDescent="0.3">
      <c r="A5" s="22" t="s">
        <v>0</v>
      </c>
      <c r="B5" s="22"/>
      <c r="C5" s="22"/>
      <c r="D5" s="22"/>
      <c r="E5" s="22"/>
      <c r="F5" s="22"/>
      <c r="G5" s="22"/>
      <c r="H5" s="22"/>
      <c r="I5" s="22"/>
      <c r="J5" s="22"/>
      <c r="K5" s="22"/>
      <c r="L5" s="22"/>
      <c r="M5" s="22"/>
      <c r="N5" s="22"/>
      <c r="O5" s="22"/>
      <c r="P5" s="22"/>
      <c r="Q5" s="22"/>
      <c r="R5" s="22"/>
      <c r="S5" s="22"/>
      <c r="T5" s="22"/>
      <c r="U5" s="22"/>
      <c r="V5" s="22"/>
      <c r="W5" s="22"/>
      <c r="X5" s="22"/>
    </row>
    <row r="6" spans="1:24" s="1" customFormat="1" x14ac:dyDescent="0.25">
      <c r="A6" s="19" t="s">
        <v>1</v>
      </c>
      <c r="B6" s="19"/>
      <c r="C6" s="19"/>
      <c r="D6" s="19"/>
      <c r="E6" s="19"/>
      <c r="F6" s="19"/>
      <c r="G6" s="19"/>
      <c r="H6" s="19"/>
      <c r="I6" s="19"/>
      <c r="J6" s="19"/>
      <c r="K6" s="19"/>
      <c r="L6" s="19"/>
      <c r="M6" s="19"/>
      <c r="N6" s="19"/>
      <c r="O6" s="19"/>
      <c r="P6" s="19"/>
      <c r="Q6" s="19"/>
      <c r="R6" s="19"/>
      <c r="S6" s="19"/>
      <c r="T6" s="19"/>
      <c r="U6" s="19"/>
      <c r="V6" s="19"/>
      <c r="W6" s="19"/>
      <c r="X6" s="19"/>
    </row>
    <row r="7" spans="1:24" s="1" customFormat="1" x14ac:dyDescent="0.25">
      <c r="A7" s="19" t="s">
        <v>2</v>
      </c>
      <c r="B7" s="19"/>
      <c r="C7" s="19"/>
      <c r="D7" s="19"/>
      <c r="E7" s="19"/>
      <c r="F7" s="19"/>
      <c r="G7" s="19"/>
      <c r="H7" s="19"/>
      <c r="I7" s="19"/>
      <c r="J7" s="19"/>
      <c r="K7" s="19"/>
      <c r="L7" s="19"/>
      <c r="M7" s="19"/>
      <c r="N7" s="19"/>
      <c r="O7" s="19"/>
      <c r="P7" s="19"/>
      <c r="Q7" s="19"/>
      <c r="R7" s="19"/>
      <c r="S7" s="19"/>
      <c r="T7" s="19"/>
      <c r="U7" s="19"/>
      <c r="V7" s="19"/>
      <c r="W7" s="19"/>
      <c r="X7" s="19"/>
    </row>
    <row r="8" spans="1:24" s="1" customFormat="1" x14ac:dyDescent="0.25">
      <c r="A8" s="19"/>
      <c r="B8" s="19"/>
      <c r="C8" s="19"/>
      <c r="D8" s="19"/>
      <c r="E8" s="19"/>
      <c r="F8" s="19"/>
      <c r="G8" s="19"/>
      <c r="H8" s="19"/>
      <c r="I8" s="19"/>
      <c r="J8" s="19"/>
      <c r="K8" s="19"/>
      <c r="L8" s="19"/>
      <c r="M8" s="19"/>
      <c r="N8" s="19"/>
      <c r="O8" s="19"/>
      <c r="P8" s="19"/>
      <c r="Q8" s="19"/>
      <c r="R8" s="19"/>
      <c r="S8" s="19"/>
      <c r="T8" s="19"/>
      <c r="U8" s="19"/>
      <c r="V8" s="19"/>
      <c r="W8" s="19"/>
      <c r="X8" s="19"/>
    </row>
    <row r="9" spans="1:24" s="3" customFormat="1" ht="18.75" x14ac:dyDescent="0.3">
      <c r="A9" s="22" t="s">
        <v>3</v>
      </c>
      <c r="B9" s="22"/>
      <c r="C9" s="22"/>
      <c r="D9" s="22"/>
      <c r="E9" s="22"/>
      <c r="F9" s="22"/>
      <c r="G9" s="22"/>
      <c r="H9" s="22"/>
      <c r="I9" s="22"/>
      <c r="J9" s="22"/>
      <c r="K9" s="22"/>
      <c r="L9" s="22"/>
      <c r="M9" s="22"/>
      <c r="N9" s="22"/>
      <c r="O9" s="22"/>
      <c r="P9" s="22"/>
      <c r="Q9" s="22"/>
      <c r="R9" s="22"/>
      <c r="S9" s="22"/>
      <c r="T9" s="22"/>
      <c r="U9" s="22"/>
      <c r="V9" s="22"/>
      <c r="W9" s="22"/>
      <c r="X9" s="22"/>
    </row>
    <row r="10" spans="1:24" s="1" customFormat="1" x14ac:dyDescent="0.25">
      <c r="A10" s="19" t="s">
        <v>4</v>
      </c>
      <c r="B10" s="19"/>
      <c r="C10" s="19"/>
      <c r="D10" s="19"/>
      <c r="E10" s="19"/>
      <c r="F10" s="19"/>
      <c r="G10" s="19"/>
      <c r="H10" s="19"/>
      <c r="I10" s="19"/>
      <c r="J10" s="19"/>
      <c r="K10" s="19"/>
      <c r="L10" s="19"/>
      <c r="M10" s="19"/>
      <c r="N10" s="19"/>
      <c r="O10" s="19"/>
      <c r="P10" s="19"/>
      <c r="Q10" s="19"/>
      <c r="R10" s="19"/>
      <c r="S10" s="19"/>
      <c r="T10" s="19"/>
      <c r="U10" s="19"/>
      <c r="V10" s="19"/>
      <c r="W10" s="19"/>
      <c r="X10" s="19"/>
    </row>
    <row r="11" spans="1:24" s="3" customFormat="1" ht="18.75" x14ac:dyDescent="0.3">
      <c r="A11" s="22"/>
      <c r="B11" s="22"/>
      <c r="C11" s="22"/>
      <c r="D11" s="22"/>
      <c r="E11" s="22"/>
      <c r="F11" s="22"/>
      <c r="G11" s="22"/>
      <c r="H11" s="22"/>
      <c r="I11" s="22"/>
      <c r="J11" s="22"/>
      <c r="K11" s="22"/>
      <c r="L11" s="22"/>
      <c r="M11" s="22"/>
      <c r="N11" s="22"/>
      <c r="O11" s="22"/>
      <c r="P11" s="22"/>
      <c r="Q11" s="22"/>
      <c r="R11" s="22"/>
      <c r="S11" s="22"/>
      <c r="T11" s="22"/>
      <c r="U11" s="22"/>
      <c r="V11" s="22"/>
      <c r="W11" s="22"/>
      <c r="X11" s="22"/>
    </row>
    <row r="12" spans="1:24" s="1" customFormat="1" x14ac:dyDescent="0.25">
      <c r="A12" s="19"/>
      <c r="B12" s="19"/>
      <c r="C12" s="19"/>
      <c r="D12" s="19"/>
      <c r="E12" s="19"/>
      <c r="F12" s="19"/>
      <c r="G12" s="19"/>
      <c r="H12" s="19"/>
      <c r="I12" s="19"/>
      <c r="J12" s="19"/>
      <c r="K12" s="19"/>
      <c r="L12" s="19"/>
      <c r="M12" s="19"/>
      <c r="N12" s="19"/>
      <c r="O12" s="19"/>
      <c r="P12" s="19"/>
      <c r="Q12" s="19"/>
      <c r="R12" s="19"/>
      <c r="S12" s="19"/>
      <c r="T12" s="19"/>
      <c r="U12" s="19"/>
      <c r="V12" s="19"/>
      <c r="W12" s="19"/>
      <c r="X12" s="19"/>
    </row>
    <row r="13" spans="1:24" s="4" customFormat="1"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row>
    <row r="14" spans="1:24" s="5" customFormat="1" ht="18.75" x14ac:dyDescent="0.3">
      <c r="C14" s="5" t="s">
        <v>5</v>
      </c>
      <c r="H14" s="18">
        <f>H25+H35+H38+H51+H146</f>
        <v>438500.16000000003</v>
      </c>
      <c r="J14" s="6" t="e">
        <f>SUM(#REF!,#REF!,#REF!,#REF!,#REF!,#REF!,#REF!,#REF!,#REF!,#REF!,#REF!,#REF!,#REF!,#REF!,#REF!,#REF!,H25,#REF!,#REF!,#REF!,#REF!,H38,#REF!,#REF!,#REF!,#REF!,#REF!,#REF!,#REF!,#REF!,#REF!,#REF!,#REF!,#REF!,#REF!,#REF!,#REF!,#REF!,H51,#REF!,#REF!,#REF!,#REF!,#REF!,#REF!,#REF!,#REF!,#REF!,#REF!,#REF!,#REF!,#REF!,#REF!,#REF!,H146,#REF!)</f>
        <v>#REF!</v>
      </c>
    </row>
    <row r="15" spans="1:24" x14ac:dyDescent="0.25">
      <c r="C15" t="s">
        <v>6</v>
      </c>
      <c r="D15" s="7">
        <v>0</v>
      </c>
      <c r="J15" s="8" t="e">
        <f>SUM(J14, -J16)</f>
        <v>#REF!</v>
      </c>
    </row>
    <row r="16" spans="1:24" x14ac:dyDescent="0.25">
      <c r="C16" t="s">
        <v>7</v>
      </c>
      <c r="J16" s="8" t="e">
        <f>IF(ISBLANK(D15),J14,ROUND(PRODUCT(J14, SUM(1, -D15)), 2))</f>
        <v>#REF!</v>
      </c>
    </row>
    <row r="17" spans="1:24" x14ac:dyDescent="0.25">
      <c r="C17" t="s">
        <v>8</v>
      </c>
      <c r="D17" s="7">
        <v>0</v>
      </c>
      <c r="J17" s="8" t="e">
        <f>IF(ISBLANK(D17),0,ROUND(PRODUCT(J16, D17), 2))</f>
        <v>#REF!</v>
      </c>
    </row>
    <row r="18" spans="1:24" x14ac:dyDescent="0.25">
      <c r="C18" t="s">
        <v>9</v>
      </c>
      <c r="J18" s="8" t="e">
        <f>SUM(J16,J17)</f>
        <v>#REF!</v>
      </c>
    </row>
    <row r="19" spans="1:24" x14ac:dyDescent="0.25">
      <c r="C19" t="s">
        <v>10</v>
      </c>
      <c r="D19" s="7">
        <v>0</v>
      </c>
      <c r="E19" s="9">
        <v>0</v>
      </c>
      <c r="J19" s="8" t="e">
        <f>SUM(J18, -J20)</f>
        <v>#REF!</v>
      </c>
    </row>
    <row r="20" spans="1:24" x14ac:dyDescent="0.25">
      <c r="C20" t="s">
        <v>11</v>
      </c>
      <c r="J20" s="8" t="e">
        <f>IF(ISBLANK(D19),J18,ROUND(PRODUCT(J18, SUM(1, -D19)), 2))</f>
        <v>#REF!</v>
      </c>
    </row>
    <row r="22" spans="1:24" s="4" customFormat="1"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row>
    <row r="23" spans="1:24" s="10" customFormat="1" ht="45" x14ac:dyDescent="0.25">
      <c r="A23" s="10" t="s">
        <v>12</v>
      </c>
      <c r="B23" s="10" t="s">
        <v>13</v>
      </c>
      <c r="C23" s="10" t="s">
        <v>14</v>
      </c>
      <c r="D23" s="10" t="s">
        <v>15</v>
      </c>
      <c r="E23" s="11" t="s">
        <v>16</v>
      </c>
      <c r="F23" s="10" t="s">
        <v>17</v>
      </c>
      <c r="G23" s="11" t="s">
        <v>18</v>
      </c>
      <c r="H23" s="11" t="s">
        <v>19</v>
      </c>
      <c r="I23" s="11" t="s">
        <v>20</v>
      </c>
      <c r="J23" s="11" t="s">
        <v>9</v>
      </c>
      <c r="K23" s="10" t="s">
        <v>21</v>
      </c>
    </row>
    <row r="25" spans="1:24" s="12" customFormat="1" x14ac:dyDescent="0.25">
      <c r="A25" s="12" t="s">
        <v>31</v>
      </c>
      <c r="C25" s="12" t="s">
        <v>32</v>
      </c>
      <c r="H25" s="13">
        <f>SUM(H26,H29,)</f>
        <v>131018.58</v>
      </c>
      <c r="J25" s="13" t="e">
        <f>SUM(J26,J29,#REF!,#REF!,#REF!,#REF!,#REF!)</f>
        <v>#REF!</v>
      </c>
    </row>
    <row r="26" spans="1:24" s="12" customFormat="1" x14ac:dyDescent="0.25">
      <c r="A26" s="12" t="s">
        <v>33</v>
      </c>
      <c r="C26" s="12" t="s">
        <v>27</v>
      </c>
      <c r="H26" s="13">
        <v>0</v>
      </c>
      <c r="J26" s="13">
        <v>0</v>
      </c>
    </row>
    <row r="27" spans="1:24" s="14" customFormat="1" ht="409.5" x14ac:dyDescent="0.25">
      <c r="C27" s="14" t="s">
        <v>22</v>
      </c>
      <c r="D27" s="14" t="s">
        <v>23</v>
      </c>
      <c r="K27" s="14" t="s">
        <v>24</v>
      </c>
    </row>
    <row r="28" spans="1:24" s="14" customFormat="1" ht="90" x14ac:dyDescent="0.25">
      <c r="C28" s="14" t="s">
        <v>34</v>
      </c>
      <c r="D28" s="14" t="s">
        <v>35</v>
      </c>
      <c r="K28" s="14" t="s">
        <v>24</v>
      </c>
    </row>
    <row r="29" spans="1:24" s="12" customFormat="1" x14ac:dyDescent="0.25">
      <c r="A29" s="12" t="s">
        <v>36</v>
      </c>
      <c r="C29" s="12" t="s">
        <v>37</v>
      </c>
      <c r="H29" s="13">
        <f>SUM(H30,H31,H32,H33,H34,)</f>
        <v>131018.58</v>
      </c>
      <c r="J29" s="13" t="e">
        <f>SUM(J30,J31,J32,J33,J34,#REF!)</f>
        <v>#REF!</v>
      </c>
    </row>
    <row r="30" spans="1:24" s="14" customFormat="1" ht="135" x14ac:dyDescent="0.25">
      <c r="A30" s="14" t="s">
        <v>38</v>
      </c>
      <c r="B30" s="14" t="s">
        <v>24</v>
      </c>
      <c r="C30" s="14" t="s">
        <v>39</v>
      </c>
      <c r="D30" s="14" t="s">
        <v>40</v>
      </c>
      <c r="E30" s="14">
        <v>4375</v>
      </c>
      <c r="F30" s="14" t="s">
        <v>28</v>
      </c>
      <c r="G30" s="15">
        <v>19</v>
      </c>
      <c r="H30" s="16">
        <f t="shared" ref="H30:H34" si="0">IF(AND(ISNUMBER(E30),ISNUMBER(G30)),ROUND(PRODUCT(PRODUCT(E30, G30), 1 - L30), 2),"")</f>
        <v>83125</v>
      </c>
      <c r="I30" s="17">
        <v>0</v>
      </c>
      <c r="J30" s="16">
        <f t="shared" ref="J30:J34" si="1">IF(AND(ISNUMBER(H30)),ROUND(PRODUCT(H30, SUM(I30,"1")), 2),"")</f>
        <v>83125</v>
      </c>
      <c r="K30" s="14" t="s">
        <v>24</v>
      </c>
      <c r="L30" s="14">
        <v>0</v>
      </c>
    </row>
    <row r="31" spans="1:24" s="14" customFormat="1" ht="195" x14ac:dyDescent="0.25">
      <c r="A31" s="14" t="s">
        <v>41</v>
      </c>
      <c r="B31" s="14" t="s">
        <v>24</v>
      </c>
      <c r="C31" s="14" t="s">
        <v>42</v>
      </c>
      <c r="D31" s="14" t="s">
        <v>43</v>
      </c>
      <c r="E31" s="14">
        <v>4375</v>
      </c>
      <c r="F31" s="14" t="s">
        <v>28</v>
      </c>
      <c r="G31" s="15">
        <v>9</v>
      </c>
      <c r="H31" s="16">
        <f t="shared" si="0"/>
        <v>39375</v>
      </c>
      <c r="I31" s="17">
        <v>0</v>
      </c>
      <c r="J31" s="16">
        <f t="shared" si="1"/>
        <v>39375</v>
      </c>
      <c r="K31" s="14" t="s">
        <v>24</v>
      </c>
      <c r="L31" s="14">
        <v>0</v>
      </c>
    </row>
    <row r="32" spans="1:24" s="14" customFormat="1" ht="75" x14ac:dyDescent="0.25">
      <c r="A32" s="14" t="s">
        <v>44</v>
      </c>
      <c r="B32" s="14" t="s">
        <v>24</v>
      </c>
      <c r="C32" s="14" t="s">
        <v>45</v>
      </c>
      <c r="D32" s="14" t="s">
        <v>46</v>
      </c>
      <c r="E32" s="14">
        <v>340</v>
      </c>
      <c r="F32" s="14" t="s">
        <v>30</v>
      </c>
      <c r="G32" s="15">
        <v>20.186756185631641</v>
      </c>
      <c r="H32" s="16">
        <f t="shared" si="0"/>
        <v>6863.5</v>
      </c>
      <c r="I32" s="17">
        <v>0</v>
      </c>
      <c r="J32" s="16">
        <f t="shared" si="1"/>
        <v>6863.5</v>
      </c>
      <c r="K32" s="14" t="s">
        <v>24</v>
      </c>
      <c r="L32" s="14">
        <v>0</v>
      </c>
    </row>
    <row r="33" spans="1:12" s="14" customFormat="1" ht="165" x14ac:dyDescent="0.25">
      <c r="A33" s="14" t="s">
        <v>47</v>
      </c>
      <c r="B33" s="14" t="s">
        <v>24</v>
      </c>
      <c r="C33" s="14" t="s">
        <v>48</v>
      </c>
      <c r="D33" s="14" t="s">
        <v>49</v>
      </c>
      <c r="E33" s="14">
        <v>30</v>
      </c>
      <c r="F33" s="14" t="s">
        <v>25</v>
      </c>
      <c r="G33" s="15">
        <v>37.615459038167586</v>
      </c>
      <c r="H33" s="16">
        <f t="shared" si="0"/>
        <v>1128.46</v>
      </c>
      <c r="I33" s="17">
        <v>0</v>
      </c>
      <c r="J33" s="16">
        <f t="shared" si="1"/>
        <v>1128.46</v>
      </c>
      <c r="K33" s="14" t="s">
        <v>24</v>
      </c>
      <c r="L33" s="14">
        <v>0</v>
      </c>
    </row>
    <row r="34" spans="1:12" s="14" customFormat="1" ht="135" x14ac:dyDescent="0.25">
      <c r="A34" s="14" t="s">
        <v>50</v>
      </c>
      <c r="B34" s="14" t="s">
        <v>24</v>
      </c>
      <c r="C34" s="14" t="s">
        <v>51</v>
      </c>
      <c r="D34" s="14" t="s">
        <v>52</v>
      </c>
      <c r="E34" s="14">
        <v>14</v>
      </c>
      <c r="F34" s="14" t="s">
        <v>25</v>
      </c>
      <c r="G34" s="15">
        <v>37.615459038167586</v>
      </c>
      <c r="H34" s="16">
        <f t="shared" si="0"/>
        <v>526.62</v>
      </c>
      <c r="I34" s="17">
        <v>0</v>
      </c>
      <c r="J34" s="16">
        <f t="shared" si="1"/>
        <v>526.62</v>
      </c>
      <c r="K34" s="14" t="s">
        <v>24</v>
      </c>
      <c r="L34" s="14">
        <v>0</v>
      </c>
    </row>
    <row r="35" spans="1:12" s="12" customFormat="1" x14ac:dyDescent="0.25">
      <c r="A35" s="12" t="s">
        <v>53</v>
      </c>
      <c r="C35" s="12" t="s">
        <v>54</v>
      </c>
      <c r="H35" s="13">
        <f>SUM(H36,H37)</f>
        <v>9230</v>
      </c>
      <c r="J35" s="13" t="e">
        <f>SUM(J36,J37,#REF!)</f>
        <v>#REF!</v>
      </c>
    </row>
    <row r="36" spans="1:12" s="14" customFormat="1" ht="135" x14ac:dyDescent="0.25">
      <c r="A36" s="14" t="s">
        <v>55</v>
      </c>
      <c r="B36" s="14" t="s">
        <v>24</v>
      </c>
      <c r="C36" s="14" t="s">
        <v>56</v>
      </c>
      <c r="D36" s="14" t="s">
        <v>57</v>
      </c>
      <c r="E36" s="14">
        <v>32</v>
      </c>
      <c r="F36" s="14" t="s">
        <v>25</v>
      </c>
      <c r="G36" s="15">
        <v>145</v>
      </c>
      <c r="H36" s="16">
        <f>IF(AND(ISNUMBER(E36),ISNUMBER(G36)),ROUND(PRODUCT(PRODUCT(E36, G36), 1 - L36), 2),"")</f>
        <v>4640</v>
      </c>
      <c r="I36" s="17">
        <v>0</v>
      </c>
      <c r="J36" s="16">
        <f>IF(AND(ISNUMBER(H36)),ROUND(PRODUCT(H36, SUM(I36,"1")), 2),"")</f>
        <v>4640</v>
      </c>
      <c r="K36" s="14" t="s">
        <v>24</v>
      </c>
      <c r="L36" s="14">
        <v>0</v>
      </c>
    </row>
    <row r="37" spans="1:12" s="14" customFormat="1" ht="180" x14ac:dyDescent="0.25">
      <c r="A37" s="14" t="s">
        <v>58</v>
      </c>
      <c r="B37" s="14" t="s">
        <v>24</v>
      </c>
      <c r="C37" s="14" t="s">
        <v>59</v>
      </c>
      <c r="D37" s="14" t="s">
        <v>60</v>
      </c>
      <c r="E37" s="14">
        <v>306</v>
      </c>
      <c r="F37" s="14" t="s">
        <v>26</v>
      </c>
      <c r="G37" s="15">
        <v>15</v>
      </c>
      <c r="H37" s="16">
        <f>IF(AND(ISNUMBER(E37),ISNUMBER(G37)),ROUND(PRODUCT(PRODUCT(E37, G37), 1 - L37), 2),"")</f>
        <v>4590</v>
      </c>
      <c r="I37" s="17">
        <v>0</v>
      </c>
      <c r="J37" s="16">
        <f>IF(AND(ISNUMBER(H37)),ROUND(PRODUCT(H37, SUM(I37,"1")), 2),"")</f>
        <v>4590</v>
      </c>
      <c r="K37" s="14" t="s">
        <v>24</v>
      </c>
      <c r="L37" s="14">
        <v>0</v>
      </c>
    </row>
    <row r="38" spans="1:12" s="12" customFormat="1" x14ac:dyDescent="0.25">
      <c r="A38" s="12" t="s">
        <v>61</v>
      </c>
      <c r="C38" s="12" t="s">
        <v>62</v>
      </c>
      <c r="H38" s="13">
        <f>SUM(H39,H42,H43,)</f>
        <v>166477.46000000002</v>
      </c>
      <c r="J38" s="13" t="e">
        <f>SUM(J39,J42,J43,#REF!,#REF!,#REF!,#REF!)</f>
        <v>#REF!</v>
      </c>
    </row>
    <row r="39" spans="1:12" s="12" customFormat="1" x14ac:dyDescent="0.25">
      <c r="A39" s="12" t="s">
        <v>63</v>
      </c>
      <c r="C39" s="12" t="s">
        <v>27</v>
      </c>
      <c r="H39" s="13">
        <v>0</v>
      </c>
      <c r="J39" s="13">
        <v>0</v>
      </c>
    </row>
    <row r="40" spans="1:12" s="14" customFormat="1" ht="409.5" x14ac:dyDescent="0.25">
      <c r="C40" s="14" t="s">
        <v>22</v>
      </c>
      <c r="D40" s="14" t="s">
        <v>23</v>
      </c>
      <c r="K40" s="14" t="s">
        <v>24</v>
      </c>
    </row>
    <row r="41" spans="1:12" s="14" customFormat="1" ht="210" x14ac:dyDescent="0.25">
      <c r="C41" s="14" t="s">
        <v>64</v>
      </c>
      <c r="D41" s="14" t="s">
        <v>65</v>
      </c>
      <c r="K41" s="14" t="s">
        <v>24</v>
      </c>
    </row>
    <row r="42" spans="1:12" s="12" customFormat="1" x14ac:dyDescent="0.25">
      <c r="A42" s="12" t="s">
        <v>66</v>
      </c>
      <c r="C42" s="12" t="s">
        <v>67</v>
      </c>
      <c r="H42" s="13">
        <v>0</v>
      </c>
      <c r="J42" s="13">
        <v>0</v>
      </c>
    </row>
    <row r="43" spans="1:12" s="12" customFormat="1" x14ac:dyDescent="0.25">
      <c r="A43" s="12" t="s">
        <v>68</v>
      </c>
      <c r="C43" s="12" t="s">
        <v>69</v>
      </c>
      <c r="H43" s="13">
        <f>SUM(H46,H47,H48,H49,H50)</f>
        <v>166477.46000000002</v>
      </c>
      <c r="J43" s="13">
        <f>SUM(J46,J47,J48,J49,J50)</f>
        <v>166477.46000000002</v>
      </c>
    </row>
    <row r="44" spans="1:12" s="14" customFormat="1" ht="409.5" x14ac:dyDescent="0.25">
      <c r="C44" s="14" t="s">
        <v>70</v>
      </c>
      <c r="D44" s="14" t="s">
        <v>71</v>
      </c>
      <c r="K44" s="14" t="s">
        <v>24</v>
      </c>
    </row>
    <row r="45" spans="1:12" s="14" customFormat="1" ht="409.5" x14ac:dyDescent="0.25">
      <c r="C45" s="14" t="s">
        <v>72</v>
      </c>
      <c r="D45" s="14" t="s">
        <v>73</v>
      </c>
      <c r="K45" s="14" t="s">
        <v>24</v>
      </c>
    </row>
    <row r="46" spans="1:12" s="14" customFormat="1" ht="409.5" x14ac:dyDescent="0.25">
      <c r="A46" s="14" t="s">
        <v>74</v>
      </c>
      <c r="B46" s="14" t="s">
        <v>24</v>
      </c>
      <c r="C46" s="14" t="s">
        <v>72</v>
      </c>
      <c r="D46" s="14" t="s">
        <v>75</v>
      </c>
      <c r="E46" s="14">
        <v>1510</v>
      </c>
      <c r="F46" s="14" t="s">
        <v>28</v>
      </c>
      <c r="G46" s="15">
        <v>69.686934118547427</v>
      </c>
      <c r="H46" s="16">
        <f>IF(AND(ISNUMBER(E46),ISNUMBER(G46)),ROUND(PRODUCT(PRODUCT(E46, G46), 1 - L46), 2),"")</f>
        <v>105227.27</v>
      </c>
      <c r="I46" s="17">
        <v>0</v>
      </c>
      <c r="J46" s="16">
        <f>IF(AND(ISNUMBER(H46)),ROUND(PRODUCT(H46, SUM(I46,"1")), 2),"")</f>
        <v>105227.27</v>
      </c>
      <c r="K46" s="14" t="s">
        <v>24</v>
      </c>
      <c r="L46" s="14">
        <v>0</v>
      </c>
    </row>
    <row r="47" spans="1:12" s="14" customFormat="1" ht="120" x14ac:dyDescent="0.25">
      <c r="A47" s="14" t="s">
        <v>76</v>
      </c>
      <c r="B47" s="14" t="s">
        <v>24</v>
      </c>
      <c r="C47" s="14" t="s">
        <v>77</v>
      </c>
      <c r="D47" s="14" t="s">
        <v>78</v>
      </c>
      <c r="E47" s="14">
        <v>335</v>
      </c>
      <c r="F47" s="14" t="s">
        <v>28</v>
      </c>
      <c r="G47" s="15">
        <v>72.030425147581468</v>
      </c>
      <c r="H47" s="16">
        <f>IF(AND(ISNUMBER(E47),ISNUMBER(G47)),ROUND(PRODUCT(PRODUCT(E47, G47), 1 - L47), 2),"")</f>
        <v>24130.19</v>
      </c>
      <c r="I47" s="17">
        <v>0</v>
      </c>
      <c r="J47" s="16">
        <f>IF(AND(ISNUMBER(H47)),ROUND(PRODUCT(H47, SUM(I47,"1")), 2),"")</f>
        <v>24130.19</v>
      </c>
      <c r="K47" s="14" t="s">
        <v>24</v>
      </c>
      <c r="L47" s="14">
        <v>0</v>
      </c>
    </row>
    <row r="48" spans="1:12" s="14" customFormat="1" ht="210" x14ac:dyDescent="0.25">
      <c r="A48" s="14" t="s">
        <v>79</v>
      </c>
      <c r="B48" s="14" t="s">
        <v>24</v>
      </c>
      <c r="C48" s="14" t="s">
        <v>80</v>
      </c>
      <c r="D48" s="14" t="s">
        <v>81</v>
      </c>
      <c r="E48" s="14">
        <v>344</v>
      </c>
      <c r="F48" s="14" t="s">
        <v>26</v>
      </c>
      <c r="G48" s="15">
        <v>35</v>
      </c>
      <c r="H48" s="16">
        <f>IF(AND(ISNUMBER(E48),ISNUMBER(G48)),ROUND(PRODUCT(PRODUCT(E48, G48), 1 - L48), 2),"")</f>
        <v>12040</v>
      </c>
      <c r="I48" s="17">
        <v>0</v>
      </c>
      <c r="J48" s="16">
        <f>IF(AND(ISNUMBER(H48)),ROUND(PRODUCT(H48, SUM(I48,"1")), 2),"")</f>
        <v>12040</v>
      </c>
      <c r="K48" s="14" t="s">
        <v>24</v>
      </c>
      <c r="L48" s="14">
        <v>0</v>
      </c>
    </row>
    <row r="49" spans="1:12" s="14" customFormat="1" ht="225" x14ac:dyDescent="0.25">
      <c r="A49" s="14" t="s">
        <v>82</v>
      </c>
      <c r="B49" s="14" t="s">
        <v>24</v>
      </c>
      <c r="C49" s="14" t="s">
        <v>83</v>
      </c>
      <c r="D49" s="14" t="s">
        <v>84</v>
      </c>
      <c r="E49" s="14">
        <v>288</v>
      </c>
      <c r="F49" s="14" t="s">
        <v>26</v>
      </c>
      <c r="G49" s="15">
        <v>35</v>
      </c>
      <c r="H49" s="16">
        <f>IF(AND(ISNUMBER(E49),ISNUMBER(G49)),ROUND(PRODUCT(PRODUCT(E49, G49), 1 - L49), 2),"")</f>
        <v>10080</v>
      </c>
      <c r="I49" s="17">
        <v>0</v>
      </c>
      <c r="J49" s="16">
        <f>IF(AND(ISNUMBER(H49)),ROUND(PRODUCT(H49, SUM(I49,"1")), 2),"")</f>
        <v>10080</v>
      </c>
      <c r="K49" s="14" t="s">
        <v>24</v>
      </c>
      <c r="L49" s="14">
        <v>0</v>
      </c>
    </row>
    <row r="50" spans="1:12" s="14" customFormat="1" ht="330" x14ac:dyDescent="0.25">
      <c r="A50" s="14" t="s">
        <v>85</v>
      </c>
      <c r="B50" s="14" t="s">
        <v>24</v>
      </c>
      <c r="C50" s="14" t="s">
        <v>86</v>
      </c>
      <c r="D50" s="14" t="s">
        <v>87</v>
      </c>
      <c r="E50" s="14">
        <v>250</v>
      </c>
      <c r="F50" s="14" t="s">
        <v>26</v>
      </c>
      <c r="G50" s="15">
        <v>60</v>
      </c>
      <c r="H50" s="16">
        <f>IF(AND(ISNUMBER(E50),ISNUMBER(G50)),ROUND(PRODUCT(PRODUCT(E50, G50), 1 - L50), 2),"")</f>
        <v>15000</v>
      </c>
      <c r="I50" s="17">
        <v>0</v>
      </c>
      <c r="J50" s="16">
        <f>IF(AND(ISNUMBER(H50)),ROUND(PRODUCT(H50, SUM(I50,"1")), 2),"")</f>
        <v>15000</v>
      </c>
      <c r="K50" s="14" t="s">
        <v>24</v>
      </c>
      <c r="L50" s="14">
        <v>0</v>
      </c>
    </row>
    <row r="51" spans="1:12" s="12" customFormat="1" x14ac:dyDescent="0.25">
      <c r="A51" s="12" t="s">
        <v>89</v>
      </c>
      <c r="C51" s="12" t="s">
        <v>90</v>
      </c>
      <c r="H51" s="13">
        <f>SUM(H52,H55,H66,H81,H83,H84,H93,H96)</f>
        <v>116824.4</v>
      </c>
      <c r="J51" s="13" t="e">
        <f>SUM(J52,J55,J66,J81,J83,J84,J93,J96,#REF!)</f>
        <v>#REF!</v>
      </c>
    </row>
    <row r="52" spans="1:12" s="12" customFormat="1" x14ac:dyDescent="0.25">
      <c r="A52" s="12" t="s">
        <v>91</v>
      </c>
      <c r="C52" s="12" t="s">
        <v>27</v>
      </c>
      <c r="H52" s="13">
        <v>0</v>
      </c>
      <c r="J52" s="13">
        <v>0</v>
      </c>
    </row>
    <row r="53" spans="1:12" s="14" customFormat="1" ht="409.5" x14ac:dyDescent="0.25">
      <c r="C53" s="14" t="s">
        <v>22</v>
      </c>
      <c r="D53" s="14" t="s">
        <v>23</v>
      </c>
      <c r="K53" s="14" t="s">
        <v>24</v>
      </c>
    </row>
    <row r="54" spans="1:12" s="14" customFormat="1" ht="330" x14ac:dyDescent="0.25">
      <c r="C54" s="14" t="s">
        <v>92</v>
      </c>
      <c r="D54" s="14" t="s">
        <v>93</v>
      </c>
      <c r="K54" s="14" t="s">
        <v>24</v>
      </c>
    </row>
    <row r="55" spans="1:12" s="12" customFormat="1" x14ac:dyDescent="0.25">
      <c r="A55" s="12" t="s">
        <v>94</v>
      </c>
      <c r="C55" s="12" t="s">
        <v>95</v>
      </c>
      <c r="H55" s="13">
        <f>SUM(H56,H57,H58,H59,H60,H61,H62,H63,H64,H65)</f>
        <v>8779</v>
      </c>
      <c r="J55" s="13">
        <f>SUM(J56,J57,J58,J59,J60,J61,J62,J63,J64,J65)</f>
        <v>8779</v>
      </c>
    </row>
    <row r="56" spans="1:12" s="14" customFormat="1" ht="150" x14ac:dyDescent="0.25">
      <c r="A56" s="14" t="s">
        <v>96</v>
      </c>
      <c r="B56" s="14" t="s">
        <v>24</v>
      </c>
      <c r="C56" s="14" t="s">
        <v>97</v>
      </c>
      <c r="D56" s="14" t="s">
        <v>98</v>
      </c>
      <c r="E56" s="14">
        <v>285</v>
      </c>
      <c r="F56" s="14" t="s">
        <v>29</v>
      </c>
      <c r="G56" s="15">
        <v>3.8596559848864489</v>
      </c>
      <c r="H56" s="16">
        <f t="shared" ref="H56:H65" si="2">IF(AND(ISNUMBER(E56),ISNUMBER(G56)),ROUND(PRODUCT(PRODUCT(E56, G56), 1 - L56), 2),"")</f>
        <v>1100</v>
      </c>
      <c r="I56" s="17">
        <v>0</v>
      </c>
      <c r="J56" s="16">
        <f t="shared" ref="J56:J65" si="3">IF(AND(ISNUMBER(H56)),ROUND(PRODUCT(H56, SUM(I56,"1")), 2),"")</f>
        <v>1100</v>
      </c>
      <c r="K56" s="14" t="s">
        <v>24</v>
      </c>
      <c r="L56" s="14">
        <v>0</v>
      </c>
    </row>
    <row r="57" spans="1:12" s="14" customFormat="1" ht="165" x14ac:dyDescent="0.25">
      <c r="A57" s="14" t="s">
        <v>99</v>
      </c>
      <c r="B57" s="14" t="s">
        <v>24</v>
      </c>
      <c r="C57" s="14" t="s">
        <v>100</v>
      </c>
      <c r="D57" s="14" t="s">
        <v>101</v>
      </c>
      <c r="E57" s="14">
        <v>4</v>
      </c>
      <c r="F57" s="14" t="s">
        <v>28</v>
      </c>
      <c r="G57" s="15">
        <v>160</v>
      </c>
      <c r="H57" s="16">
        <f t="shared" si="2"/>
        <v>640</v>
      </c>
      <c r="I57" s="17">
        <v>0</v>
      </c>
      <c r="J57" s="16">
        <f t="shared" si="3"/>
        <v>640</v>
      </c>
      <c r="K57" s="14" t="s">
        <v>24</v>
      </c>
      <c r="L57" s="14">
        <v>0</v>
      </c>
    </row>
    <row r="58" spans="1:12" s="14" customFormat="1" ht="135" x14ac:dyDescent="0.25">
      <c r="A58" s="14" t="s">
        <v>102</v>
      </c>
      <c r="B58" s="14" t="s">
        <v>24</v>
      </c>
      <c r="C58" s="14" t="s">
        <v>103</v>
      </c>
      <c r="D58" s="14" t="s">
        <v>104</v>
      </c>
      <c r="E58" s="14">
        <v>4.5999999999999996</v>
      </c>
      <c r="F58" s="14" t="s">
        <v>26</v>
      </c>
      <c r="G58" s="15">
        <v>140</v>
      </c>
      <c r="H58" s="16">
        <f t="shared" si="2"/>
        <v>644</v>
      </c>
      <c r="I58" s="17">
        <v>0</v>
      </c>
      <c r="J58" s="16">
        <f t="shared" si="3"/>
        <v>644</v>
      </c>
      <c r="K58" s="14" t="s">
        <v>24</v>
      </c>
      <c r="L58" s="14">
        <v>0</v>
      </c>
    </row>
    <row r="59" spans="1:12" s="14" customFormat="1" ht="180" x14ac:dyDescent="0.25">
      <c r="A59" s="14" t="s">
        <v>105</v>
      </c>
      <c r="B59" s="14" t="s">
        <v>24</v>
      </c>
      <c r="C59" s="14" t="s">
        <v>106</v>
      </c>
      <c r="D59" s="14" t="s">
        <v>107</v>
      </c>
      <c r="E59" s="14">
        <v>5.5</v>
      </c>
      <c r="F59" s="14" t="s">
        <v>26</v>
      </c>
      <c r="G59" s="15">
        <v>250</v>
      </c>
      <c r="H59" s="16">
        <f t="shared" si="2"/>
        <v>1375</v>
      </c>
      <c r="I59" s="17">
        <v>0</v>
      </c>
      <c r="J59" s="16">
        <f t="shared" si="3"/>
        <v>1375</v>
      </c>
      <c r="K59" s="14" t="s">
        <v>24</v>
      </c>
      <c r="L59" s="14">
        <v>0</v>
      </c>
    </row>
    <row r="60" spans="1:12" s="14" customFormat="1" ht="150" x14ac:dyDescent="0.25">
      <c r="A60" s="14" t="s">
        <v>108</v>
      </c>
      <c r="B60" s="14" t="s">
        <v>24</v>
      </c>
      <c r="C60" s="14" t="s">
        <v>106</v>
      </c>
      <c r="D60" s="14" t="s">
        <v>109</v>
      </c>
      <c r="E60" s="14">
        <v>4</v>
      </c>
      <c r="F60" s="14" t="s">
        <v>26</v>
      </c>
      <c r="G60" s="15">
        <v>250</v>
      </c>
      <c r="H60" s="16">
        <f t="shared" si="2"/>
        <v>1000</v>
      </c>
      <c r="I60" s="17">
        <v>0</v>
      </c>
      <c r="J60" s="16">
        <f t="shared" si="3"/>
        <v>1000</v>
      </c>
      <c r="K60" s="14" t="s">
        <v>24</v>
      </c>
      <c r="L60" s="14">
        <v>0</v>
      </c>
    </row>
    <row r="61" spans="1:12" s="14" customFormat="1" ht="150" x14ac:dyDescent="0.25">
      <c r="A61" s="14" t="s">
        <v>110</v>
      </c>
      <c r="B61" s="14" t="s">
        <v>24</v>
      </c>
      <c r="C61" s="14" t="s">
        <v>106</v>
      </c>
      <c r="D61" s="14" t="s">
        <v>111</v>
      </c>
      <c r="E61" s="14">
        <v>4</v>
      </c>
      <c r="F61" s="14" t="s">
        <v>26</v>
      </c>
      <c r="G61" s="15">
        <v>250</v>
      </c>
      <c r="H61" s="16">
        <f t="shared" si="2"/>
        <v>1000</v>
      </c>
      <c r="I61" s="17">
        <v>0</v>
      </c>
      <c r="J61" s="16">
        <f t="shared" si="3"/>
        <v>1000</v>
      </c>
      <c r="K61" s="14" t="s">
        <v>24</v>
      </c>
      <c r="L61" s="14">
        <v>0</v>
      </c>
    </row>
    <row r="62" spans="1:12" s="14" customFormat="1" ht="90" x14ac:dyDescent="0.25">
      <c r="A62" s="14" t="s">
        <v>112</v>
      </c>
      <c r="B62" s="14" t="s">
        <v>24</v>
      </c>
      <c r="C62" s="14" t="s">
        <v>106</v>
      </c>
      <c r="D62" s="14" t="s">
        <v>113</v>
      </c>
      <c r="E62" s="14">
        <v>1</v>
      </c>
      <c r="F62" s="14" t="s">
        <v>25</v>
      </c>
      <c r="G62" s="15">
        <v>1400</v>
      </c>
      <c r="H62" s="16">
        <f t="shared" si="2"/>
        <v>1400</v>
      </c>
      <c r="I62" s="17">
        <v>0</v>
      </c>
      <c r="J62" s="16">
        <f t="shared" si="3"/>
        <v>1400</v>
      </c>
      <c r="K62" s="14" t="s">
        <v>24</v>
      </c>
      <c r="L62" s="14">
        <v>0</v>
      </c>
    </row>
    <row r="63" spans="1:12" s="14" customFormat="1" ht="135" x14ac:dyDescent="0.25">
      <c r="A63" s="14" t="s">
        <v>114</v>
      </c>
      <c r="B63" s="14" t="s">
        <v>24</v>
      </c>
      <c r="C63" s="14" t="s">
        <v>106</v>
      </c>
      <c r="D63" s="14" t="s">
        <v>115</v>
      </c>
      <c r="E63" s="14">
        <v>7</v>
      </c>
      <c r="F63" s="14" t="s">
        <v>26</v>
      </c>
      <c r="G63" s="15">
        <v>150</v>
      </c>
      <c r="H63" s="16">
        <f t="shared" si="2"/>
        <v>1050</v>
      </c>
      <c r="I63" s="17">
        <v>0</v>
      </c>
      <c r="J63" s="16">
        <f t="shared" si="3"/>
        <v>1050</v>
      </c>
      <c r="K63" s="14" t="s">
        <v>24</v>
      </c>
      <c r="L63" s="14">
        <v>0</v>
      </c>
    </row>
    <row r="64" spans="1:12" s="14" customFormat="1" ht="30" x14ac:dyDescent="0.25">
      <c r="A64" s="14" t="s">
        <v>116</v>
      </c>
      <c r="B64" s="14" t="s">
        <v>24</v>
      </c>
      <c r="C64" s="14" t="s">
        <v>117</v>
      </c>
      <c r="D64" s="14" t="s">
        <v>118</v>
      </c>
      <c r="E64" s="14">
        <v>3</v>
      </c>
      <c r="F64" s="14" t="s">
        <v>26</v>
      </c>
      <c r="G64" s="15">
        <v>130</v>
      </c>
      <c r="H64" s="16">
        <f t="shared" si="2"/>
        <v>390</v>
      </c>
      <c r="I64" s="17">
        <v>0</v>
      </c>
      <c r="J64" s="16">
        <f t="shared" si="3"/>
        <v>390</v>
      </c>
      <c r="K64" s="14" t="s">
        <v>24</v>
      </c>
      <c r="L64" s="14">
        <v>0</v>
      </c>
    </row>
    <row r="65" spans="1:12" s="14" customFormat="1" ht="30" x14ac:dyDescent="0.25">
      <c r="A65" s="14" t="s">
        <v>119</v>
      </c>
      <c r="B65" s="14" t="s">
        <v>24</v>
      </c>
      <c r="C65" s="14" t="s">
        <v>120</v>
      </c>
      <c r="D65" s="14" t="s">
        <v>121</v>
      </c>
      <c r="E65" s="14">
        <v>1</v>
      </c>
      <c r="F65" s="14" t="s">
        <v>25</v>
      </c>
      <c r="G65" s="15">
        <v>180</v>
      </c>
      <c r="H65" s="16">
        <f t="shared" si="2"/>
        <v>180</v>
      </c>
      <c r="I65" s="17">
        <v>0</v>
      </c>
      <c r="J65" s="16">
        <f t="shared" si="3"/>
        <v>180</v>
      </c>
      <c r="K65" s="14" t="s">
        <v>24</v>
      </c>
      <c r="L65" s="14">
        <v>0</v>
      </c>
    </row>
    <row r="66" spans="1:12" s="12" customFormat="1" x14ac:dyDescent="0.25">
      <c r="A66" s="12" t="s">
        <v>122</v>
      </c>
      <c r="C66" s="12" t="s">
        <v>123</v>
      </c>
      <c r="H66" s="13">
        <f>SUM(H67,H68,H69,H70,H71,H72,H73,H74,H75,H76,H77,H78,H79,H80)</f>
        <v>23622.47</v>
      </c>
      <c r="J66" s="13">
        <f>SUM(J67,J68,J69,J70,J71,J72,J73,J74,J75,J76,J77,J78,J79,J80)</f>
        <v>23622.47</v>
      </c>
    </row>
    <row r="67" spans="1:12" s="14" customFormat="1" ht="409.5" x14ac:dyDescent="0.25">
      <c r="A67" s="14" t="s">
        <v>124</v>
      </c>
      <c r="B67" s="14" t="s">
        <v>24</v>
      </c>
      <c r="C67" s="14" t="s">
        <v>125</v>
      </c>
      <c r="D67" s="14" t="s">
        <v>126</v>
      </c>
      <c r="E67" s="14">
        <v>2748</v>
      </c>
      <c r="F67" s="14" t="s">
        <v>29</v>
      </c>
      <c r="G67" s="15">
        <v>3.6438317918825467</v>
      </c>
      <c r="H67" s="16">
        <f t="shared" ref="H67:H80" si="4">IF(AND(ISNUMBER(E67),ISNUMBER(G67)),ROUND(PRODUCT(PRODUCT(E67, G67), 1 - L67), 2),"")</f>
        <v>10013.25</v>
      </c>
      <c r="I67" s="17">
        <v>0</v>
      </c>
      <c r="J67" s="16">
        <f t="shared" ref="J67:J80" si="5">IF(AND(ISNUMBER(H67)),ROUND(PRODUCT(H67, SUM(I67,"1")), 2),"")</f>
        <v>10013.25</v>
      </c>
      <c r="K67" s="14" t="s">
        <v>24</v>
      </c>
      <c r="L67" s="14">
        <v>0</v>
      </c>
    </row>
    <row r="68" spans="1:12" s="14" customFormat="1" ht="120" x14ac:dyDescent="0.25">
      <c r="A68" s="14" t="s">
        <v>127</v>
      </c>
      <c r="B68" s="14" t="s">
        <v>24</v>
      </c>
      <c r="C68" s="14" t="s">
        <v>128</v>
      </c>
      <c r="D68" s="14" t="s">
        <v>129</v>
      </c>
      <c r="E68" s="14">
        <v>36</v>
      </c>
      <c r="F68" s="14" t="s">
        <v>28</v>
      </c>
      <c r="G68" s="15">
        <v>160</v>
      </c>
      <c r="H68" s="16">
        <f t="shared" si="4"/>
        <v>5760</v>
      </c>
      <c r="I68" s="17">
        <v>0</v>
      </c>
      <c r="J68" s="16">
        <f t="shared" si="5"/>
        <v>5760</v>
      </c>
      <c r="K68" s="14" t="s">
        <v>24</v>
      </c>
      <c r="L68" s="14">
        <v>0</v>
      </c>
    </row>
    <row r="69" spans="1:12" s="14" customFormat="1" ht="165" x14ac:dyDescent="0.25">
      <c r="A69" s="14" t="s">
        <v>130</v>
      </c>
      <c r="B69" s="14" t="s">
        <v>24</v>
      </c>
      <c r="C69" s="14" t="s">
        <v>131</v>
      </c>
      <c r="D69" s="14" t="s">
        <v>132</v>
      </c>
      <c r="E69" s="14">
        <v>345</v>
      </c>
      <c r="F69" s="14" t="s">
        <v>29</v>
      </c>
      <c r="G69" s="15">
        <v>3.3677566783317223</v>
      </c>
      <c r="H69" s="16">
        <f t="shared" si="4"/>
        <v>1161.8800000000001</v>
      </c>
      <c r="I69" s="17">
        <v>0</v>
      </c>
      <c r="J69" s="16">
        <f t="shared" si="5"/>
        <v>1161.8800000000001</v>
      </c>
      <c r="K69" s="14" t="s">
        <v>24</v>
      </c>
      <c r="L69" s="14">
        <v>0</v>
      </c>
    </row>
    <row r="70" spans="1:12" s="14" customFormat="1" ht="150" x14ac:dyDescent="0.25">
      <c r="A70" s="14" t="s">
        <v>133</v>
      </c>
      <c r="B70" s="14" t="s">
        <v>24</v>
      </c>
      <c r="C70" s="14" t="s">
        <v>131</v>
      </c>
      <c r="D70" s="14" t="s">
        <v>134</v>
      </c>
      <c r="E70" s="14">
        <v>280</v>
      </c>
      <c r="F70" s="14" t="s">
        <v>29</v>
      </c>
      <c r="G70" s="15">
        <v>3.6438317918825467</v>
      </c>
      <c r="H70" s="16">
        <f t="shared" si="4"/>
        <v>1020.27</v>
      </c>
      <c r="I70" s="17">
        <v>0</v>
      </c>
      <c r="J70" s="16">
        <f t="shared" si="5"/>
        <v>1020.27</v>
      </c>
      <c r="K70" s="14" t="s">
        <v>24</v>
      </c>
      <c r="L70" s="14">
        <v>0</v>
      </c>
    </row>
    <row r="71" spans="1:12" s="14" customFormat="1" ht="165" x14ac:dyDescent="0.25">
      <c r="A71" s="14" t="s">
        <v>135</v>
      </c>
      <c r="B71" s="14" t="s">
        <v>24</v>
      </c>
      <c r="C71" s="14" t="s">
        <v>131</v>
      </c>
      <c r="D71" s="14" t="s">
        <v>136</v>
      </c>
      <c r="E71" s="14">
        <v>345</v>
      </c>
      <c r="F71" s="14" t="s">
        <v>29</v>
      </c>
      <c r="G71" s="15">
        <v>3.6438317918825467</v>
      </c>
      <c r="H71" s="16">
        <f t="shared" si="4"/>
        <v>1257.1199999999999</v>
      </c>
      <c r="I71" s="17">
        <v>0</v>
      </c>
      <c r="J71" s="16">
        <f t="shared" si="5"/>
        <v>1257.1199999999999</v>
      </c>
      <c r="K71" s="14" t="s">
        <v>24</v>
      </c>
      <c r="L71" s="14">
        <v>0</v>
      </c>
    </row>
    <row r="72" spans="1:12" s="14" customFormat="1" ht="150" x14ac:dyDescent="0.25">
      <c r="A72" s="14" t="s">
        <v>137</v>
      </c>
      <c r="B72" s="14" t="s">
        <v>24</v>
      </c>
      <c r="C72" s="14" t="s">
        <v>131</v>
      </c>
      <c r="D72" s="14" t="s">
        <v>138</v>
      </c>
      <c r="E72" s="14">
        <v>280</v>
      </c>
      <c r="F72" s="14" t="s">
        <v>29</v>
      </c>
      <c r="G72" s="15">
        <v>3.6438317918825467</v>
      </c>
      <c r="H72" s="16">
        <f t="shared" si="4"/>
        <v>1020.27</v>
      </c>
      <c r="I72" s="17">
        <v>0</v>
      </c>
      <c r="J72" s="16">
        <f t="shared" si="5"/>
        <v>1020.27</v>
      </c>
      <c r="K72" s="14" t="s">
        <v>24</v>
      </c>
      <c r="L72" s="14">
        <v>0</v>
      </c>
    </row>
    <row r="73" spans="1:12" s="14" customFormat="1" ht="165" x14ac:dyDescent="0.25">
      <c r="A73" s="14" t="s">
        <v>139</v>
      </c>
      <c r="B73" s="14" t="s">
        <v>24</v>
      </c>
      <c r="C73" s="14" t="s">
        <v>140</v>
      </c>
      <c r="D73" s="14" t="s">
        <v>141</v>
      </c>
      <c r="E73" s="14">
        <v>210</v>
      </c>
      <c r="F73" s="14" t="s">
        <v>29</v>
      </c>
      <c r="G73" s="15">
        <v>3.6438317918825467</v>
      </c>
      <c r="H73" s="16">
        <f t="shared" si="4"/>
        <v>765.2</v>
      </c>
      <c r="I73" s="17">
        <v>0</v>
      </c>
      <c r="J73" s="16">
        <f t="shared" si="5"/>
        <v>765.2</v>
      </c>
      <c r="K73" s="14" t="s">
        <v>24</v>
      </c>
      <c r="L73" s="14">
        <v>0</v>
      </c>
    </row>
    <row r="74" spans="1:12" s="14" customFormat="1" ht="165" x14ac:dyDescent="0.25">
      <c r="A74" s="14" t="s">
        <v>142</v>
      </c>
      <c r="B74" s="14" t="s">
        <v>24</v>
      </c>
      <c r="C74" s="14" t="s">
        <v>140</v>
      </c>
      <c r="D74" s="14" t="s">
        <v>143</v>
      </c>
      <c r="E74" s="14">
        <v>95</v>
      </c>
      <c r="F74" s="14" t="s">
        <v>29</v>
      </c>
      <c r="G74" s="15">
        <v>3.64</v>
      </c>
      <c r="H74" s="16">
        <f t="shared" si="4"/>
        <v>345.8</v>
      </c>
      <c r="I74" s="17">
        <v>0</v>
      </c>
      <c r="J74" s="16">
        <f t="shared" si="5"/>
        <v>345.8</v>
      </c>
      <c r="K74" s="14" t="s">
        <v>24</v>
      </c>
      <c r="L74" s="14">
        <v>0</v>
      </c>
    </row>
    <row r="75" spans="1:12" s="14" customFormat="1" ht="165" x14ac:dyDescent="0.25">
      <c r="A75" s="14" t="s">
        <v>144</v>
      </c>
      <c r="B75" s="14" t="s">
        <v>24</v>
      </c>
      <c r="C75" s="14" t="s">
        <v>140</v>
      </c>
      <c r="D75" s="14" t="s">
        <v>145</v>
      </c>
      <c r="E75" s="14">
        <v>95</v>
      </c>
      <c r="F75" s="14" t="s">
        <v>29</v>
      </c>
      <c r="G75" s="15">
        <v>3.6438317918825467</v>
      </c>
      <c r="H75" s="16">
        <f t="shared" si="4"/>
        <v>346.16</v>
      </c>
      <c r="I75" s="17">
        <v>0</v>
      </c>
      <c r="J75" s="16">
        <f t="shared" si="5"/>
        <v>346.16</v>
      </c>
      <c r="K75" s="14" t="s">
        <v>24</v>
      </c>
      <c r="L75" s="14">
        <v>0</v>
      </c>
    </row>
    <row r="76" spans="1:12" s="14" customFormat="1" ht="165" x14ac:dyDescent="0.25">
      <c r="A76" s="14" t="s">
        <v>146</v>
      </c>
      <c r="B76" s="14" t="s">
        <v>24</v>
      </c>
      <c r="C76" s="14" t="s">
        <v>140</v>
      </c>
      <c r="D76" s="14" t="s">
        <v>147</v>
      </c>
      <c r="E76" s="14">
        <v>210</v>
      </c>
      <c r="F76" s="14" t="s">
        <v>29</v>
      </c>
      <c r="G76" s="15">
        <v>3.64</v>
      </c>
      <c r="H76" s="16">
        <f t="shared" si="4"/>
        <v>764.4</v>
      </c>
      <c r="I76" s="17">
        <v>0</v>
      </c>
      <c r="J76" s="16">
        <f t="shared" si="5"/>
        <v>764.4</v>
      </c>
      <c r="K76" s="14" t="s">
        <v>24</v>
      </c>
      <c r="L76" s="14">
        <v>0</v>
      </c>
    </row>
    <row r="77" spans="1:12" s="14" customFormat="1" ht="120" x14ac:dyDescent="0.25">
      <c r="A77" s="14" t="s">
        <v>148</v>
      </c>
      <c r="B77" s="14" t="s">
        <v>24</v>
      </c>
      <c r="C77" s="14" t="s">
        <v>149</v>
      </c>
      <c r="D77" s="14" t="s">
        <v>150</v>
      </c>
      <c r="E77" s="14">
        <v>0.65</v>
      </c>
      <c r="F77" s="14" t="s">
        <v>28</v>
      </c>
      <c r="G77" s="15">
        <v>200</v>
      </c>
      <c r="H77" s="16">
        <f t="shared" si="4"/>
        <v>130</v>
      </c>
      <c r="I77" s="17">
        <v>0</v>
      </c>
      <c r="J77" s="16">
        <f t="shared" si="5"/>
        <v>130</v>
      </c>
      <c r="K77" s="14" t="s">
        <v>24</v>
      </c>
      <c r="L77" s="14">
        <v>0</v>
      </c>
    </row>
    <row r="78" spans="1:12" s="14" customFormat="1" ht="165" x14ac:dyDescent="0.25">
      <c r="A78" s="14" t="s">
        <v>151</v>
      </c>
      <c r="B78" s="14" t="s">
        <v>24</v>
      </c>
      <c r="C78" s="14" t="s">
        <v>140</v>
      </c>
      <c r="D78" s="14" t="s">
        <v>152</v>
      </c>
      <c r="E78" s="14">
        <v>95</v>
      </c>
      <c r="F78" s="14" t="s">
        <v>29</v>
      </c>
      <c r="G78" s="15">
        <v>3.64</v>
      </c>
      <c r="H78" s="16">
        <f t="shared" si="4"/>
        <v>345.8</v>
      </c>
      <c r="I78" s="17">
        <v>0</v>
      </c>
      <c r="J78" s="16">
        <f t="shared" si="5"/>
        <v>345.8</v>
      </c>
      <c r="K78" s="14" t="s">
        <v>24</v>
      </c>
      <c r="L78" s="14">
        <v>0</v>
      </c>
    </row>
    <row r="79" spans="1:12" s="14" customFormat="1" ht="165" x14ac:dyDescent="0.25">
      <c r="A79" s="14" t="s">
        <v>153</v>
      </c>
      <c r="B79" s="14" t="s">
        <v>24</v>
      </c>
      <c r="C79" s="14" t="s">
        <v>140</v>
      </c>
      <c r="D79" s="14" t="s">
        <v>154</v>
      </c>
      <c r="E79" s="14">
        <v>95</v>
      </c>
      <c r="F79" s="14" t="s">
        <v>29</v>
      </c>
      <c r="G79" s="15">
        <v>3.6438317918825467</v>
      </c>
      <c r="H79" s="16">
        <f t="shared" si="4"/>
        <v>346.16</v>
      </c>
      <c r="I79" s="17">
        <v>0</v>
      </c>
      <c r="J79" s="16">
        <f t="shared" si="5"/>
        <v>346.16</v>
      </c>
      <c r="K79" s="14" t="s">
        <v>24</v>
      </c>
      <c r="L79" s="14">
        <v>0</v>
      </c>
    </row>
    <row r="80" spans="1:12" s="14" customFormat="1" ht="165" x14ac:dyDescent="0.25">
      <c r="A80" s="14" t="s">
        <v>155</v>
      </c>
      <c r="B80" s="14" t="s">
        <v>24</v>
      </c>
      <c r="C80" s="14" t="s">
        <v>140</v>
      </c>
      <c r="D80" s="14" t="s">
        <v>156</v>
      </c>
      <c r="E80" s="14">
        <v>95</v>
      </c>
      <c r="F80" s="14" t="s">
        <v>29</v>
      </c>
      <c r="G80" s="15">
        <v>3.6438317918825467</v>
      </c>
      <c r="H80" s="16">
        <f t="shared" si="4"/>
        <v>346.16</v>
      </c>
      <c r="I80" s="17">
        <v>0</v>
      </c>
      <c r="J80" s="16">
        <f t="shared" si="5"/>
        <v>346.16</v>
      </c>
      <c r="K80" s="14" t="s">
        <v>24</v>
      </c>
      <c r="L80" s="14">
        <v>0</v>
      </c>
    </row>
    <row r="81" spans="1:12" s="12" customFormat="1" x14ac:dyDescent="0.25">
      <c r="A81" s="12" t="s">
        <v>157</v>
      </c>
      <c r="C81" s="12" t="s">
        <v>158</v>
      </c>
      <c r="H81" s="13">
        <f>SUM(H82)</f>
        <v>2147</v>
      </c>
      <c r="J81" s="13">
        <f>SUM(J82)</f>
        <v>2147</v>
      </c>
    </row>
    <row r="82" spans="1:12" s="14" customFormat="1" ht="330" x14ac:dyDescent="0.25">
      <c r="A82" s="14" t="s">
        <v>159</v>
      </c>
      <c r="B82" s="14" t="s">
        <v>24</v>
      </c>
      <c r="C82" s="14" t="s">
        <v>160</v>
      </c>
      <c r="D82" s="14" t="s">
        <v>161</v>
      </c>
      <c r="E82" s="14">
        <v>11.3</v>
      </c>
      <c r="F82" s="14" t="s">
        <v>26</v>
      </c>
      <c r="G82" s="15">
        <v>190</v>
      </c>
      <c r="H82" s="16">
        <f>IF(AND(ISNUMBER(E82),ISNUMBER(G82)),ROUND(PRODUCT(PRODUCT(E82, G82), 1 - L82), 2),"")</f>
        <v>2147</v>
      </c>
      <c r="I82" s="17">
        <v>0</v>
      </c>
      <c r="J82" s="16">
        <f>IF(AND(ISNUMBER(H82)),ROUND(PRODUCT(H82, SUM(I82,"1")), 2),"")</f>
        <v>2147</v>
      </c>
      <c r="K82" s="14" t="s">
        <v>24</v>
      </c>
      <c r="L82" s="14">
        <v>0</v>
      </c>
    </row>
    <row r="83" spans="1:12" s="12" customFormat="1" x14ac:dyDescent="0.25">
      <c r="A83" s="12" t="s">
        <v>162</v>
      </c>
      <c r="C83" s="12" t="s">
        <v>163</v>
      </c>
      <c r="H83" s="13">
        <v>0</v>
      </c>
      <c r="J83" s="13">
        <v>0</v>
      </c>
    </row>
    <row r="84" spans="1:12" s="12" customFormat="1" x14ac:dyDescent="0.25">
      <c r="A84" s="12" t="s">
        <v>164</v>
      </c>
      <c r="C84" s="12" t="s">
        <v>88</v>
      </c>
      <c r="H84" s="13">
        <f>SUM(H85,H86,H87,H88,H89,H90,H91,H92)</f>
        <v>9452.43</v>
      </c>
      <c r="J84" s="13">
        <f>SUM(J85,J86,J87,J88,J89,J90,J91,J92)</f>
        <v>9452.43</v>
      </c>
    </row>
    <row r="85" spans="1:12" s="14" customFormat="1" ht="75" x14ac:dyDescent="0.25">
      <c r="A85" s="14" t="s">
        <v>165</v>
      </c>
      <c r="B85" s="14" t="s">
        <v>24</v>
      </c>
      <c r="C85" s="14" t="s">
        <v>166</v>
      </c>
      <c r="D85" s="14" t="s">
        <v>167</v>
      </c>
      <c r="E85" s="14">
        <v>28</v>
      </c>
      <c r="F85" s="14" t="s">
        <v>26</v>
      </c>
      <c r="G85" s="15">
        <v>40</v>
      </c>
      <c r="H85" s="16">
        <f t="shared" ref="H85:H92" si="6">IF(AND(ISNUMBER(E85),ISNUMBER(G85)),ROUND(PRODUCT(PRODUCT(E85, G85), 1 - L85), 2),"")</f>
        <v>1120</v>
      </c>
      <c r="I85" s="17">
        <v>0</v>
      </c>
      <c r="J85" s="16">
        <f t="shared" ref="J85:J92" si="7">IF(AND(ISNUMBER(H85)),ROUND(PRODUCT(H85, SUM(I85,"1")), 2),"")</f>
        <v>1120</v>
      </c>
      <c r="K85" s="14" t="s">
        <v>24</v>
      </c>
      <c r="L85" s="14">
        <v>0</v>
      </c>
    </row>
    <row r="86" spans="1:12" s="14" customFormat="1" ht="120" x14ac:dyDescent="0.25">
      <c r="A86" s="14" t="s">
        <v>168</v>
      </c>
      <c r="B86" s="14" t="s">
        <v>24</v>
      </c>
      <c r="C86" s="14" t="s">
        <v>169</v>
      </c>
      <c r="D86" s="14" t="s">
        <v>170</v>
      </c>
      <c r="E86" s="14">
        <v>17</v>
      </c>
      <c r="F86" s="14" t="s">
        <v>25</v>
      </c>
      <c r="G86" s="15">
        <v>75</v>
      </c>
      <c r="H86" s="16">
        <f t="shared" si="6"/>
        <v>1275</v>
      </c>
      <c r="I86" s="17">
        <v>0</v>
      </c>
      <c r="J86" s="16">
        <f t="shared" si="7"/>
        <v>1275</v>
      </c>
      <c r="K86" s="14" t="s">
        <v>24</v>
      </c>
      <c r="L86" s="14">
        <v>0</v>
      </c>
    </row>
    <row r="87" spans="1:12" s="14" customFormat="1" ht="120" x14ac:dyDescent="0.25">
      <c r="A87" s="14" t="s">
        <v>171</v>
      </c>
      <c r="B87" s="14" t="s">
        <v>24</v>
      </c>
      <c r="C87" s="14" t="s">
        <v>172</v>
      </c>
      <c r="D87" s="14" t="s">
        <v>173</v>
      </c>
      <c r="E87" s="14">
        <v>1</v>
      </c>
      <c r="F87" s="14" t="s">
        <v>25</v>
      </c>
      <c r="G87" s="15">
        <v>80</v>
      </c>
      <c r="H87" s="16">
        <f t="shared" si="6"/>
        <v>80</v>
      </c>
      <c r="I87" s="17">
        <v>0</v>
      </c>
      <c r="J87" s="16">
        <f t="shared" si="7"/>
        <v>80</v>
      </c>
      <c r="K87" s="14" t="s">
        <v>24</v>
      </c>
      <c r="L87" s="14">
        <v>0</v>
      </c>
    </row>
    <row r="88" spans="1:12" s="14" customFormat="1" ht="135" x14ac:dyDescent="0.25">
      <c r="A88" s="14" t="s">
        <v>174</v>
      </c>
      <c r="B88" s="14" t="s">
        <v>24</v>
      </c>
      <c r="C88" s="14" t="s">
        <v>175</v>
      </c>
      <c r="D88" s="14" t="s">
        <v>176</v>
      </c>
      <c r="E88" s="14">
        <v>6</v>
      </c>
      <c r="F88" s="14" t="s">
        <v>25</v>
      </c>
      <c r="G88" s="15">
        <v>190</v>
      </c>
      <c r="H88" s="16">
        <f t="shared" si="6"/>
        <v>1140</v>
      </c>
      <c r="I88" s="17">
        <v>0</v>
      </c>
      <c r="J88" s="16">
        <f t="shared" si="7"/>
        <v>1140</v>
      </c>
      <c r="K88" s="14" t="s">
        <v>24</v>
      </c>
      <c r="L88" s="14">
        <v>0</v>
      </c>
    </row>
    <row r="89" spans="1:12" s="14" customFormat="1" ht="135" x14ac:dyDescent="0.25">
      <c r="A89" s="14" t="s">
        <v>177</v>
      </c>
      <c r="B89" s="14" t="s">
        <v>24</v>
      </c>
      <c r="C89" s="14" t="s">
        <v>178</v>
      </c>
      <c r="D89" s="14" t="s">
        <v>179</v>
      </c>
      <c r="E89" s="14">
        <v>3</v>
      </c>
      <c r="F89" s="14" t="s">
        <v>25</v>
      </c>
      <c r="G89" s="15">
        <v>180</v>
      </c>
      <c r="H89" s="16">
        <f t="shared" si="6"/>
        <v>540</v>
      </c>
      <c r="I89" s="17">
        <v>0</v>
      </c>
      <c r="J89" s="16">
        <f t="shared" si="7"/>
        <v>540</v>
      </c>
      <c r="K89" s="14" t="s">
        <v>24</v>
      </c>
      <c r="L89" s="14">
        <v>0</v>
      </c>
    </row>
    <row r="90" spans="1:12" s="14" customFormat="1" ht="135" x14ac:dyDescent="0.25">
      <c r="A90" s="14" t="s">
        <v>180</v>
      </c>
      <c r="B90" s="14" t="s">
        <v>24</v>
      </c>
      <c r="C90" s="14" t="s">
        <v>181</v>
      </c>
      <c r="D90" s="14" t="s">
        <v>182</v>
      </c>
      <c r="E90" s="14">
        <v>4</v>
      </c>
      <c r="F90" s="14" t="s">
        <v>25</v>
      </c>
      <c r="G90" s="15">
        <v>680</v>
      </c>
      <c r="H90" s="16">
        <f t="shared" si="6"/>
        <v>2720</v>
      </c>
      <c r="I90" s="17">
        <v>0</v>
      </c>
      <c r="J90" s="16">
        <f t="shared" si="7"/>
        <v>2720</v>
      </c>
      <c r="K90" s="14" t="s">
        <v>24</v>
      </c>
      <c r="L90" s="14">
        <v>0</v>
      </c>
    </row>
    <row r="91" spans="1:12" s="14" customFormat="1" ht="120" x14ac:dyDescent="0.25">
      <c r="A91" s="14" t="s">
        <v>183</v>
      </c>
      <c r="B91" s="14" t="s">
        <v>24</v>
      </c>
      <c r="C91" s="14" t="s">
        <v>184</v>
      </c>
      <c r="D91" s="14" t="s">
        <v>185</v>
      </c>
      <c r="E91" s="14">
        <v>12</v>
      </c>
      <c r="F91" s="14" t="s">
        <v>25</v>
      </c>
      <c r="G91" s="15">
        <v>135</v>
      </c>
      <c r="H91" s="16">
        <f t="shared" si="6"/>
        <v>1620</v>
      </c>
      <c r="I91" s="17">
        <v>0</v>
      </c>
      <c r="J91" s="16">
        <f t="shared" si="7"/>
        <v>1620</v>
      </c>
      <c r="K91" s="14" t="s">
        <v>24</v>
      </c>
      <c r="L91" s="14">
        <v>0</v>
      </c>
    </row>
    <row r="92" spans="1:12" s="14" customFormat="1" ht="105" x14ac:dyDescent="0.25">
      <c r="A92" s="14" t="s">
        <v>186</v>
      </c>
      <c r="B92" s="14" t="s">
        <v>24</v>
      </c>
      <c r="C92" s="14" t="s">
        <v>187</v>
      </c>
      <c r="D92" s="14" t="s">
        <v>188</v>
      </c>
      <c r="E92" s="14">
        <v>25</v>
      </c>
      <c r="F92" s="14" t="s">
        <v>26</v>
      </c>
      <c r="G92" s="15">
        <v>38.297103781071577</v>
      </c>
      <c r="H92" s="16">
        <f t="shared" si="6"/>
        <v>957.43</v>
      </c>
      <c r="I92" s="17">
        <v>0</v>
      </c>
      <c r="J92" s="16">
        <f t="shared" si="7"/>
        <v>957.43</v>
      </c>
      <c r="K92" s="14" t="s">
        <v>24</v>
      </c>
      <c r="L92" s="14">
        <v>0</v>
      </c>
    </row>
    <row r="93" spans="1:12" s="12" customFormat="1" x14ac:dyDescent="0.25">
      <c r="A93" s="12" t="s">
        <v>189</v>
      </c>
      <c r="C93" s="12" t="s">
        <v>190</v>
      </c>
      <c r="H93" s="13">
        <f>SUM(H94,H95)</f>
        <v>900</v>
      </c>
      <c r="J93" s="13">
        <f>SUM(J94,J95)</f>
        <v>900</v>
      </c>
    </row>
    <row r="94" spans="1:12" s="14" customFormat="1" ht="165" x14ac:dyDescent="0.25">
      <c r="A94" s="14" t="s">
        <v>191</v>
      </c>
      <c r="B94" s="14" t="s">
        <v>24</v>
      </c>
      <c r="C94" s="14" t="s">
        <v>192</v>
      </c>
      <c r="D94" s="14" t="s">
        <v>193</v>
      </c>
      <c r="E94" s="14">
        <v>1</v>
      </c>
      <c r="F94" s="14" t="s">
        <v>25</v>
      </c>
      <c r="G94" s="15">
        <v>450</v>
      </c>
      <c r="H94" s="16">
        <f>IF(AND(ISNUMBER(E94),ISNUMBER(G94)),ROUND(PRODUCT(PRODUCT(E94, G94), 1 - L94), 2),"")</f>
        <v>450</v>
      </c>
      <c r="I94" s="17">
        <v>0</v>
      </c>
      <c r="J94" s="16">
        <f>IF(AND(ISNUMBER(H94)),ROUND(PRODUCT(H94, SUM(I94,"1")), 2),"")</f>
        <v>450</v>
      </c>
      <c r="K94" s="14" t="s">
        <v>24</v>
      </c>
      <c r="L94" s="14">
        <v>0</v>
      </c>
    </row>
    <row r="95" spans="1:12" s="14" customFormat="1" ht="180" x14ac:dyDescent="0.25">
      <c r="A95" s="14" t="s">
        <v>194</v>
      </c>
      <c r="B95" s="14" t="s">
        <v>24</v>
      </c>
      <c r="C95" s="14" t="s">
        <v>195</v>
      </c>
      <c r="D95" s="14" t="s">
        <v>196</v>
      </c>
      <c r="E95" s="14">
        <v>1</v>
      </c>
      <c r="F95" s="14" t="s">
        <v>25</v>
      </c>
      <c r="G95" s="15">
        <v>450</v>
      </c>
      <c r="H95" s="16">
        <f>IF(AND(ISNUMBER(E95),ISNUMBER(G95)),ROUND(PRODUCT(PRODUCT(E95, G95), 1 - L95), 2),"")</f>
        <v>450</v>
      </c>
      <c r="I95" s="17">
        <v>0</v>
      </c>
      <c r="J95" s="16">
        <f>IF(AND(ISNUMBER(H95)),ROUND(PRODUCT(H95, SUM(I95,"1")), 2),"")</f>
        <v>450</v>
      </c>
      <c r="K95" s="14" t="s">
        <v>24</v>
      </c>
      <c r="L95" s="14">
        <v>0</v>
      </c>
    </row>
    <row r="96" spans="1:12" s="12" customFormat="1" x14ac:dyDescent="0.25">
      <c r="A96" s="12" t="s">
        <v>197</v>
      </c>
      <c r="C96" s="12" t="s">
        <v>198</v>
      </c>
      <c r="H96" s="13">
        <f>SUM(H97,H98,H99,H100,H101,H102,H103,H104,H105,H106,H107,H108,H109,H110,H111,H112,H113,H114,H115,H116,H117,H118,H119,H120,H121,H122,H123,H124,H125,H126,H127,H128,H129,H130,H131,H132,H133,H134,H135,H136,H137,H138,H139,H140,H141,H142,H143,H144,H145)</f>
        <v>71923.5</v>
      </c>
      <c r="J96" s="13">
        <f>SUM(J97,J98,J99,J100,J101,J102,J103,J104,J105,J106,J107,J108,J109,J110,J111,J112,J113,J114,J115,J116,J117,J118,J119,J120,J121,J122,J123,J124,J125,J126,J127,J128,J129,J130,J131,J132,J133,J134,J135,J136,J137,J138,J139,J140,J141,J142,J143,J144,J145)</f>
        <v>71923.5</v>
      </c>
    </row>
    <row r="97" spans="1:12" s="14" customFormat="1" ht="165" x14ac:dyDescent="0.25">
      <c r="A97" s="14" t="s">
        <v>199</v>
      </c>
      <c r="B97" s="14" t="s">
        <v>24</v>
      </c>
      <c r="C97" s="14" t="s">
        <v>200</v>
      </c>
      <c r="D97" s="14" t="s">
        <v>201</v>
      </c>
      <c r="E97" s="14">
        <v>410</v>
      </c>
      <c r="F97" s="14" t="s">
        <v>29</v>
      </c>
      <c r="G97" s="15">
        <v>3.3</v>
      </c>
      <c r="H97" s="16">
        <f t="shared" ref="H97:H128" si="8">IF(AND(ISNUMBER(E97),ISNUMBER(G97)),ROUND(PRODUCT(PRODUCT(E97, G97), 1 - L97), 2),"")</f>
        <v>1353</v>
      </c>
      <c r="I97" s="17">
        <v>0</v>
      </c>
      <c r="J97" s="16">
        <f t="shared" ref="J97:J128" si="9">IF(AND(ISNUMBER(H97)),ROUND(PRODUCT(H97, SUM(I97,"1")), 2),"")</f>
        <v>1353</v>
      </c>
      <c r="K97" s="14" t="s">
        <v>24</v>
      </c>
      <c r="L97" s="14">
        <v>0</v>
      </c>
    </row>
    <row r="98" spans="1:12" s="14" customFormat="1" ht="165" x14ac:dyDescent="0.25">
      <c r="A98" s="14" t="s">
        <v>202</v>
      </c>
      <c r="B98" s="14" t="s">
        <v>24</v>
      </c>
      <c r="C98" s="14" t="s">
        <v>200</v>
      </c>
      <c r="D98" s="14" t="s">
        <v>203</v>
      </c>
      <c r="E98" s="14">
        <v>1735</v>
      </c>
      <c r="F98" s="14" t="s">
        <v>29</v>
      </c>
      <c r="G98" s="15">
        <v>3.3</v>
      </c>
      <c r="H98" s="16">
        <f t="shared" si="8"/>
        <v>5725.5</v>
      </c>
      <c r="I98" s="17">
        <v>0</v>
      </c>
      <c r="J98" s="16">
        <f t="shared" si="9"/>
        <v>5725.5</v>
      </c>
      <c r="K98" s="14" t="s">
        <v>24</v>
      </c>
      <c r="L98" s="14">
        <v>0</v>
      </c>
    </row>
    <row r="99" spans="1:12" s="14" customFormat="1" ht="180" x14ac:dyDescent="0.25">
      <c r="A99" s="14" t="s">
        <v>204</v>
      </c>
      <c r="B99" s="14" t="s">
        <v>24</v>
      </c>
      <c r="C99" s="14" t="s">
        <v>200</v>
      </c>
      <c r="D99" s="14" t="s">
        <v>205</v>
      </c>
      <c r="E99" s="14">
        <v>630</v>
      </c>
      <c r="F99" s="14" t="s">
        <v>29</v>
      </c>
      <c r="G99" s="15">
        <v>3.3</v>
      </c>
      <c r="H99" s="16">
        <f t="shared" si="8"/>
        <v>2079</v>
      </c>
      <c r="I99" s="17">
        <v>0</v>
      </c>
      <c r="J99" s="16">
        <f t="shared" si="9"/>
        <v>2079</v>
      </c>
      <c r="K99" s="14" t="s">
        <v>24</v>
      </c>
      <c r="L99" s="14">
        <v>0</v>
      </c>
    </row>
    <row r="100" spans="1:12" s="14" customFormat="1" ht="180" x14ac:dyDescent="0.25">
      <c r="A100" s="14" t="s">
        <v>206</v>
      </c>
      <c r="B100" s="14" t="s">
        <v>24</v>
      </c>
      <c r="C100" s="14" t="s">
        <v>200</v>
      </c>
      <c r="D100" s="14" t="s">
        <v>207</v>
      </c>
      <c r="E100" s="14">
        <v>705</v>
      </c>
      <c r="F100" s="14" t="s">
        <v>29</v>
      </c>
      <c r="G100" s="15">
        <v>3.3</v>
      </c>
      <c r="H100" s="16">
        <f t="shared" si="8"/>
        <v>2326.5</v>
      </c>
      <c r="I100" s="17">
        <v>0</v>
      </c>
      <c r="J100" s="16">
        <f t="shared" si="9"/>
        <v>2326.5</v>
      </c>
      <c r="K100" s="14" t="s">
        <v>24</v>
      </c>
      <c r="L100" s="14">
        <v>0</v>
      </c>
    </row>
    <row r="101" spans="1:12" s="14" customFormat="1" ht="180" x14ac:dyDescent="0.25">
      <c r="A101" s="14" t="s">
        <v>208</v>
      </c>
      <c r="B101" s="14" t="s">
        <v>24</v>
      </c>
      <c r="C101" s="14" t="s">
        <v>200</v>
      </c>
      <c r="D101" s="14" t="s">
        <v>209</v>
      </c>
      <c r="E101" s="14">
        <v>1810</v>
      </c>
      <c r="F101" s="14" t="s">
        <v>29</v>
      </c>
      <c r="G101" s="15">
        <v>3.3</v>
      </c>
      <c r="H101" s="16">
        <f t="shared" si="8"/>
        <v>5973</v>
      </c>
      <c r="I101" s="17">
        <v>0</v>
      </c>
      <c r="J101" s="16">
        <f t="shared" si="9"/>
        <v>5973</v>
      </c>
      <c r="K101" s="14" t="s">
        <v>24</v>
      </c>
      <c r="L101" s="14">
        <v>0</v>
      </c>
    </row>
    <row r="102" spans="1:12" s="14" customFormat="1" ht="180" x14ac:dyDescent="0.25">
      <c r="A102" s="14" t="s">
        <v>210</v>
      </c>
      <c r="B102" s="14" t="s">
        <v>24</v>
      </c>
      <c r="C102" s="14" t="s">
        <v>200</v>
      </c>
      <c r="D102" s="14" t="s">
        <v>211</v>
      </c>
      <c r="E102" s="14">
        <v>1975</v>
      </c>
      <c r="F102" s="14" t="s">
        <v>29</v>
      </c>
      <c r="G102" s="15">
        <v>3.3</v>
      </c>
      <c r="H102" s="16">
        <f t="shared" si="8"/>
        <v>6517.5</v>
      </c>
      <c r="I102" s="17">
        <v>0</v>
      </c>
      <c r="J102" s="16">
        <f t="shared" si="9"/>
        <v>6517.5</v>
      </c>
      <c r="K102" s="14" t="s">
        <v>24</v>
      </c>
      <c r="L102" s="14">
        <v>0</v>
      </c>
    </row>
    <row r="103" spans="1:12" s="14" customFormat="1" ht="180" x14ac:dyDescent="0.25">
      <c r="A103" s="14" t="s">
        <v>212</v>
      </c>
      <c r="B103" s="14" t="s">
        <v>24</v>
      </c>
      <c r="C103" s="14" t="s">
        <v>200</v>
      </c>
      <c r="D103" s="14" t="s">
        <v>213</v>
      </c>
      <c r="E103" s="14">
        <v>2815</v>
      </c>
      <c r="F103" s="14" t="s">
        <v>29</v>
      </c>
      <c r="G103" s="15">
        <v>3.3</v>
      </c>
      <c r="H103" s="16">
        <f t="shared" si="8"/>
        <v>9289.5</v>
      </c>
      <c r="I103" s="17">
        <v>0</v>
      </c>
      <c r="J103" s="16">
        <f t="shared" si="9"/>
        <v>9289.5</v>
      </c>
      <c r="K103" s="14" t="s">
        <v>24</v>
      </c>
      <c r="L103" s="14">
        <v>0</v>
      </c>
    </row>
    <row r="104" spans="1:12" s="14" customFormat="1" ht="180" x14ac:dyDescent="0.25">
      <c r="A104" s="14" t="s">
        <v>214</v>
      </c>
      <c r="B104" s="14" t="s">
        <v>24</v>
      </c>
      <c r="C104" s="14" t="s">
        <v>200</v>
      </c>
      <c r="D104" s="14" t="s">
        <v>215</v>
      </c>
      <c r="E104" s="14">
        <v>750</v>
      </c>
      <c r="F104" s="14" t="s">
        <v>29</v>
      </c>
      <c r="G104" s="15">
        <v>3.3</v>
      </c>
      <c r="H104" s="16">
        <f t="shared" si="8"/>
        <v>2475</v>
      </c>
      <c r="I104" s="17">
        <v>0</v>
      </c>
      <c r="J104" s="16">
        <f t="shared" si="9"/>
        <v>2475</v>
      </c>
      <c r="K104" s="14" t="s">
        <v>24</v>
      </c>
      <c r="L104" s="14">
        <v>0</v>
      </c>
    </row>
    <row r="105" spans="1:12" s="14" customFormat="1" ht="180" x14ac:dyDescent="0.25">
      <c r="A105" s="14" t="s">
        <v>216</v>
      </c>
      <c r="B105" s="14" t="s">
        <v>24</v>
      </c>
      <c r="C105" s="14" t="s">
        <v>200</v>
      </c>
      <c r="D105" s="14" t="s">
        <v>217</v>
      </c>
      <c r="E105" s="14">
        <v>1430</v>
      </c>
      <c r="F105" s="14" t="s">
        <v>29</v>
      </c>
      <c r="G105" s="15">
        <v>3.3</v>
      </c>
      <c r="H105" s="16">
        <f t="shared" si="8"/>
        <v>4719</v>
      </c>
      <c r="I105" s="17">
        <v>0</v>
      </c>
      <c r="J105" s="16">
        <f t="shared" si="9"/>
        <v>4719</v>
      </c>
      <c r="K105" s="14" t="s">
        <v>24</v>
      </c>
      <c r="L105" s="14">
        <v>0</v>
      </c>
    </row>
    <row r="106" spans="1:12" s="14" customFormat="1" ht="135" x14ac:dyDescent="0.25">
      <c r="A106" s="14" t="s">
        <v>218</v>
      </c>
      <c r="B106" s="14" t="s">
        <v>24</v>
      </c>
      <c r="C106" s="14" t="s">
        <v>200</v>
      </c>
      <c r="D106" s="14" t="s">
        <v>219</v>
      </c>
      <c r="E106" s="14">
        <v>150</v>
      </c>
      <c r="F106" s="14" t="s">
        <v>29</v>
      </c>
      <c r="G106" s="15">
        <v>3.3</v>
      </c>
      <c r="H106" s="16">
        <f t="shared" si="8"/>
        <v>495</v>
      </c>
      <c r="I106" s="17">
        <v>0</v>
      </c>
      <c r="J106" s="16">
        <f t="shared" si="9"/>
        <v>495</v>
      </c>
      <c r="K106" s="14" t="s">
        <v>24</v>
      </c>
      <c r="L106" s="14">
        <v>0</v>
      </c>
    </row>
    <row r="107" spans="1:12" s="14" customFormat="1" ht="135" x14ac:dyDescent="0.25">
      <c r="A107" s="14" t="s">
        <v>220</v>
      </c>
      <c r="B107" s="14" t="s">
        <v>24</v>
      </c>
      <c r="C107" s="14" t="s">
        <v>200</v>
      </c>
      <c r="D107" s="14" t="s">
        <v>221</v>
      </c>
      <c r="E107" s="14">
        <v>135</v>
      </c>
      <c r="F107" s="14" t="s">
        <v>29</v>
      </c>
      <c r="G107" s="15">
        <v>3.3</v>
      </c>
      <c r="H107" s="16">
        <f t="shared" si="8"/>
        <v>445.5</v>
      </c>
      <c r="I107" s="17">
        <v>0</v>
      </c>
      <c r="J107" s="16">
        <f t="shared" si="9"/>
        <v>445.5</v>
      </c>
      <c r="K107" s="14" t="s">
        <v>24</v>
      </c>
      <c r="L107" s="14">
        <v>0</v>
      </c>
    </row>
    <row r="108" spans="1:12" s="14" customFormat="1" ht="135" x14ac:dyDescent="0.25">
      <c r="A108" s="14" t="s">
        <v>222</v>
      </c>
      <c r="B108" s="14" t="s">
        <v>24</v>
      </c>
      <c r="C108" s="14" t="s">
        <v>200</v>
      </c>
      <c r="D108" s="14" t="s">
        <v>223</v>
      </c>
      <c r="E108" s="14">
        <v>145</v>
      </c>
      <c r="F108" s="14" t="s">
        <v>29</v>
      </c>
      <c r="G108" s="15">
        <v>3.3</v>
      </c>
      <c r="H108" s="16">
        <f t="shared" si="8"/>
        <v>478.5</v>
      </c>
      <c r="I108" s="17">
        <v>0</v>
      </c>
      <c r="J108" s="16">
        <f t="shared" si="9"/>
        <v>478.5</v>
      </c>
      <c r="K108" s="14" t="s">
        <v>24</v>
      </c>
      <c r="L108" s="14">
        <v>0</v>
      </c>
    </row>
    <row r="109" spans="1:12" s="14" customFormat="1" ht="135" x14ac:dyDescent="0.25">
      <c r="A109" s="14" t="s">
        <v>224</v>
      </c>
      <c r="B109" s="14" t="s">
        <v>24</v>
      </c>
      <c r="C109" s="14" t="s">
        <v>200</v>
      </c>
      <c r="D109" s="14" t="s">
        <v>225</v>
      </c>
      <c r="E109" s="14">
        <v>145</v>
      </c>
      <c r="F109" s="14" t="s">
        <v>29</v>
      </c>
      <c r="G109" s="15">
        <v>3.3</v>
      </c>
      <c r="H109" s="16">
        <f t="shared" si="8"/>
        <v>478.5</v>
      </c>
      <c r="I109" s="17">
        <v>0</v>
      </c>
      <c r="J109" s="16">
        <f t="shared" si="9"/>
        <v>478.5</v>
      </c>
      <c r="K109" s="14" t="s">
        <v>24</v>
      </c>
      <c r="L109" s="14">
        <v>0</v>
      </c>
    </row>
    <row r="110" spans="1:12" s="14" customFormat="1" ht="135" x14ac:dyDescent="0.25">
      <c r="A110" s="14" t="s">
        <v>226</v>
      </c>
      <c r="B110" s="14" t="s">
        <v>24</v>
      </c>
      <c r="C110" s="14" t="s">
        <v>200</v>
      </c>
      <c r="D110" s="14" t="s">
        <v>227</v>
      </c>
      <c r="E110" s="14">
        <v>135</v>
      </c>
      <c r="F110" s="14" t="s">
        <v>29</v>
      </c>
      <c r="G110" s="15">
        <v>3.3</v>
      </c>
      <c r="H110" s="16">
        <f t="shared" si="8"/>
        <v>445.5</v>
      </c>
      <c r="I110" s="17">
        <v>0</v>
      </c>
      <c r="J110" s="16">
        <f t="shared" si="9"/>
        <v>445.5</v>
      </c>
      <c r="K110" s="14" t="s">
        <v>24</v>
      </c>
      <c r="L110" s="14">
        <v>0</v>
      </c>
    </row>
    <row r="111" spans="1:12" s="14" customFormat="1" ht="135" x14ac:dyDescent="0.25">
      <c r="A111" s="14" t="s">
        <v>228</v>
      </c>
      <c r="B111" s="14" t="s">
        <v>24</v>
      </c>
      <c r="C111" s="14" t="s">
        <v>200</v>
      </c>
      <c r="D111" s="14" t="s">
        <v>229</v>
      </c>
      <c r="E111" s="14">
        <v>135</v>
      </c>
      <c r="F111" s="14" t="s">
        <v>29</v>
      </c>
      <c r="G111" s="15">
        <v>3.3</v>
      </c>
      <c r="H111" s="16">
        <f t="shared" si="8"/>
        <v>445.5</v>
      </c>
      <c r="I111" s="17">
        <v>0</v>
      </c>
      <c r="J111" s="16">
        <f t="shared" si="9"/>
        <v>445.5</v>
      </c>
      <c r="K111" s="14" t="s">
        <v>24</v>
      </c>
      <c r="L111" s="14">
        <v>0</v>
      </c>
    </row>
    <row r="112" spans="1:12" s="14" customFormat="1" ht="135" x14ac:dyDescent="0.25">
      <c r="A112" s="14" t="s">
        <v>230</v>
      </c>
      <c r="B112" s="14" t="s">
        <v>24</v>
      </c>
      <c r="C112" s="14" t="s">
        <v>200</v>
      </c>
      <c r="D112" s="14" t="s">
        <v>231</v>
      </c>
      <c r="E112" s="14">
        <v>140</v>
      </c>
      <c r="F112" s="14" t="s">
        <v>29</v>
      </c>
      <c r="G112" s="15">
        <v>3.3</v>
      </c>
      <c r="H112" s="16">
        <f t="shared" si="8"/>
        <v>462</v>
      </c>
      <c r="I112" s="17">
        <v>0</v>
      </c>
      <c r="J112" s="16">
        <f t="shared" si="9"/>
        <v>462</v>
      </c>
      <c r="K112" s="14" t="s">
        <v>24</v>
      </c>
      <c r="L112" s="14">
        <v>0</v>
      </c>
    </row>
    <row r="113" spans="1:12" s="14" customFormat="1" ht="135" x14ac:dyDescent="0.25">
      <c r="A113" s="14" t="s">
        <v>232</v>
      </c>
      <c r="B113" s="14" t="s">
        <v>24</v>
      </c>
      <c r="C113" s="14" t="s">
        <v>200</v>
      </c>
      <c r="D113" s="14" t="s">
        <v>233</v>
      </c>
      <c r="E113" s="14">
        <v>120</v>
      </c>
      <c r="F113" s="14" t="s">
        <v>29</v>
      </c>
      <c r="G113" s="15">
        <v>3.3</v>
      </c>
      <c r="H113" s="16">
        <f t="shared" si="8"/>
        <v>396</v>
      </c>
      <c r="I113" s="17">
        <v>0</v>
      </c>
      <c r="J113" s="16">
        <f t="shared" si="9"/>
        <v>396</v>
      </c>
      <c r="K113" s="14" t="s">
        <v>24</v>
      </c>
      <c r="L113" s="14">
        <v>0</v>
      </c>
    </row>
    <row r="114" spans="1:12" s="14" customFormat="1" ht="135" x14ac:dyDescent="0.25">
      <c r="A114" s="14" t="s">
        <v>234</v>
      </c>
      <c r="B114" s="14" t="s">
        <v>24</v>
      </c>
      <c r="C114" s="14" t="s">
        <v>200</v>
      </c>
      <c r="D114" s="14" t="s">
        <v>235</v>
      </c>
      <c r="E114" s="14">
        <v>120</v>
      </c>
      <c r="F114" s="14" t="s">
        <v>29</v>
      </c>
      <c r="G114" s="15">
        <v>3.3</v>
      </c>
      <c r="H114" s="16">
        <f t="shared" si="8"/>
        <v>396</v>
      </c>
      <c r="I114" s="17">
        <v>0</v>
      </c>
      <c r="J114" s="16">
        <f t="shared" si="9"/>
        <v>396</v>
      </c>
      <c r="K114" s="14" t="s">
        <v>24</v>
      </c>
      <c r="L114" s="14">
        <v>0</v>
      </c>
    </row>
    <row r="115" spans="1:12" s="14" customFormat="1" ht="135" x14ac:dyDescent="0.25">
      <c r="A115" s="14" t="s">
        <v>236</v>
      </c>
      <c r="B115" s="14" t="s">
        <v>24</v>
      </c>
      <c r="C115" s="14" t="s">
        <v>200</v>
      </c>
      <c r="D115" s="14" t="s">
        <v>237</v>
      </c>
      <c r="E115" s="14">
        <v>110</v>
      </c>
      <c r="F115" s="14" t="s">
        <v>29</v>
      </c>
      <c r="G115" s="15">
        <v>3.3</v>
      </c>
      <c r="H115" s="16">
        <f t="shared" si="8"/>
        <v>363</v>
      </c>
      <c r="I115" s="17">
        <v>0</v>
      </c>
      <c r="J115" s="16">
        <f t="shared" si="9"/>
        <v>363</v>
      </c>
      <c r="K115" s="14" t="s">
        <v>24</v>
      </c>
      <c r="L115" s="14">
        <v>0</v>
      </c>
    </row>
    <row r="116" spans="1:12" s="14" customFormat="1" ht="135" x14ac:dyDescent="0.25">
      <c r="A116" s="14" t="s">
        <v>238</v>
      </c>
      <c r="B116" s="14" t="s">
        <v>24</v>
      </c>
      <c r="C116" s="14" t="s">
        <v>200</v>
      </c>
      <c r="D116" s="14" t="s">
        <v>239</v>
      </c>
      <c r="E116" s="14">
        <v>115</v>
      </c>
      <c r="F116" s="14" t="s">
        <v>29</v>
      </c>
      <c r="G116" s="15">
        <v>3.3</v>
      </c>
      <c r="H116" s="16">
        <f t="shared" si="8"/>
        <v>379.5</v>
      </c>
      <c r="I116" s="17">
        <v>0</v>
      </c>
      <c r="J116" s="16">
        <f t="shared" si="9"/>
        <v>379.5</v>
      </c>
      <c r="K116" s="14" t="s">
        <v>24</v>
      </c>
      <c r="L116" s="14">
        <v>0</v>
      </c>
    </row>
    <row r="117" spans="1:12" s="14" customFormat="1" ht="135" x14ac:dyDescent="0.25">
      <c r="A117" s="14" t="s">
        <v>240</v>
      </c>
      <c r="B117" s="14" t="s">
        <v>24</v>
      </c>
      <c r="C117" s="14" t="s">
        <v>200</v>
      </c>
      <c r="D117" s="14" t="s">
        <v>241</v>
      </c>
      <c r="E117" s="14">
        <v>170</v>
      </c>
      <c r="F117" s="14" t="s">
        <v>29</v>
      </c>
      <c r="G117" s="15">
        <v>3.3</v>
      </c>
      <c r="H117" s="16">
        <f t="shared" si="8"/>
        <v>561</v>
      </c>
      <c r="I117" s="17">
        <v>0</v>
      </c>
      <c r="J117" s="16">
        <f t="shared" si="9"/>
        <v>561</v>
      </c>
      <c r="K117" s="14" t="s">
        <v>24</v>
      </c>
      <c r="L117" s="14">
        <v>0</v>
      </c>
    </row>
    <row r="118" spans="1:12" s="14" customFormat="1" ht="135" x14ac:dyDescent="0.25">
      <c r="A118" s="14" t="s">
        <v>242</v>
      </c>
      <c r="B118" s="14" t="s">
        <v>24</v>
      </c>
      <c r="C118" s="14" t="s">
        <v>200</v>
      </c>
      <c r="D118" s="14" t="s">
        <v>243</v>
      </c>
      <c r="E118" s="14">
        <v>95</v>
      </c>
      <c r="F118" s="14" t="s">
        <v>29</v>
      </c>
      <c r="G118" s="15">
        <v>3.3</v>
      </c>
      <c r="H118" s="16">
        <f t="shared" si="8"/>
        <v>313.5</v>
      </c>
      <c r="I118" s="17">
        <v>0</v>
      </c>
      <c r="J118" s="16">
        <f t="shared" si="9"/>
        <v>313.5</v>
      </c>
      <c r="K118" s="14" t="s">
        <v>24</v>
      </c>
      <c r="L118" s="14">
        <v>0</v>
      </c>
    </row>
    <row r="119" spans="1:12" s="14" customFormat="1" ht="135" x14ac:dyDescent="0.25">
      <c r="A119" s="14" t="s">
        <v>244</v>
      </c>
      <c r="B119" s="14" t="s">
        <v>24</v>
      </c>
      <c r="C119" s="14" t="s">
        <v>200</v>
      </c>
      <c r="D119" s="14" t="s">
        <v>245</v>
      </c>
      <c r="E119" s="14">
        <v>530</v>
      </c>
      <c r="F119" s="14" t="s">
        <v>29</v>
      </c>
      <c r="G119" s="15">
        <v>3.3</v>
      </c>
      <c r="H119" s="16">
        <f t="shared" si="8"/>
        <v>1749</v>
      </c>
      <c r="I119" s="17">
        <v>0</v>
      </c>
      <c r="J119" s="16">
        <f t="shared" si="9"/>
        <v>1749</v>
      </c>
      <c r="K119" s="14" t="s">
        <v>24</v>
      </c>
      <c r="L119" s="14">
        <v>0</v>
      </c>
    </row>
    <row r="120" spans="1:12" s="14" customFormat="1" ht="135" x14ac:dyDescent="0.25">
      <c r="A120" s="14" t="s">
        <v>246</v>
      </c>
      <c r="B120" s="14" t="s">
        <v>24</v>
      </c>
      <c r="C120" s="14" t="s">
        <v>200</v>
      </c>
      <c r="D120" s="14" t="s">
        <v>247</v>
      </c>
      <c r="E120" s="14">
        <v>120</v>
      </c>
      <c r="F120" s="14" t="s">
        <v>29</v>
      </c>
      <c r="G120" s="15">
        <v>3.3</v>
      </c>
      <c r="H120" s="16">
        <f t="shared" si="8"/>
        <v>396</v>
      </c>
      <c r="I120" s="17">
        <v>0</v>
      </c>
      <c r="J120" s="16">
        <f t="shared" si="9"/>
        <v>396</v>
      </c>
      <c r="K120" s="14" t="s">
        <v>24</v>
      </c>
      <c r="L120" s="14">
        <v>0</v>
      </c>
    </row>
    <row r="121" spans="1:12" s="14" customFormat="1" ht="135" x14ac:dyDescent="0.25">
      <c r="A121" s="14" t="s">
        <v>248</v>
      </c>
      <c r="B121" s="14" t="s">
        <v>24</v>
      </c>
      <c r="C121" s="14" t="s">
        <v>200</v>
      </c>
      <c r="D121" s="14" t="s">
        <v>249</v>
      </c>
      <c r="E121" s="14">
        <v>105</v>
      </c>
      <c r="F121" s="14" t="s">
        <v>29</v>
      </c>
      <c r="G121" s="15">
        <v>3.3</v>
      </c>
      <c r="H121" s="16">
        <f t="shared" si="8"/>
        <v>346.5</v>
      </c>
      <c r="I121" s="17">
        <v>0</v>
      </c>
      <c r="J121" s="16">
        <f t="shared" si="9"/>
        <v>346.5</v>
      </c>
      <c r="K121" s="14" t="s">
        <v>24</v>
      </c>
      <c r="L121" s="14">
        <v>0</v>
      </c>
    </row>
    <row r="122" spans="1:12" s="14" customFormat="1" ht="135" x14ac:dyDescent="0.25">
      <c r="A122" s="14" t="s">
        <v>250</v>
      </c>
      <c r="B122" s="14" t="s">
        <v>24</v>
      </c>
      <c r="C122" s="14" t="s">
        <v>200</v>
      </c>
      <c r="D122" s="14" t="s">
        <v>251</v>
      </c>
      <c r="E122" s="14">
        <v>65</v>
      </c>
      <c r="F122" s="14" t="s">
        <v>29</v>
      </c>
      <c r="G122" s="15">
        <v>3.3</v>
      </c>
      <c r="H122" s="16">
        <f t="shared" si="8"/>
        <v>214.5</v>
      </c>
      <c r="I122" s="17">
        <v>0</v>
      </c>
      <c r="J122" s="16">
        <f t="shared" si="9"/>
        <v>214.5</v>
      </c>
      <c r="K122" s="14" t="s">
        <v>24</v>
      </c>
      <c r="L122" s="14">
        <v>0</v>
      </c>
    </row>
    <row r="123" spans="1:12" s="14" customFormat="1" ht="135" x14ac:dyDescent="0.25">
      <c r="A123" s="14" t="s">
        <v>252</v>
      </c>
      <c r="B123" s="14" t="s">
        <v>24</v>
      </c>
      <c r="C123" s="14" t="s">
        <v>200</v>
      </c>
      <c r="D123" s="14" t="s">
        <v>253</v>
      </c>
      <c r="E123" s="14">
        <v>90</v>
      </c>
      <c r="F123" s="14" t="s">
        <v>29</v>
      </c>
      <c r="G123" s="15">
        <v>3.3</v>
      </c>
      <c r="H123" s="16">
        <f t="shared" si="8"/>
        <v>297</v>
      </c>
      <c r="I123" s="17">
        <v>0</v>
      </c>
      <c r="J123" s="16">
        <f t="shared" si="9"/>
        <v>297</v>
      </c>
      <c r="K123" s="14" t="s">
        <v>24</v>
      </c>
      <c r="L123" s="14">
        <v>0</v>
      </c>
    </row>
    <row r="124" spans="1:12" s="14" customFormat="1" ht="135" x14ac:dyDescent="0.25">
      <c r="A124" s="14" t="s">
        <v>254</v>
      </c>
      <c r="B124" s="14" t="s">
        <v>24</v>
      </c>
      <c r="C124" s="14" t="s">
        <v>200</v>
      </c>
      <c r="D124" s="14" t="s">
        <v>255</v>
      </c>
      <c r="E124" s="14">
        <v>310</v>
      </c>
      <c r="F124" s="14" t="s">
        <v>29</v>
      </c>
      <c r="G124" s="15">
        <v>3.3</v>
      </c>
      <c r="H124" s="16">
        <f t="shared" si="8"/>
        <v>1023</v>
      </c>
      <c r="I124" s="17">
        <v>0</v>
      </c>
      <c r="J124" s="16">
        <f t="shared" si="9"/>
        <v>1023</v>
      </c>
      <c r="K124" s="14" t="s">
        <v>24</v>
      </c>
      <c r="L124" s="14">
        <v>0</v>
      </c>
    </row>
    <row r="125" spans="1:12" s="14" customFormat="1" ht="135" x14ac:dyDescent="0.25">
      <c r="A125" s="14" t="s">
        <v>256</v>
      </c>
      <c r="B125" s="14" t="s">
        <v>24</v>
      </c>
      <c r="C125" s="14" t="s">
        <v>200</v>
      </c>
      <c r="D125" s="14" t="s">
        <v>257</v>
      </c>
      <c r="E125" s="14">
        <v>150</v>
      </c>
      <c r="F125" s="14" t="s">
        <v>29</v>
      </c>
      <c r="G125" s="15">
        <v>3.3</v>
      </c>
      <c r="H125" s="16">
        <f t="shared" si="8"/>
        <v>495</v>
      </c>
      <c r="I125" s="17">
        <v>0</v>
      </c>
      <c r="J125" s="16">
        <f t="shared" si="9"/>
        <v>495</v>
      </c>
      <c r="K125" s="14" t="s">
        <v>24</v>
      </c>
      <c r="L125" s="14">
        <v>0</v>
      </c>
    </row>
    <row r="126" spans="1:12" s="14" customFormat="1" ht="135" x14ac:dyDescent="0.25">
      <c r="A126" s="14" t="s">
        <v>258</v>
      </c>
      <c r="B126" s="14" t="s">
        <v>24</v>
      </c>
      <c r="C126" s="14" t="s">
        <v>200</v>
      </c>
      <c r="D126" s="14" t="s">
        <v>259</v>
      </c>
      <c r="E126" s="14">
        <v>100</v>
      </c>
      <c r="F126" s="14" t="s">
        <v>29</v>
      </c>
      <c r="G126" s="15">
        <v>3.3</v>
      </c>
      <c r="H126" s="16">
        <f t="shared" si="8"/>
        <v>330</v>
      </c>
      <c r="I126" s="17">
        <v>0</v>
      </c>
      <c r="J126" s="16">
        <f t="shared" si="9"/>
        <v>330</v>
      </c>
      <c r="K126" s="14" t="s">
        <v>24</v>
      </c>
      <c r="L126" s="14">
        <v>0</v>
      </c>
    </row>
    <row r="127" spans="1:12" s="14" customFormat="1" ht="135" x14ac:dyDescent="0.25">
      <c r="A127" s="14" t="s">
        <v>260</v>
      </c>
      <c r="B127" s="14" t="s">
        <v>24</v>
      </c>
      <c r="C127" s="14" t="s">
        <v>200</v>
      </c>
      <c r="D127" s="14" t="s">
        <v>261</v>
      </c>
      <c r="E127" s="14">
        <v>80</v>
      </c>
      <c r="F127" s="14" t="s">
        <v>29</v>
      </c>
      <c r="G127" s="15">
        <v>3.3</v>
      </c>
      <c r="H127" s="16">
        <f t="shared" si="8"/>
        <v>264</v>
      </c>
      <c r="I127" s="17">
        <v>0</v>
      </c>
      <c r="J127" s="16">
        <f t="shared" si="9"/>
        <v>264</v>
      </c>
      <c r="K127" s="14" t="s">
        <v>24</v>
      </c>
      <c r="L127" s="14">
        <v>0</v>
      </c>
    </row>
    <row r="128" spans="1:12" s="14" customFormat="1" ht="135" x14ac:dyDescent="0.25">
      <c r="A128" s="14" t="s">
        <v>262</v>
      </c>
      <c r="B128" s="14" t="s">
        <v>24</v>
      </c>
      <c r="C128" s="14" t="s">
        <v>200</v>
      </c>
      <c r="D128" s="14" t="s">
        <v>263</v>
      </c>
      <c r="E128" s="14">
        <v>230</v>
      </c>
      <c r="F128" s="14" t="s">
        <v>29</v>
      </c>
      <c r="G128" s="15">
        <v>3.3</v>
      </c>
      <c r="H128" s="16">
        <f t="shared" si="8"/>
        <v>759</v>
      </c>
      <c r="I128" s="17">
        <v>0</v>
      </c>
      <c r="J128" s="16">
        <f t="shared" si="9"/>
        <v>759</v>
      </c>
      <c r="K128" s="14" t="s">
        <v>24</v>
      </c>
      <c r="L128" s="14">
        <v>0</v>
      </c>
    </row>
    <row r="129" spans="1:12" s="14" customFormat="1" ht="135" x14ac:dyDescent="0.25">
      <c r="A129" s="14" t="s">
        <v>264</v>
      </c>
      <c r="B129" s="14" t="s">
        <v>24</v>
      </c>
      <c r="C129" s="14" t="s">
        <v>200</v>
      </c>
      <c r="D129" s="14" t="s">
        <v>265</v>
      </c>
      <c r="E129" s="14">
        <v>105</v>
      </c>
      <c r="F129" s="14" t="s">
        <v>29</v>
      </c>
      <c r="G129" s="15">
        <v>3.3</v>
      </c>
      <c r="H129" s="16">
        <f t="shared" ref="H129:H145" si="10">IF(AND(ISNUMBER(E129),ISNUMBER(G129)),ROUND(PRODUCT(PRODUCT(E129, G129), 1 - L129), 2),"")</f>
        <v>346.5</v>
      </c>
      <c r="I129" s="17">
        <v>0</v>
      </c>
      <c r="J129" s="16">
        <f t="shared" ref="J129:J145" si="11">IF(AND(ISNUMBER(H129)),ROUND(PRODUCT(H129, SUM(I129,"1")), 2),"")</f>
        <v>346.5</v>
      </c>
      <c r="K129" s="14" t="s">
        <v>24</v>
      </c>
      <c r="L129" s="14">
        <v>0</v>
      </c>
    </row>
    <row r="130" spans="1:12" s="14" customFormat="1" ht="135" x14ac:dyDescent="0.25">
      <c r="A130" s="14" t="s">
        <v>266</v>
      </c>
      <c r="B130" s="14" t="s">
        <v>24</v>
      </c>
      <c r="C130" s="14" t="s">
        <v>200</v>
      </c>
      <c r="D130" s="14" t="s">
        <v>267</v>
      </c>
      <c r="E130" s="14">
        <v>105</v>
      </c>
      <c r="F130" s="14" t="s">
        <v>29</v>
      </c>
      <c r="G130" s="15">
        <v>3.3</v>
      </c>
      <c r="H130" s="16">
        <f t="shared" si="10"/>
        <v>346.5</v>
      </c>
      <c r="I130" s="17">
        <v>0</v>
      </c>
      <c r="J130" s="16">
        <f t="shared" si="11"/>
        <v>346.5</v>
      </c>
      <c r="K130" s="14" t="s">
        <v>24</v>
      </c>
      <c r="L130" s="14">
        <v>0</v>
      </c>
    </row>
    <row r="131" spans="1:12" s="14" customFormat="1" ht="135" x14ac:dyDescent="0.25">
      <c r="A131" s="14" t="s">
        <v>268</v>
      </c>
      <c r="B131" s="14" t="s">
        <v>24</v>
      </c>
      <c r="C131" s="14" t="s">
        <v>200</v>
      </c>
      <c r="D131" s="14" t="s">
        <v>269</v>
      </c>
      <c r="E131" s="14">
        <v>125</v>
      </c>
      <c r="F131" s="14" t="s">
        <v>29</v>
      </c>
      <c r="G131" s="15">
        <v>3.3</v>
      </c>
      <c r="H131" s="16">
        <f t="shared" si="10"/>
        <v>412.5</v>
      </c>
      <c r="I131" s="17">
        <v>0</v>
      </c>
      <c r="J131" s="16">
        <f t="shared" si="11"/>
        <v>412.5</v>
      </c>
      <c r="K131" s="14" t="s">
        <v>24</v>
      </c>
      <c r="L131" s="14">
        <v>0</v>
      </c>
    </row>
    <row r="132" spans="1:12" s="14" customFormat="1" ht="135" x14ac:dyDescent="0.25">
      <c r="A132" s="14" t="s">
        <v>270</v>
      </c>
      <c r="B132" s="14" t="s">
        <v>24</v>
      </c>
      <c r="C132" s="14" t="s">
        <v>200</v>
      </c>
      <c r="D132" s="14" t="s">
        <v>271</v>
      </c>
      <c r="E132" s="14">
        <v>315</v>
      </c>
      <c r="F132" s="14" t="s">
        <v>29</v>
      </c>
      <c r="G132" s="15">
        <v>3.3</v>
      </c>
      <c r="H132" s="16">
        <f t="shared" si="10"/>
        <v>1039.5</v>
      </c>
      <c r="I132" s="17">
        <v>0</v>
      </c>
      <c r="J132" s="16">
        <f t="shared" si="11"/>
        <v>1039.5</v>
      </c>
      <c r="K132" s="14" t="s">
        <v>24</v>
      </c>
      <c r="L132" s="14">
        <v>0</v>
      </c>
    </row>
    <row r="133" spans="1:12" s="14" customFormat="1" ht="135" x14ac:dyDescent="0.25">
      <c r="A133" s="14" t="s">
        <v>272</v>
      </c>
      <c r="B133" s="14" t="s">
        <v>24</v>
      </c>
      <c r="C133" s="14" t="s">
        <v>200</v>
      </c>
      <c r="D133" s="14" t="s">
        <v>273</v>
      </c>
      <c r="E133" s="14">
        <v>90</v>
      </c>
      <c r="F133" s="14" t="s">
        <v>29</v>
      </c>
      <c r="G133" s="15">
        <v>3.3</v>
      </c>
      <c r="H133" s="16">
        <f t="shared" si="10"/>
        <v>297</v>
      </c>
      <c r="I133" s="17">
        <v>0</v>
      </c>
      <c r="J133" s="16">
        <f t="shared" si="11"/>
        <v>297</v>
      </c>
      <c r="K133" s="14" t="s">
        <v>24</v>
      </c>
      <c r="L133" s="14">
        <v>0</v>
      </c>
    </row>
    <row r="134" spans="1:12" s="14" customFormat="1" ht="135" x14ac:dyDescent="0.25">
      <c r="A134" s="14" t="s">
        <v>274</v>
      </c>
      <c r="B134" s="14" t="s">
        <v>24</v>
      </c>
      <c r="C134" s="14" t="s">
        <v>200</v>
      </c>
      <c r="D134" s="14" t="s">
        <v>275</v>
      </c>
      <c r="E134" s="14">
        <v>250</v>
      </c>
      <c r="F134" s="14" t="s">
        <v>29</v>
      </c>
      <c r="G134" s="15">
        <v>3.3</v>
      </c>
      <c r="H134" s="16">
        <f t="shared" si="10"/>
        <v>825</v>
      </c>
      <c r="I134" s="17">
        <v>0</v>
      </c>
      <c r="J134" s="16">
        <f t="shared" si="11"/>
        <v>825</v>
      </c>
      <c r="K134" s="14" t="s">
        <v>24</v>
      </c>
      <c r="L134" s="14">
        <v>0</v>
      </c>
    </row>
    <row r="135" spans="1:12" s="14" customFormat="1" ht="135" x14ac:dyDescent="0.25">
      <c r="A135" s="14" t="s">
        <v>276</v>
      </c>
      <c r="B135" s="14" t="s">
        <v>24</v>
      </c>
      <c r="C135" s="14" t="s">
        <v>200</v>
      </c>
      <c r="D135" s="14" t="s">
        <v>277</v>
      </c>
      <c r="E135" s="14">
        <v>345</v>
      </c>
      <c r="F135" s="14" t="s">
        <v>29</v>
      </c>
      <c r="G135" s="15">
        <v>3.3</v>
      </c>
      <c r="H135" s="16">
        <f t="shared" si="10"/>
        <v>1138.5</v>
      </c>
      <c r="I135" s="17">
        <v>0</v>
      </c>
      <c r="J135" s="16">
        <f t="shared" si="11"/>
        <v>1138.5</v>
      </c>
      <c r="K135" s="14" t="s">
        <v>24</v>
      </c>
      <c r="L135" s="14">
        <v>0</v>
      </c>
    </row>
    <row r="136" spans="1:12" s="14" customFormat="1" ht="135" x14ac:dyDescent="0.25">
      <c r="A136" s="14" t="s">
        <v>278</v>
      </c>
      <c r="B136" s="14" t="s">
        <v>24</v>
      </c>
      <c r="C136" s="14" t="s">
        <v>200</v>
      </c>
      <c r="D136" s="14" t="s">
        <v>279</v>
      </c>
      <c r="E136" s="14">
        <v>115</v>
      </c>
      <c r="F136" s="14" t="s">
        <v>29</v>
      </c>
      <c r="G136" s="15">
        <v>3.3</v>
      </c>
      <c r="H136" s="16">
        <f t="shared" si="10"/>
        <v>379.5</v>
      </c>
      <c r="I136" s="17">
        <v>0</v>
      </c>
      <c r="J136" s="16">
        <f t="shared" si="11"/>
        <v>379.5</v>
      </c>
      <c r="K136" s="14" t="s">
        <v>24</v>
      </c>
      <c r="L136" s="14">
        <v>0</v>
      </c>
    </row>
    <row r="137" spans="1:12" s="14" customFormat="1" ht="135" x14ac:dyDescent="0.25">
      <c r="A137" s="14" t="s">
        <v>280</v>
      </c>
      <c r="B137" s="14" t="s">
        <v>24</v>
      </c>
      <c r="C137" s="14" t="s">
        <v>200</v>
      </c>
      <c r="D137" s="14" t="s">
        <v>281</v>
      </c>
      <c r="E137" s="14">
        <v>215</v>
      </c>
      <c r="F137" s="14" t="s">
        <v>29</v>
      </c>
      <c r="G137" s="15">
        <v>3.3</v>
      </c>
      <c r="H137" s="16">
        <f t="shared" si="10"/>
        <v>709.5</v>
      </c>
      <c r="I137" s="17">
        <v>0</v>
      </c>
      <c r="J137" s="16">
        <f t="shared" si="11"/>
        <v>709.5</v>
      </c>
      <c r="K137" s="14" t="s">
        <v>24</v>
      </c>
      <c r="L137" s="14">
        <v>0</v>
      </c>
    </row>
    <row r="138" spans="1:12" s="14" customFormat="1" ht="165" x14ac:dyDescent="0.25">
      <c r="A138" s="14" t="s">
        <v>282</v>
      </c>
      <c r="B138" s="14" t="s">
        <v>24</v>
      </c>
      <c r="C138" s="14" t="s">
        <v>200</v>
      </c>
      <c r="D138" s="14" t="s">
        <v>283</v>
      </c>
      <c r="E138" s="14">
        <v>225</v>
      </c>
      <c r="F138" s="14" t="s">
        <v>29</v>
      </c>
      <c r="G138" s="15">
        <v>3.3</v>
      </c>
      <c r="H138" s="16">
        <f t="shared" si="10"/>
        <v>742.5</v>
      </c>
      <c r="I138" s="17">
        <v>0</v>
      </c>
      <c r="J138" s="16">
        <f t="shared" si="11"/>
        <v>742.5</v>
      </c>
      <c r="K138" s="14" t="s">
        <v>24</v>
      </c>
      <c r="L138" s="14">
        <v>0</v>
      </c>
    </row>
    <row r="139" spans="1:12" s="14" customFormat="1" ht="165" x14ac:dyDescent="0.25">
      <c r="A139" s="14" t="s">
        <v>284</v>
      </c>
      <c r="B139" s="14" t="s">
        <v>24</v>
      </c>
      <c r="C139" s="14" t="s">
        <v>200</v>
      </c>
      <c r="D139" s="14" t="s">
        <v>285</v>
      </c>
      <c r="E139" s="14">
        <v>205</v>
      </c>
      <c r="F139" s="14" t="s">
        <v>29</v>
      </c>
      <c r="G139" s="15">
        <v>3.3</v>
      </c>
      <c r="H139" s="16">
        <f t="shared" si="10"/>
        <v>676.5</v>
      </c>
      <c r="I139" s="17">
        <v>0</v>
      </c>
      <c r="J139" s="16">
        <f t="shared" si="11"/>
        <v>676.5</v>
      </c>
      <c r="K139" s="14" t="s">
        <v>24</v>
      </c>
      <c r="L139" s="14">
        <v>0</v>
      </c>
    </row>
    <row r="140" spans="1:12" s="14" customFormat="1" ht="165" x14ac:dyDescent="0.25">
      <c r="A140" s="14" t="s">
        <v>286</v>
      </c>
      <c r="B140" s="14" t="s">
        <v>24</v>
      </c>
      <c r="C140" s="14" t="s">
        <v>200</v>
      </c>
      <c r="D140" s="14" t="s">
        <v>287</v>
      </c>
      <c r="E140" s="14">
        <v>325</v>
      </c>
      <c r="F140" s="14" t="s">
        <v>29</v>
      </c>
      <c r="G140" s="15">
        <v>3.3</v>
      </c>
      <c r="H140" s="16">
        <f t="shared" si="10"/>
        <v>1072.5</v>
      </c>
      <c r="I140" s="17">
        <v>0</v>
      </c>
      <c r="J140" s="16">
        <f t="shared" si="11"/>
        <v>1072.5</v>
      </c>
      <c r="K140" s="14" t="s">
        <v>24</v>
      </c>
      <c r="L140" s="14">
        <v>0</v>
      </c>
    </row>
    <row r="141" spans="1:12" s="14" customFormat="1" ht="135" x14ac:dyDescent="0.25">
      <c r="A141" s="14" t="s">
        <v>288</v>
      </c>
      <c r="B141" s="14" t="s">
        <v>24</v>
      </c>
      <c r="C141" s="14" t="s">
        <v>200</v>
      </c>
      <c r="D141" s="14" t="s">
        <v>289</v>
      </c>
      <c r="E141" s="14">
        <v>165</v>
      </c>
      <c r="F141" s="14" t="s">
        <v>29</v>
      </c>
      <c r="G141" s="15">
        <v>3.3</v>
      </c>
      <c r="H141" s="16">
        <f t="shared" si="10"/>
        <v>544.5</v>
      </c>
      <c r="I141" s="17">
        <v>0</v>
      </c>
      <c r="J141" s="16">
        <f t="shared" si="11"/>
        <v>544.5</v>
      </c>
      <c r="K141" s="14" t="s">
        <v>24</v>
      </c>
      <c r="L141" s="14">
        <v>0</v>
      </c>
    </row>
    <row r="142" spans="1:12" s="14" customFormat="1" ht="165" x14ac:dyDescent="0.25">
      <c r="A142" s="14" t="s">
        <v>290</v>
      </c>
      <c r="B142" s="14" t="s">
        <v>24</v>
      </c>
      <c r="C142" s="14" t="s">
        <v>200</v>
      </c>
      <c r="D142" s="14" t="s">
        <v>291</v>
      </c>
      <c r="E142" s="14">
        <v>320</v>
      </c>
      <c r="F142" s="14" t="s">
        <v>29</v>
      </c>
      <c r="G142" s="15">
        <v>3.3</v>
      </c>
      <c r="H142" s="16">
        <f t="shared" si="10"/>
        <v>1056</v>
      </c>
      <c r="I142" s="17">
        <v>0</v>
      </c>
      <c r="J142" s="16">
        <f t="shared" si="11"/>
        <v>1056</v>
      </c>
      <c r="K142" s="14" t="s">
        <v>24</v>
      </c>
      <c r="L142" s="14">
        <v>0</v>
      </c>
    </row>
    <row r="143" spans="1:12" s="14" customFormat="1" ht="135" x14ac:dyDescent="0.25">
      <c r="A143" s="14" t="s">
        <v>292</v>
      </c>
      <c r="B143" s="14" t="s">
        <v>24</v>
      </c>
      <c r="C143" s="14" t="s">
        <v>200</v>
      </c>
      <c r="D143" s="14" t="s">
        <v>293</v>
      </c>
      <c r="E143" s="14">
        <v>2535</v>
      </c>
      <c r="F143" s="14" t="s">
        <v>29</v>
      </c>
      <c r="G143" s="15">
        <v>3.3</v>
      </c>
      <c r="H143" s="16">
        <f t="shared" si="10"/>
        <v>8365.5</v>
      </c>
      <c r="I143" s="17">
        <v>0</v>
      </c>
      <c r="J143" s="16">
        <f t="shared" si="11"/>
        <v>8365.5</v>
      </c>
      <c r="K143" s="14" t="s">
        <v>24</v>
      </c>
      <c r="L143" s="14">
        <v>0</v>
      </c>
    </row>
    <row r="144" spans="1:12" s="14" customFormat="1" ht="135" x14ac:dyDescent="0.25">
      <c r="A144" s="14" t="s">
        <v>294</v>
      </c>
      <c r="B144" s="14" t="s">
        <v>24</v>
      </c>
      <c r="C144" s="14" t="s">
        <v>200</v>
      </c>
      <c r="D144" s="14" t="s">
        <v>295</v>
      </c>
      <c r="E144" s="14">
        <v>400</v>
      </c>
      <c r="F144" s="14" t="s">
        <v>29</v>
      </c>
      <c r="G144" s="15">
        <v>3.3</v>
      </c>
      <c r="H144" s="16">
        <f t="shared" si="10"/>
        <v>1320</v>
      </c>
      <c r="I144" s="17">
        <v>0</v>
      </c>
      <c r="J144" s="16">
        <f t="shared" si="11"/>
        <v>1320</v>
      </c>
      <c r="K144" s="14" t="s">
        <v>24</v>
      </c>
      <c r="L144" s="14">
        <v>0</v>
      </c>
    </row>
    <row r="145" spans="1:12" s="14" customFormat="1" ht="135" x14ac:dyDescent="0.25">
      <c r="A145" s="14" t="s">
        <v>296</v>
      </c>
      <c r="B145" s="14" t="s">
        <v>24</v>
      </c>
      <c r="C145" s="14" t="s">
        <v>200</v>
      </c>
      <c r="D145" s="14" t="s">
        <v>297</v>
      </c>
      <c r="E145" s="14">
        <v>200</v>
      </c>
      <c r="F145" s="14" t="s">
        <v>29</v>
      </c>
      <c r="G145" s="15">
        <v>3.3</v>
      </c>
      <c r="H145" s="16">
        <f t="shared" si="10"/>
        <v>660</v>
      </c>
      <c r="I145" s="17">
        <v>0</v>
      </c>
      <c r="J145" s="16">
        <f t="shared" si="11"/>
        <v>660</v>
      </c>
      <c r="K145" s="14" t="s">
        <v>24</v>
      </c>
      <c r="L145" s="14">
        <v>0</v>
      </c>
    </row>
    <row r="146" spans="1:12" s="12" customFormat="1" x14ac:dyDescent="0.25">
      <c r="A146" s="12" t="s">
        <v>298</v>
      </c>
      <c r="C146" s="12" t="s">
        <v>299</v>
      </c>
      <c r="H146" s="13">
        <f>SUM(H147,H150,H152,H154)</f>
        <v>14949.720000000001</v>
      </c>
      <c r="J146" s="13" t="e">
        <f>SUM(J147,J150,J152,#REF!,J154,#REF!)</f>
        <v>#REF!</v>
      </c>
    </row>
    <row r="147" spans="1:12" s="12" customFormat="1" x14ac:dyDescent="0.25">
      <c r="A147" s="12" t="s">
        <v>300</v>
      </c>
      <c r="C147" s="12" t="s">
        <v>27</v>
      </c>
      <c r="H147" s="13">
        <v>0</v>
      </c>
      <c r="J147" s="13">
        <v>0</v>
      </c>
    </row>
    <row r="148" spans="1:12" s="14" customFormat="1" ht="409.5" x14ac:dyDescent="0.25">
      <c r="C148" s="14" t="s">
        <v>22</v>
      </c>
      <c r="D148" s="14" t="s">
        <v>23</v>
      </c>
      <c r="K148" s="14" t="s">
        <v>24</v>
      </c>
    </row>
    <row r="149" spans="1:12" s="14" customFormat="1" ht="210" x14ac:dyDescent="0.25">
      <c r="C149" s="14" t="s">
        <v>301</v>
      </c>
      <c r="D149" s="14" t="s">
        <v>302</v>
      </c>
      <c r="K149" s="14" t="s">
        <v>24</v>
      </c>
    </row>
    <row r="150" spans="1:12" s="12" customFormat="1" x14ac:dyDescent="0.25">
      <c r="A150" s="12" t="s">
        <v>303</v>
      </c>
      <c r="C150" s="12" t="s">
        <v>304</v>
      </c>
      <c r="H150" s="13">
        <f>SUM(,H151)</f>
        <v>6699.72</v>
      </c>
      <c r="J150" s="13" t="e">
        <f>SUM(#REF!,J151)</f>
        <v>#REF!</v>
      </c>
    </row>
    <row r="151" spans="1:12" s="14" customFormat="1" ht="240" x14ac:dyDescent="0.25">
      <c r="A151" s="14" t="s">
        <v>305</v>
      </c>
      <c r="B151" s="14" t="s">
        <v>24</v>
      </c>
      <c r="C151" s="14" t="s">
        <v>306</v>
      </c>
      <c r="D151" s="14" t="s">
        <v>307</v>
      </c>
      <c r="E151" s="14">
        <v>1800</v>
      </c>
      <c r="F151" s="14" t="s">
        <v>29</v>
      </c>
      <c r="G151" s="15">
        <v>3.7220680618464614</v>
      </c>
      <c r="H151" s="16">
        <f>IF(AND(ISNUMBER(E151),ISNUMBER(G151)),ROUND(PRODUCT(PRODUCT(E151, G151), 1 - L151), 2),"")</f>
        <v>6699.72</v>
      </c>
      <c r="I151" s="17">
        <v>0</v>
      </c>
      <c r="J151" s="16">
        <f>IF(AND(ISNUMBER(H151)),ROUND(PRODUCT(H151, SUM(I151,"1")), 2),"")</f>
        <v>6699.72</v>
      </c>
      <c r="K151" s="14" t="s">
        <v>24</v>
      </c>
      <c r="L151" s="14">
        <v>0</v>
      </c>
    </row>
    <row r="152" spans="1:12" s="12" customFormat="1" x14ac:dyDescent="0.25">
      <c r="A152" s="12" t="s">
        <v>308</v>
      </c>
      <c r="C152" s="12" t="s">
        <v>309</v>
      </c>
      <c r="H152" s="13">
        <f>SUM(H153)</f>
        <v>8250</v>
      </c>
      <c r="J152" s="13">
        <f>SUM(J153)</f>
        <v>8250</v>
      </c>
    </row>
    <row r="153" spans="1:12" s="14" customFormat="1" ht="210" x14ac:dyDescent="0.25">
      <c r="A153" s="14" t="s">
        <v>310</v>
      </c>
      <c r="B153" s="14" t="s">
        <v>24</v>
      </c>
      <c r="C153" s="14" t="s">
        <v>311</v>
      </c>
      <c r="D153" s="14" t="s">
        <v>312</v>
      </c>
      <c r="E153" s="14">
        <v>5</v>
      </c>
      <c r="F153" s="14" t="s">
        <v>25</v>
      </c>
      <c r="G153" s="15">
        <v>1650</v>
      </c>
      <c r="H153" s="16">
        <f>IF(AND(ISNUMBER(E153),ISNUMBER(G153)),ROUND(PRODUCT(PRODUCT(E153, G153), 1 - L153), 2),"")</f>
        <v>8250</v>
      </c>
      <c r="I153" s="17">
        <v>0</v>
      </c>
      <c r="J153" s="16">
        <f>IF(AND(ISNUMBER(H153)),ROUND(PRODUCT(H153, SUM(I153,"1")), 2),"")</f>
        <v>8250</v>
      </c>
      <c r="K153" s="14" t="s">
        <v>24</v>
      </c>
      <c r="L153" s="14">
        <v>0</v>
      </c>
    </row>
    <row r="154" spans="1:12" s="12" customFormat="1" x14ac:dyDescent="0.25">
      <c r="A154" s="12" t="s">
        <v>313</v>
      </c>
      <c r="C154" s="12" t="s">
        <v>314</v>
      </c>
      <c r="H154" s="13">
        <f>SUM(H155)</f>
        <v>0</v>
      </c>
      <c r="J154" s="13">
        <f>SUM(J155)</f>
        <v>0</v>
      </c>
    </row>
    <row r="155" spans="1:12" s="14" customFormat="1" ht="345" x14ac:dyDescent="0.25">
      <c r="A155" s="14" t="s">
        <v>315</v>
      </c>
      <c r="B155" s="14" t="s">
        <v>24</v>
      </c>
      <c r="C155" s="14" t="s">
        <v>316</v>
      </c>
      <c r="D155" s="14" t="s">
        <v>317</v>
      </c>
      <c r="E155" s="14">
        <v>1</v>
      </c>
      <c r="F155" s="14" t="s">
        <v>25</v>
      </c>
      <c r="G155" s="15"/>
      <c r="H155" s="16" t="str">
        <f>IF(AND(ISNUMBER(E155),ISNUMBER(G155)),ROUND(PRODUCT(PRODUCT(E155, G155), 1 - L155), 2),"")</f>
        <v/>
      </c>
      <c r="I155" s="17">
        <v>0</v>
      </c>
      <c r="J155" s="16" t="str">
        <f>IF(AND(ISNUMBER(H155)),ROUND(PRODUCT(H155, SUM(I155,"1")), 2),"")</f>
        <v/>
      </c>
      <c r="K155" s="14" t="s">
        <v>24</v>
      </c>
      <c r="L155" s="14">
        <v>0</v>
      </c>
    </row>
  </sheetData>
  <autoFilter ref="A23:L155" xr:uid="{00000000-0001-0000-0000-000000000000}"/>
  <mergeCells count="14">
    <mergeCell ref="A11:X11"/>
    <mergeCell ref="A12:X12"/>
    <mergeCell ref="A13:X13"/>
    <mergeCell ref="A22:X22"/>
    <mergeCell ref="A6:X6"/>
    <mergeCell ref="A7:X7"/>
    <mergeCell ref="A8:X8"/>
    <mergeCell ref="A9:X9"/>
    <mergeCell ref="A10:X10"/>
    <mergeCell ref="A1:X1"/>
    <mergeCell ref="A2:X2"/>
    <mergeCell ref="A3:X3"/>
    <mergeCell ref="A4:X4"/>
    <mergeCell ref="A5:X5"/>
  </mergeCells>
  <pageMargins left="0.7" right="0.7" top="0.75" bottom="0.75" header="0.3" footer="0.3"/>
  <pageSetup scale="26"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3A51507092ABC42A1F78E63565BAFD7" ma:contentTypeVersion="13" ma:contentTypeDescription="Stvaranje novog dokumenta." ma:contentTypeScope="" ma:versionID="431a5ee93854b27944054346f0b25a8a">
  <xsd:schema xmlns:xsd="http://www.w3.org/2001/XMLSchema" xmlns:xs="http://www.w3.org/2001/XMLSchema" xmlns:p="http://schemas.microsoft.com/office/2006/metadata/properties" xmlns:ns2="f915974b-6f1e-4350-9f7e-2d11fb1812c4" xmlns:ns3="cb3740f1-362a-4884-a648-7855dba250b9" targetNamespace="http://schemas.microsoft.com/office/2006/metadata/properties" ma:root="true" ma:fieldsID="1e05be92481b3b8621a13a8b50557f24" ns2:_="" ns3:_="">
    <xsd:import namespace="f915974b-6f1e-4350-9f7e-2d11fb1812c4"/>
    <xsd:import namespace="cb3740f1-362a-4884-a648-7855dba250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15974b-6f1e-4350-9f7e-2d11fb1812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Oznake slika" ma:readOnly="false" ma:fieldId="{5cf76f15-5ced-4ddc-b409-7134ff3c332f}" ma:taxonomyMulti="true" ma:sspId="3751c936-5afc-4ad0-aeab-ca19b149ef1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3740f1-362a-4884-a648-7855dba250b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9648af3-417c-4ecd-a1bc-5e03dfaadbd5}" ma:internalName="TaxCatchAll" ma:showField="CatchAllData" ma:web="cb3740f1-362a-4884-a648-7855dba250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sadržaja"/>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915974b-6f1e-4350-9f7e-2d11fb1812c4">
      <Terms xmlns="http://schemas.microsoft.com/office/infopath/2007/PartnerControls"/>
    </lcf76f155ced4ddcb4097134ff3c332f>
    <TaxCatchAll xmlns="cb3740f1-362a-4884-a648-7855dba250b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40D155-E52F-49DD-B34A-D69C5DDBF3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15974b-6f1e-4350-9f7e-2d11fb1812c4"/>
    <ds:schemaRef ds:uri="cb3740f1-362a-4884-a648-7855dba250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5508ACD-CAB2-46CF-9FCD-030A6064EBC5}">
  <ds:schemaRefs>
    <ds:schemaRef ds:uri="http://schemas.microsoft.com/office/2006/metadata/properties"/>
    <ds:schemaRef ds:uri="http://schemas.microsoft.com/office/infopath/2007/PartnerControls"/>
    <ds:schemaRef ds:uri="f915974b-6f1e-4350-9f7e-2d11fb1812c4"/>
    <ds:schemaRef ds:uri="cb3740f1-362a-4884-a648-7855dba250b9"/>
  </ds:schemaRefs>
</ds:datastoreItem>
</file>

<file path=customXml/itemProps3.xml><?xml version="1.0" encoding="utf-8"?>
<ds:datastoreItem xmlns:ds="http://schemas.openxmlformats.org/officeDocument/2006/customXml" ds:itemID="{C25DF90E-F47F-44BB-BA7A-6F9790600154}">
  <ds:schemaRefs>
    <ds:schemaRef ds:uri="http://schemas.microsoft.com/sharepoint/v3/contenttype/forms"/>
  </ds:schemaRefs>
</ds:datastoreItem>
</file>

<file path=docMetadata/LabelInfo.xml><?xml version="1.0" encoding="utf-8"?>
<clbl:labelList xmlns:clbl="http://schemas.microsoft.com/office/2020/mipLabelMetadata">
  <clbl:label id="{60b37cb2-a399-4c31-a85a-411fc8b623d3}" enabled="1" method="Standard" siteId="{d04f4717-5a6e-4b98-b3f9-6918e0385f4c}"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2025-03-21T05:48:34Z</dcterms:created>
  <dcterms:modified xsi:type="dcterms:W3CDTF">2025-04-11T08:27:25Z</dcterms:modified>
  <cp:category/>
  <dc:language>hr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1168500</vt:r8>
  </property>
  <property fmtid="{D5CDD505-2E9C-101B-9397-08002B2CF9AE}" pid="3" name="ContentTypeId">
    <vt:lpwstr>0x01010053A51507092ABC42A1F78E63565BAFD7</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
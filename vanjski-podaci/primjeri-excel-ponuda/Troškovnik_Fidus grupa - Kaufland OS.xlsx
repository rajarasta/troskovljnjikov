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8_{321CFC3E-16CB-4BAD-ADB7-D37DCF9078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sheet1!$A$23:$L$83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H32" i="1"/>
  <c r="J32" i="1" s="1"/>
  <c r="H35" i="1"/>
  <c r="H34" i="1" s="1"/>
  <c r="H29" i="1"/>
  <c r="H81" i="1"/>
  <c r="J81" i="1" s="1"/>
  <c r="H80" i="1"/>
  <c r="J80" i="1" s="1"/>
  <c r="H79" i="1"/>
  <c r="J79" i="1" s="1"/>
  <c r="H78" i="1"/>
  <c r="J78" i="1" s="1"/>
  <c r="H77" i="1"/>
  <c r="J77" i="1" s="1"/>
  <c r="H76" i="1"/>
  <c r="J76" i="1" s="1"/>
  <c r="H75" i="1"/>
  <c r="J75" i="1" s="1"/>
  <c r="H74" i="1"/>
  <c r="J74" i="1" s="1"/>
  <c r="H73" i="1"/>
  <c r="J73" i="1" s="1"/>
  <c r="H72" i="1"/>
  <c r="J72" i="1" s="1"/>
  <c r="H71" i="1"/>
  <c r="J71" i="1" s="1"/>
  <c r="H70" i="1"/>
  <c r="J70" i="1" s="1"/>
  <c r="H69" i="1"/>
  <c r="J69" i="1" s="1"/>
  <c r="H68" i="1"/>
  <c r="J68" i="1" s="1"/>
  <c r="H67" i="1"/>
  <c r="J67" i="1" s="1"/>
  <c r="H66" i="1"/>
  <c r="J66" i="1" s="1"/>
  <c r="H65" i="1"/>
  <c r="J65" i="1" s="1"/>
  <c r="H64" i="1"/>
  <c r="J64" i="1" s="1"/>
  <c r="H62" i="1"/>
  <c r="H61" i="1" s="1"/>
  <c r="H60" i="1"/>
  <c r="J60" i="1" s="1"/>
  <c r="H59" i="1"/>
  <c r="J59" i="1" s="1"/>
  <c r="H58" i="1"/>
  <c r="J58" i="1" s="1"/>
  <c r="H57" i="1"/>
  <c r="J57" i="1" s="1"/>
  <c r="H56" i="1"/>
  <c r="J56" i="1" s="1"/>
  <c r="H55" i="1"/>
  <c r="J55" i="1" s="1"/>
  <c r="H54" i="1"/>
  <c r="J54" i="1" s="1"/>
  <c r="H52" i="1"/>
  <c r="J52" i="1" s="1"/>
  <c r="H51" i="1"/>
  <c r="J51" i="1" s="1"/>
  <c r="H50" i="1"/>
  <c r="H48" i="1"/>
  <c r="J48" i="1" s="1"/>
  <c r="H47" i="1"/>
  <c r="J47" i="1" s="1"/>
  <c r="H46" i="1"/>
  <c r="J46" i="1" s="1"/>
  <c r="H45" i="1"/>
  <c r="H30" i="1" l="1"/>
  <c r="J35" i="1"/>
  <c r="J62" i="1"/>
  <c r="J61" i="1" s="1"/>
  <c r="H49" i="1"/>
  <c r="H63" i="1"/>
  <c r="J63" i="1"/>
  <c r="H53" i="1"/>
  <c r="J31" i="1"/>
  <c r="J30" i="1" s="1"/>
  <c r="J45" i="1"/>
  <c r="J44" i="1" s="1"/>
  <c r="H44" i="1"/>
  <c r="J50" i="1"/>
  <c r="J49" i="1" s="1"/>
  <c r="J29" i="1"/>
  <c r="J53" i="1"/>
  <c r="H36" i="1" l="1"/>
  <c r="J14" i="1" s="1"/>
  <c r="J36" i="1"/>
  <c r="J17" i="1" l="1"/>
  <c r="J18" i="1" s="1"/>
  <c r="J20" i="1" s="1"/>
  <c r="J19" i="1" s="1"/>
</calcChain>
</file>

<file path=xl/sharedStrings.xml><?xml version="1.0" encoding="utf-8"?>
<sst xmlns="http://schemas.openxmlformats.org/spreadsheetml/2006/main" count="294" uniqueCount="174">
  <si>
    <t>Kaufland Hrvatska k.d.</t>
  </si>
  <si>
    <t>Donje svetice 14 10000 Zagreb, Hrvatska</t>
  </si>
  <si>
    <t>Broj telefona: 0994344287</t>
  </si>
  <si>
    <t>Projekt: Osijek-Retfala</t>
  </si>
  <si>
    <t>Gradilište: Svilajska ul., 31000 Osijek</t>
  </si>
  <si>
    <t>Ukupni neto iznos</t>
  </si>
  <si>
    <t>Popust</t>
  </si>
  <si>
    <t>Ukupni iznos s popustom</t>
  </si>
  <si>
    <t>Zakonska stopa PDV-a</t>
  </si>
  <si>
    <t>Ukupni bruto iznos</t>
  </si>
  <si>
    <t>Gotovinski popust/Rok u danima</t>
  </si>
  <si>
    <t>Ukupni bruto iznos (s gotovinskim popustom)</t>
  </si>
  <si>
    <t>Kod</t>
  </si>
  <si>
    <t>Vrsta</t>
  </si>
  <si>
    <t>Kratki opis</t>
  </si>
  <si>
    <t>Dugi opis</t>
  </si>
  <si>
    <t>Količina</t>
  </si>
  <si>
    <t>Jedinica</t>
  </si>
  <si>
    <t>Jedinična cijena</t>
  </si>
  <si>
    <t>Ukupno</t>
  </si>
  <si>
    <t>Stopa PDV-a</t>
  </si>
  <si>
    <t>bidderInputLabels</t>
  </si>
  <si>
    <t>200</t>
  </si>
  <si>
    <t>Građevinski i niskogradnja</t>
  </si>
  <si>
    <t>201</t>
  </si>
  <si>
    <t>Oprema gradilišta</t>
  </si>
  <si>
    <t>201.000</t>
  </si>
  <si>
    <t>Opći uvjeti i napomene</t>
  </si>
  <si>
    <t>ZTV - Dodatni tehnički uvjeti ugovora</t>
  </si>
  <si>
    <t>1.) Dodatni ugovoreni tehnički uvjeti dio su troškovnika te u slučaju ugovaranja postaju dio ugovora. Izvođač radova se dakle obavezuje na sve radove i primjene koje proizlaze iz ovih uvjeta te su one uračunate u cijenu, ukoliko nisu zasebno ponuđene.
2.) Cijene stavki se prikazuju kao neto iznos u državnoj valuti. Važeći zakonski propisani porez na dodanu vrijednost obračunava se zasebno.
3.) U slučaju proturječnosti dodatnih ugovorenih tehničkih uvjeta vrijede prvenstveno podaci iz troškovnika. U slučaju proturječnosti između troškovnika i tehničke dokumentacije koja se predaje prilikom natječaja, vrijedi tehnička dokumentacija.
4.) Prije početka davanja ponude, ponuditelj je dužan pažljivo pročitati kompletan tekst općih uvjeta uz troškovnik, općih i posebnih uvjeta uz svaku grupu radova, tekst samog troškovnika i ostale dijelove tehničke dokumentacije. Ako opis bilo koje stavke u troškovniku dovodi do sumnje o načinu izvedbe ili upotrebu gradiva zahtijevane kvalitete, treba prije predaje ponude zatražiti pojašnjenje od ovlaštene osobe Investitora. Naknadno pozivanje na manjkavost ili nepoznavanje projektno-tehničke dokumentacije ili opisa u troškovniku neće se uzeti u obzir, niti smatrati razlogom za produženje roka izvedbe, a niti će se priznati bilo kakva razlika u cijeni s tog naslova.
5.) Tehnička dokumentacija koja se predaje prilikom natječaja informativnog je karaktera, a ponuđač je dužan u svom trošku izvršiti kontrolu projektno tehničke dokumentacije u smislu točnosti, tehničke ispravnosti, izvedivosti i međusobne usklađenosti. Sve eventualne primjedbe ponuditelj/izvoditelj dužan je pravovremeno uz ponudu, a u svakom slučaju prije izvedbe u pisanom obliku dostaviti Nadzoru i Naručitelju
6.) Ponuditelj je dužan provesti i kontrolu lokacije na licu mjesta prije davanja ponude. Jedinične cijene za pojedine vrste radova sadrže i sve one posredne troškove koji nisu iskazani u troškovniku, ali su neminovni za izvršenje radova predviđenih projektom.
7.) Organizacija gradilišta uračunata je u cijenu, ukoliko nije ponuđena kao zasebna stavka.
8.) Dizalice za podizanje, skele, strojevi, alati, pomoćna sredstva i konstrukcije uzeti su u obzir te su uračunati u jediničnu cijenu.
9.) Skele za radove na fasadi i radove na krovu predmet su ovog natječaja. Ponuditelj smije koristiti postojeće skele uz poštivanje sigurnosnih uvjeta i na vlastitu odgovornost. Preinake na skelama nisu dozvoljene te se one moraju predati u ispravnom stanju u kojem su i preuzete.
10.) Kompletnu režiju gradilišta usigurava i rješava ponuditelj/izvođač i i uključena je u jediničnu cijenu.
11.) Ponuditelj je obvezan redovno prikupljati i ,pravilno skladištiti i odvoziti na ovlašteni deponij sve otpadne materijale, ostatke, krhotine, građevinski otpad, ambalaže, obični otpad i slično o vlastitom trošku. Kod odlaganja otpada potrebno je pridržavati se svih javnopravnih uputa i propisa.
12.) Onečišćenja koja uslijed radova nastaju na susjednim terenima, zgradama, putovima, cestama, trgovima i slično, izvođač radova treba svakodnevno čistiti.
13.) Izvođač preuzima odgovornost za osiguravanje, skladištenje i spremanje vlastite građevinske opreme, strojeva, uređaja, alata i slično. Jednako vrijedi i za građevinske materijale, elemente i za ugradnju određenih uređaja i objekata sve do primopredaje obavljenih građevinskih radova.
14.) Prilikom izvođenja radova, izvoditelj treba zaštititi sve susjedne plohe, dijelove konstrukcije i prethodno izvedene radove na prikladan način a u skladu sa pravilima zaštite na radu, tako da ne dođe do oštećenja istih. Troškove zaštite treba izvoditelj ukalkulirati u ponudbenu cijenu izvođenja radova. Ukoliko ipak dođe do oštećenja prethodno izvedenih radova za koje je odgovoran izvoditelj ili njegov kooperant, dužan je iste o svom trošku dovesti u stanje prije oštećenja ili naručiti iste radove kod drugog izvoditelja na svoj teret.
15.) Sve potrebne mjere prema javnopravnim uputama i propisima za sigurnost i zaštitu zdravlja trebaju se uzeti u obzir te ih se treba pridržavati prilikom izvođenja radova.
16.) Prilikom davanja ponude i izvođenja radova treba se uzeti u obzir, uračunati i pridržavati se
- svih državnih i javnopravnih zakona, smjernica i propisa
- svih odgovarajućih tehničkih standarda, pravila i smjernica
- općeprihvaćenih pravila tehnike
- uputa, propisa i napomena proizvođača za ugradnju i obradu
- Kauflandovih građevinskih opisa, ugovorenih uvjeta i ostalih Kauflandovih dokumenata i planova.
17.) Stavke troškovnika obuhvačaju konačno dovršenje radova definiranih po količini i kvaliteti, onosno podrazumijevaju se kao gotove, potpune i funkcionirajuće, uklj. sve potrebne male dijelove i sredstva za pričvršćivanje, pomoćne materijale i sredstva, podkonstrukcije itd., kao i sve dodatne i posebne usluge - čak i kada one nisu detaljno opisane.
18.) Ako su treće stranke uključene u izvođenje predradnji, izvođač radova ih treba provjeravati. U slučaju nepravilnosti ili prigovora pravovremeno treba informirati naručitelja, tako da može tehnički i organizacijski dovršiti poslove.
19.) Obavezno se treba pridržavati svih Kauflandovih proizvodnih uputa, osim ako postoje opravdani razlozi za odstupanje (npr. dostupnost). U tom slučaju izvođač treba ponuditi istovjetni proizvod ili sustav te potvrditi istovjetnost. O njoj odlučuje naručitelj.
20.) Sustavi se izvode isključivo pomoću komponenata koje su predviđene od strane proizvođača sustava.
21.) Svi materijali, građevinski elementi i uređaji koji neposredno utječu na izgled i funkcionalnost prije ugradnje se trebaju provjeriti. Ugrađuju se tek nakon što naručitelj ili ovlaštena osoba odobri ugradnju na gradilištu. O vrsti i obliku uzorka odlučuje naručitelj.
22.) Ako nije drukčije propisano, izmjene postojećih projektnih rješenja od strane ponuditelja/izvođača a koje utječu na mehaničku stabilnost, ponuditelj/izvođač je dužan u svom trošku ishoditi sve suglasnosti, dozvole i sl.
Projekt izvedenog stanja ukalkulirati u jedničnu cijenu te dostaviti Kauflandu u pisanom i digitalnom obliku.
23.) Svi radovi na objektu te primjenjeni sistemi gradnje moraju biti izvedeni prema pravilu struke, odnosnu u granicama dopuštenih tolerancija.
24.) Ukoliko je ugovoreni termin izvršenja objekta uključen i zimski odnosno ljetni period, to se neće posebno izvođaču priznavati na ime naknade za rad pri niskoj temperaturi, zaštita konstrukcija od hladnoće i vrućine, te atmosferskih nepogoda, sve mora biti uključeno u jediničnu cijenu. Za vrijeme zime objekat se mora zaštititi. Svi eventualni smrznuti dijelovi moraju se ukloniti i izvesti ponovo bez bilo kakve naplate. Ukoliko je temperatura niža od temperature pri kojoj je dozvoljen dotični rad, a Investitor ipak traži da se radi, Izvođač si ima pravo zaračunati naknadu po normi 6,006 ali u tom slučaju Izvođač snosi punu odgovornost za ispravnost i kvalitetu rada. To isto vrijedi i za zaštitu radova tokom ljeta od prebrzog sušenja uslijed visoke temperature.
25.) U jediničnu cijenu rada izvođač treba obuhvatiti i slijedeće radove, koji se neće zasebno platiti kao naknadni rad, čak i ako nisu izričito navedenei u troškovniku:
- sve vrste transporta građevinskih materijala, elemenata, uređaja, objekata itd. do mjesta ugradnje
- potrebne i uobičajene pripreme i predobrade tla
- sve vrste bušenja, zavarivanja, lijepljenja, malih dijelova, sredstava za pričvršćivanje, međupoložaja, izolacije, brtvljenja, folija, spojeva itd. koje su potrebne za priključak, montažu i pričvršćivanje građevinskih dijelova i elemenata
- stručna priprema i priključak na sve okolne dijelove, ugradbene i nadgradne elemente i propuste
- sve izrade kutova, spojnih površina i elemenata, završnih elemenata, slobodnih krajeva itd.
- sve podloge za montažu, priključak i pričvršćivanje kao što su beton, zidani elementi, čelik, aluminij, limovi, gips karton, itd.
- potrebne spojne, kose i okrugle rezove te ostatke rezanja
- Izrada otvora i proreza za instalacije i ugradbene elemente drugih izvođača
- interno povezivanje kablovima i priključak objekata, dovod prema električnim trošilima na gradilištu od strane elektro izvođača</t>
  </si>
  <si>
    <t/>
  </si>
  <si>
    <t>kom</t>
  </si>
  <si>
    <t>m</t>
  </si>
  <si>
    <t>Ostali</t>
  </si>
  <si>
    <t>Prethodne napomene</t>
  </si>
  <si>
    <t>202.050</t>
  </si>
  <si>
    <t>Parkirna platforma</t>
  </si>
  <si>
    <t>202.050.00100</t>
  </si>
  <si>
    <t>- rušenje asfalta</t>
  </si>
  <si>
    <t>Rušenje ulaznog asfalta debljine cca 10 cm</t>
  </si>
  <si>
    <t>m2</t>
  </si>
  <si>
    <t>202.060</t>
  </si>
  <si>
    <t>Unutarnji radovi</t>
  </si>
  <si>
    <t>202.060.00100</t>
  </si>
  <si>
    <t>- strojno zascjecanje postojećeg asfalta na mjestu spoja sa novim asfaltom/rubnjakom</t>
  </si>
  <si>
    <t>Strojno zasijecanje asfaltnih slojeva postojećeg kolnika na mjestima spoja novih i postojećih asfaltnih površina. Uključujući zasijecanje za potrebe spoja kanalizacijske cijevi na postojeću oborinsku u ul. Ivana Gundulića (O.T.U. 1-03.2 - Knjiga I)</t>
  </si>
  <si>
    <t>202.060.00105</t>
  </si>
  <si>
    <t>- Lokalno izmještanje vertikalne prometne signalizacije A14</t>
  </si>
  <si>
    <t>Postojeći prometni stup s postojećim prometnim znakom A14 koji se premješta lokalno na novu poziciju udaljenu 3 m od postojeće pozicije. Stavka uključuje sve potrebne radove za premještaj FeZn stupa Ø 60,3 mm dužine 2,1 m, s prometnim znakom, lokalno na novu poziciju, uključujući izradu novog betonskog temelja prema detalju iz projekta. Sve prema Pravilniku o prometnim znakovima, singalizaciji i opremi na cestama.</t>
  </si>
  <si>
    <t>202.070</t>
  </si>
  <si>
    <t>Strojarski sustavi</t>
  </si>
  <si>
    <t>202.080</t>
  </si>
  <si>
    <t>Vanjski sadržaji</t>
  </si>
  <si>
    <t>202.080.00100</t>
  </si>
  <si>
    <t>- Rušenje rubnjaka</t>
  </si>
  <si>
    <t>Rušenje rubnih ovojnica od betona kao što su visoki i spušteni rubnici, itd., s različitim pojedinačnim dimenzijama, uklj. temelj odnosno stražnji potporanj. - na ulazu u parcelu</t>
  </si>
  <si>
    <t>203</t>
  </si>
  <si>
    <t>Zemljani radovi</t>
  </si>
  <si>
    <t>203.000</t>
  </si>
  <si>
    <t>Kategorije tla prema OTU</t>
  </si>
  <si>
    <t>Kategorija tla A - podrazumijevaju se svi čvrsti materijali gdje je potrebno
miniranje kod cijelog iskopa i/ili uporaba strojeva s hidrauličkim čekićem.
Toj skupini pripadaju sve vrste čvrstih i veoma čvrstih kamenih tala , kompaktnih stijena (eruptivnih, metamorfnih i sedimentnih) u zdravom stanju, uključujući i moguće tanje slojeve rastresitog materijala na površini ili takve stijene s mjestimičnim gnijezdima ilovače i lokalnim trošnim ili zdrobljenim zonama
Kategorija tla B - podrazumijevaju se polučvrsta kamenita tla gdje je
potrebno djelomično miniranje , odnosno uporaba strojeva s hidrauličkim čekićem, a
ostali se dio iskopa obavlja izravnim strojnim radom. Toj skupini materijala pripadaju: flišni materijali, uključujući i rastresiti materijal, homogeni lapori, trošni pješčenjaci i mješavine lapora i pješčenjaka, većina dolomita (osim vrlo kompaktnih), raspadnute stijene na površini u debljim slojevima s miješanim raspadnutim zonama, jako zdrobljeni vapnenac, sve vrste škriljaca, neki konglomerati i slični materijali.
Kategorija tla C - podrazumijevaju se svi materijali koje nije potrebno
minirati, nego se mogu kopati izravno, uporabom pogodnih strojeva - buldožerom,
bagerom, ili skrejperom. U ovu kategoriju spadala bi:
● sitnozrnata vezana (koherentna) tla kao što su gline, prašine, prašinaste gline
(ilovače), pjeskovite prašine i les,
● krupnozrnata nevezana (nekoherentna) tla kao što su pijesak, šljunak ,odnosno
njihove mješavine, prirodne kamene drobine - siparišni ili slični materijali,
●mješovita tla koja su mješavina krupnozrnatih nevezanih i sitnozrnatih vezanih
materijala .</t>
  </si>
  <si>
    <t>Opseg usluga zemljani radovi</t>
  </si>
  <si>
    <t>Jediničnom cijenom obuhvatiti i slijedeće radove, koji se neće zasebno platiti kao naknadni rad, i to:
- sve podatke i informacije o građevinskom terenu i podzemnim vodama koji su navedeni u procjeni građevinskog terena
- Utvrđivanje stanja okolnih terena, objekata, putova, cesta, trgova i slično, uključujući protokoliranje
- Uklanjanje oštećenja okolnih terena, objekata, putova, cesta, trgova i slično koji nastaju uslijed radova
- Zaštitu postojećih stabala i grmlja
- Utvrđivanje i razmatranje potrebnih mjera za zaštitu (podzemnih) voda
- lokalizaciju i po potrebi osiguravanje postojećih vodova i kanala u radnom području izvođača
- lokalizaciju i po potrebi osiguravanje građevinskih objekata u radnom području izvođača
- lokalizaciju i po potrebi osiguravanje iskolčenja, graničnih kamenja, referentnih točaka, visinskih oznaka, itd. u radnom području izvođača
- ishođenje potrebnih dozvola za iskop kod nadležnih tijela
- Međutransporte i skladištenja radnog materijala izvođača, npr. za stvaranje slobodnog prostora za druge radove
- Ručne radove ukoliko nije moguće koristiti strojeve
- stručni priključak na okolne terene, objekte, putove, ceste, trgove i slično
- Stvaranje pomoćnih pristupnih putova i prilaza - ukoliko nisu uključeni u opseg organizacije gradilišta
- Mjere za odvođenje oborinskih voda kako bi se spriječilo vlaženje i smekšavanje podloge za gradnju i temelje
- Ispumpavanje površinskih i oborinskih voda
- Ishođenje potrebnih javnopravnih dozvola za materijale, građevinske elemente i dodatke koji se trebaju ugraditi u objekt.
- Stvaranje površina za postavljanje bagera</t>
  </si>
  <si>
    <t>203.010</t>
  </si>
  <si>
    <t>Priprema gradilišta</t>
  </si>
  <si>
    <t>203.020</t>
  </si>
  <si>
    <t>Površinski sloj</t>
  </si>
  <si>
    <t>203.030</t>
  </si>
  <si>
    <t>203.040</t>
  </si>
  <si>
    <t>Građevinski iskop</t>
  </si>
  <si>
    <t>203.040.00100</t>
  </si>
  <si>
    <t>- strojni široki iskop, objekt</t>
  </si>
  <si>
    <t>Iskop površine terena do dubine (do apsolutne kote +89,74mnv)
pri površini, nasip od tucanika ili šljunka te nasip od gline smeđe boje
- u bušotinama B-2 i B-4 u intervalu 0,5-1,0 m odnosno 0,8-1,4 m registriran je proslojak anorganske
glina srednje plastičnosti CI (ClI) nasipnog karaktera, teško gnječivog konzistentnog stanja, smeđe
boje
qu = 325-350 kPa (džepni penetrometar)
- na dubini prosječno 1,0 - 4,0 m (u bušotini B-5 do dubine bušenja 2,0 m) nalazi se glinoviti prah
srednje plastičnosti MI (SiI), teško gnječivog do polučvrstog konzistentnog stanja, s primjesama
konkrecija karbonata te tragovima sitnih ostataka školjki, obojan željeznim oksidom, žuto-smeđe
do žuto-sive boje
Broj udaraca NSPP = 12-13
qu = 175-325 kPa (džepni penetrometar)
cu = 45-94 kPa (džepna krilna sonda)
w0 = 21,2 %, wL = 37-38 %, wP = 26-27 %, IP = 11 %, IK = 1,53Izvedba radova,
k = 1,6*10-7 cm/s
qu = 205 kPa
c = 11,8-19,8 kPa, φ = 28,2-30,2° (izravni posmik)
Eoed, 25-50 = 3,1 MPa
Eoed, 50-100 = 4,9 MPa
Eoed, 100-200 = 7,8 MPa
Eoed, 200-400 = 13,4 MPa
- na dubini prosječno 4,0-6,0 m registrirana je anorganska glina srednje plastičnosti CI/MI (ClI/SiI),
teško gnječivog do čvrstog konzistentnog stanja, s prekomjerno praha, s tragovima konkrecija
karbonata, u bušotinama B-1 i B-2 s tragovima sitnih ostataka školjki, obojana željeznim oksidom,
žuto-smeđe i smeđe-sive do sive boje
Broj udaraca NSPP = 10
qu = 175-300 kPa (džepni penetrometar)
cu = 40-175 kPa (džepna krilna sonda)
w0 = 22,8 %, wL = 38 %, wP = 25 %, IP = 13 %, IK = 1,17
k = 1,92*10-7 cm/s
Eoed, 25-50 = 3,7 MPa
Eoed, 50-100 = 4,5 MPa
Eoed, 100-200 = 7,3 MPa
Eoed, 200-400 = 11,4 MPa
Eoed, 400-800 = 18,1 MPa
- na dubini prosječno 6,0-8,6 m registrirana je anorganska glina srednje plastičnosti CI (ClI), teško
gnječivog do polučvrstog konzistentnog stanja, s prekomjerno praha i tragovima sitnog pijeska, u
bušotinama B-1 i B-2 s tragovima sitnih ostataka školjki, obojana željeznim oksidom, smeđe-sive
boje
Broj udaraca NSPP = 7-12
qu = 125-300 kPa (džepni penetrometar)
cu = 40-100 kPa (džepna krilna sonda)
wL = 38 %, wP = 22 %, IP = 16 %
- u bušotinama B-1 (interval 8,8-9,7 m) i B-2 (interval 8,5-8,9 m) registrirana je organska glina niske
plastičnosti OL/CL (Or/ClL), lako gnječivog konzistentnog stanja, s proslojkom treseta u intervalima
8,9-8,95 m (B-1) i 8,5-8,55 m (B-2), tamnosive boje
qu = 150-200 kPa (džepni penetrometar)
cu = 45 kPa (džepna krilna sonda)
org. tvari 1,38%
w0 = 23,4 %, wL = 34 %, wP = 22 %, IP = 12 %, IK = 0,92
- na dubini 9,7 m do dubine bušenja 10,0 m u bušotini B-1 registrirana je prašinasta gline niske
plastičnosti CL/ML (ClL/SiL) s primjesama konkrecija karbonata
qu = 275 kPa (džepni penetrometar)
wL = 35 %, wP = 24 %, IP = 11 %
- na dubini 8,9 m do dubine bušenja 9,0 m u bušotini B-2 registriran je pjeskoviti prah sive bojeIzvedba radova, obračun radova I kontrola kvalitete prema OTU t. 2-01. i 2-02.
U jediničnu cijenu uračunati su svi radovi na iskopu materijala u sraslom stanju sa utovarnom u prijevozna sredstva , odvozom i zbrinjavanjem na ugovorenoj deponiji te sve mjere sigurnosti pri radu i sva potrebna osiguranja postojećih objekata i komunikacija te osiguranje kosina iskopa. Obračunato po m3 otkopanog materijala mjereno u sraslom stanju prema poprečnim profilima sve do potpune pogonske gotovosti.
- iskop ispod objekta do kote -0.86m (+89,54m.n.v.)
Mjesto iskopa: glavna građevina</t>
  </si>
  <si>
    <t>m3</t>
  </si>
  <si>
    <t>203.040.00105</t>
  </si>
  <si>
    <t>- strojni široki iskop, sprinkler bazen</t>
  </si>
  <si>
    <t>obračun radova I kontrola kvalitete prema OTU t. 2-01. i 2-02.
U jediničnu cijenu uračunati su svi radovi na iskopu materijala u sraslom stanju sa utovarnom u prijevozna sredstva , odvozom i zbrinjavanjem na ugovorenoj deponiji te sve mjere sigurnosti pri radu i sva potrebna osiguranja postojećih objekata i komunikacija te osiguranje kosina iskopa. Obračunato po m3 otkopanog materijala mjereno u sraslom stanju prema poprečnim profilima sve do potpune pogonske gotovosti.
- iskop ispod objekta od najniže kote +85,17m.n.v. do kote +89,65m.n.v.
Mjesto iskopa: sprinkler bazen</t>
  </si>
  <si>
    <t>203.040.00110</t>
  </si>
  <si>
    <t>- ravnanje i sabijanje građevinske jame</t>
  </si>
  <si>
    <t>Dno građevne jame treba nakon iskapanja poravnati i sabiti. Izvođenje neposredno prije unošenja čistog sloja kao ravne površine s maksimalnom visinskom razlikom od +/-2 cm na duljini od 5,0 m, uključujući vibriranje odgovarajućim uređajem. Sabijanje na najmanje 97 % traženog stupnja sabijenosti Dpr. Višak materijal treba zbrinuti.</t>
  </si>
  <si>
    <t>203.040.00115</t>
  </si>
  <si>
    <t>- strojni široki iskop, zona zahvata prometnih površina i okoliša</t>
  </si>
  <si>
    <t>Strojni široki iskop u zoni zahvata prometnih površina i okoliša, betonske dostavne rampe, trafostanice, EKW box-a, reklamnog pilona, reklamnog totema i cestovne oborinske kanalizacijske cijevi, u materijalu kategorije C prema OTU.
Izvedba radova, obračun radova I kontrola kvalitete prema OTU t. 2-01. i 2-02.
U jediničnu cijenu uračunati su svi radovi na iskopu materijala u sraslom stanju sa utovarnom u prijevozna sredstva , odvozom i zbrinjavanjem na ugovorenoj deponiji te sve mjere sigurnosti pri radu i sva potrebna osiguranja postojećih objekata i komunikacija te osiguranje kosina iskopa. Obračunato po m3 otkopanog materijala mjereno u sraslom stanju prema poprečnim profilima sve do potpune pogonske gotovosti.</t>
  </si>
  <si>
    <t>203.050</t>
  </si>
  <si>
    <t>Iskop temelja</t>
  </si>
  <si>
    <t>203.050.00100</t>
  </si>
  <si>
    <t>- Iskop za temeljne stope, temeljne čašice i temeljne ploče</t>
  </si>
  <si>
    <t>Strojni široki iskop za temeljnu konstrukciju u materijalu jednakom kao u stavci 203.040.00210
Izvedba radova, obračun radova I kontrola kvalitete prema OTU t. 2-01. i 2-02.
U jediničnu cijenu uračunati su svi radovi na iskopu materijala u sraslom stanju sa utovarnom u prijevozna sredstva , odvozom i zbrinjavanjem na ugovorenoj deponiji te sve mjere sigurnosti pri radu i sva potrebna osiguranja postojećih objekata i komunikacija te osiguranje kosina iskopa. Obračunato po m3 otkopanog materijala mjereno u sraslom stanju prema poprečnim profilima sve do potpune pogonske gotovosti.
Donja kota iskopa za temeljnje čašice ovisi o poziciji temelja:
- +87,75 m.n.v. (standardna dubina)
- +87,54 m.n.v. (u križanju osi 16D)
- +86,63 m.n.v. (na mjestu ulaza dostave)
- +87,41 m.n.v. (na križanju osi 11A)
- +89,25 m.n.v. (ispod temelja ulaznih vrata)
- +89,18 m.n.v. (ispod hladnjače za duboko zamrzavanje)
- +89,31 m.n.v. (ispod rashladnih prostorija za nareske)</t>
  </si>
  <si>
    <t>203.050.00105</t>
  </si>
  <si>
    <t>- Iskop za temeljne grede</t>
  </si>
  <si>
    <t>Strojni široki iskop za temeljnu konstrukciju u materijalu jednakom kao u stavci 203.040.00210
Izvedba radova, obračun radova I kontrola kvalitete prema OTU t. 2-01. i 2-02.
U jediničnu cijenu uračunati su svi radovi na iskopu materijala u sraslom stanju sa utovarnom u prijevozna sredstva , odvozom i zbrinjavanjem na ugovorenoj deponiji te sve mjere sigurnosti pri radu i sva potrebna osiguranja postojećih objekata i komunikacija te osiguranje kosina iskopa. Obračunato po m3 otkopanog materijala mjereno u sraslom stanju prema poprečnim profilima sve do potpune pogonske gotovosti.
Dubina iskopa do +89,05 m.n.v.</t>
  </si>
  <si>
    <t>203.050.00110</t>
  </si>
  <si>
    <t>203.060</t>
  </si>
  <si>
    <t>Iskop cijevnog rova</t>
  </si>
  <si>
    <t>203.060.00100</t>
  </si>
  <si>
    <t>- Iskop zemlje svih kategorija ili nasipanog materijala za rovove. Obračun po m3.</t>
  </si>
  <si>
    <t>Iskop zemlje svih kategorija ili nasipanog materijala za polaganje kanalizacijskih i vodovodnih cijevi. Širina rova je od 0.80 do 1,20 m, a dubina od 0,6 do 2,0 m. Uzima se prosječna dubina iskopa (1,3m) na ukupnoj trasi od izvedenog skidanja postojećeg materijala na terenu obrađeno u pripremi građevinskog zemljišta do nivelete cjevovoda.
'Iskop vršiti na dubini nivelete uvećanoj za 10 cm radi izvedbe ležaja cijevi, s pravilnim odsijecanjem bočnih strana i dna, te odbacivanjem iskopanog materijala na udaljenost 2,0 m od ruba rova.
_oborinska kanalizacija
_fekalna kanalizacija
_vodovodna i hidrantska mreža
_hidrantska mreža
_odvodnja masne kanalizacije
_odvodnja kondenzata
U stavku je uključen i odvoz i zbrinjavanje viška materijala iz iskopa po nalogu investitora. Obračun po m3.</t>
  </si>
  <si>
    <t>203.060.00105</t>
  </si>
  <si>
    <t>- Iskop zemlje svih kategorija za podzemne građevine. 
Obračun po m3.</t>
  </si>
  <si>
    <t>Iskop zemlje svih kategorija za podzemne građevine: kontrolno mjerno okno, reviziona okna, prepumpna okno, separator masti i separator ulja, vodomjerno okno te hidrante. Obračun se vrši po 1,0 m3 iskopanog materijala, ostalo kao opis iz predhodne stavke
_Reviziona okna (12+7+3+2)*8m3
_Separator ulja -
_Mastolov 1*28m3
_Vodomjerno okno 1*60m3
_Vanjski hidrant 3*3m3
_Retencija 1122m3
U stavku je uključen i odvoz i zbrinjavanje viška materijala iz iskopa po nalogu investitora. Obračun po m3.</t>
  </si>
  <si>
    <t>203.060.00110</t>
  </si>
  <si>
    <t>- Planiranje dna rova za polaganje cijevi u rov.
Obračun po m2.</t>
  </si>
  <si>
    <t>Grubo i fino planiranje dna rova za polaganje cijevi temeljne odvodnje i vodovoda s naročitom točnošću da se osigura pravilno nalijeganje cijevi.</t>
  </si>
  <si>
    <t>203.060.00115</t>
  </si>
  <si>
    <t>- Pijesak za polaganje instalacija.
Obračun po m3.</t>
  </si>
  <si>
    <t>Nabava, doprema i razastiranje čistog suhog pijeska za polaganje kanalizacijskih i vodovodnih cijevi. Šljunčana posteljica za ležaj PVC cijevi od oblih zrna veličine 8-16 mm, bez organskih primjesa, s dimenzijama danim u nacrtu kanalskog rova i produbljenima na mjestu spojeva cijevi. Uključivo nabava, doprema i ugradnja šljunka, uz strojno nabijanje do min. 90 % prirodne zbijenosti. Posteljica natkrivanja cijevi cca 5 cm od tjemena cijevi. Obračun se vrši po 1,0 m3 ugrađenog pijeska.
_kanalizacija 340 m
_vodovod 160 m</t>
  </si>
  <si>
    <t>203.060.00120</t>
  </si>
  <si>
    <t>- Pijesak za polaganje retencije.
Obračun po m3.</t>
  </si>
  <si>
    <t>203.060.00125</t>
  </si>
  <si>
    <t>- Zatrpavanje rova.
Obračun po m3.</t>
  </si>
  <si>
    <t>Zatrpavanje rova nakon montaže nasipnim materijalom i ispitivanje kanalskih cijevi. Prvi sloj iznad cijevi treba biti od sitnog materijala da ne bi došlo do oštećenja cijevi. Nasipavanje vršiti u slojevima od 20 cm uz pažljivo nabijanje. Zatrpavanje izvoditi nakon izvedbe obloge cijevi pijeskom, a izvodi se do kote skinutog postojećeg materijala. Zatrpavanje do konačne kote uređenog terena obrađeno je u uređenju okoliša. Obračun se vrši po 1,0 m3 stvarno ugrađenog materijala.</t>
  </si>
  <si>
    <t>203.060.00130</t>
  </si>
  <si>
    <t>- Zatrpavanje retencije.
Obračun po m3.</t>
  </si>
  <si>
    <t>203.070</t>
  </si>
  <si>
    <t>Poboljšanja tla</t>
  </si>
  <si>
    <t>203.070.00100</t>
  </si>
  <si>
    <t>- zamjena tla šljunčanim materijalom</t>
  </si>
  <si>
    <t>Zamjena materijala tla do debljine 10cm sa postojećim materijalom na gradilištu, na mjestu gdje gdje se ne može postići propisana zbijenost temeljnog tla, posteljice i tampona. Prema Izvješću IGH broj: 72501-001/25 od 01.02.2025. U jediničnoj cijeni stavke obuhvaćeni su slijedeći materijali i radovi:
a) ugradnja postojećeg materijala koji se nalazi na gradilištu Dmax 45mm
b) razastiranje, planiranje do točnosti ±3 cm i zbijanje na Ms≥20 MN/m2
c) dobava atesta o kvaliteti šljunka ili kamena i postignutoj zbijenosti
Obračunato po 1 m3 ugrađenog materijala zbijenog na Ms=20 MN/m2, prema nagibu iz projekta Sz ≥ 100%, sve do potpune pogonske gotovosti.</t>
  </si>
  <si>
    <t>203.080</t>
  </si>
  <si>
    <t>Osnovni slojevi</t>
  </si>
  <si>
    <t>203.080.00100</t>
  </si>
  <si>
    <t>- tampon od drobljenog kamena za stope</t>
  </si>
  <si>
    <t>Izrada tampona drobljenim kamenim materijalom 0/63mm. Nasipavanje vršiti u debljini od 15cm na potrebni modul. U cijenu uključena i doprema potrebnog alata i strojeva te ispitivanje zbijenosti drobljenog kamena sa izradom i dostavom elaborata o ispitivanju.
Mjesto ugradnje: ispod temeljnih stopa
Debljina tampona: 15 cm
Modul zbijanja: 30 MN/m2
Dozvoljena visinska odstupanja: +/- 1 cm od zadane vrijednosti na ispitnoj dionici od 4 m
Kvalitetu ugradnje treba potvrditi u opsegu od [1 puta za svakih 1.000 m2, a najmanje 3 puta].</t>
  </si>
  <si>
    <t>203.080.00105</t>
  </si>
  <si>
    <t>Izrada tampona drobljenim kamenim materijalom 0/32mm. Nasipavanje vršiti u debljini od 15cm na potrebni modul. U cijenu uključena i doprema potrebnog alata i strojeva te ispitivanje zbijenosti drobljenog kamena sa izradom i dostavom elaborata o ispitivanju.
Mjesto ugradnje: ispod temeljnih stopa
Debljina tampona: 15 cm
Modul zbijanja: 60 MN/m2
Dozvoljena visinska odstupanja: +/- 1 cm od zadane vrijednosti na ispitnoj dionici od 4 m
Kvalitetu ugradnje treba potvrditi u opsegu od [1 puta za svakih 1.000 m2, a najmanje 3 puta].</t>
  </si>
  <si>
    <t>203.080.00110</t>
  </si>
  <si>
    <t>- tampon od drobljenog kamena za ploču</t>
  </si>
  <si>
    <t>Izrada tampona drobljenim kamenim materijalom 0/63mm. Nasipavanje vršiti u debljini od 30cm na potrebni modul. U cijenu uključena i doprema potrebnog alata i strojeva te ispitivanje zbijenosti drobljenog kamena sa izradom i dostavom elaborata o ispitivanju.
Mjesto ugradnje: ispod podne ploče
Debljina tampona: 20 cm
Modul zbijanja: 40 MN/m2
Dozvoljena visinska odstupanja: +/- 1 cm od zadane vrijednosti na ispitnoj dionici od 4 m
Kvalitetu ugradnje treba potvrditi u opsegu od [1 puta za svakih 1.000 m2, a najmanje 3 puta].</t>
  </si>
  <si>
    <t>203.080.00115</t>
  </si>
  <si>
    <t>Izrada tampona drobljenim kamenim materijalom 0/32mm. Nasipavanje vršiti u debljini od 30cm na potrebni modul. U cijenu uključena i doprema potrebnog alata i strojeva te ispitivanje zbijenosti drobljenog kamena sa izradom i dostavom elaborata o ispitivanju.
Mjesto ugradnje: ispod podne ploče
Debljina tampona: 20 cm
Modul zbijanja: 80 MN/m2
Dozvoljena visinska odstupanja: +/- 1 cm od zadane vrijednosti na ispitnoj dionici od 4 m
Kvalitetu ugradnje treba potvrditi u opsegu od [1 puta za svakih 1.000 m2, a najmanje 3 puta].</t>
  </si>
  <si>
    <t>203.080.00120</t>
  </si>
  <si>
    <t>- tampon od drobljenog kamena za sprinkler bazen</t>
  </si>
  <si>
    <t>Izrada tampona drobljenim kamenim materijalom 0/63mm. Nasipavanje vršiti u debljini od 15cm na potrebni modul. U cijenu uključena i doprema potrebnog alata i strojeva te ispitivanje zbijenosti drobljenog kamena sa izradom i dostavom elaborata o ispitivanju.
Mjesto ugradnje: ispod sprinkler bazena
Debljina tampona: 15 cm
Modul zbijanja: 40 MN/m2
Dozvoljena visinska odstupanja: +/- 1 cm od zadane vrijednosti na ispitnoj dionici od 4 m
Kvalitetu ugradnje treba potvrditi u opsegu od [1 puta za svakih 1.000 m2, a najmanje 3 puta].</t>
  </si>
  <si>
    <t>203.080.00125</t>
  </si>
  <si>
    <t>Izrada tampona drobljenim kamenim materijalom 0/63mm. Nasipavanje vršiti u debljini od 15cm na potrebni modul. U cijenu uključena i doprema potrebnog alata i strojeva te ispitivanje zbijenosti drobljenog kamena sa izradom i dostavom elaborata o ispitivanju.
Mjesto ugradnje: ispod sprinkler bazena
Debljina tampona: 15 cm
Modul zbijanja: 80 MN/m2
Dozvoljena visinska odstupanja: +/- 1 cm od zadane vrijednosti na ispitnoj dionici od 4 m
Kvalitetu ugradnje treba potvrditi u opsegu od [1 puta za svakih 1.000 m2, a najmanje 3 puta].</t>
  </si>
  <si>
    <t>203.080.00130</t>
  </si>
  <si>
    <t>- zatrpavanje po obrubu građevine materijalom iz iskopa</t>
  </si>
  <si>
    <t>Zatrpavanje materijalom iz iskopa. Nasipavanje vršiti u slojevima od 30cm na potrebni modul. U cijenu uključena i doprema potrebnog alata i strojeva te ispitivanje zbijenosti kamena sa izradom i dostavom elaborata o ispitivanju. Obračun po m3 ugrađenog materijala.
Mjesto ugradnje: obrub glavne građevine
Modul zbijanja: 60 MN/m2
Dozvoljena visinska odstupanja: +/- 1 cm od zadane vrijednosti na ispitnoj dionici od 4 m</t>
  </si>
  <si>
    <t>203.080.00135</t>
  </si>
  <si>
    <t>- zatrpavanje između temelja glavne građevine materijalom iz iskopa</t>
  </si>
  <si>
    <t>Zatrpavanje materijalom iz iskopa. Nasipavanje vršiti u slojevima od 30cm na potrebni modul. U cijenu uključena i doprema potrebnog alata i strojeva te ispitivanje zbijenosti kamena sa izradom i dostavom elaborata o ispitivanju. Obračun po m3 ugrađenog materijala.
Mjesto ugradnje: zatrpavanje iskopa za temeljne stope i čašice sve do kote -0,86m (apsolutna kota +89,54m.n.v.)
Modul zbijanja: 60 MN/m2
Dozvoljena visinska odstupanja: +/- 1 cm od zadane vrijednosti na ispitnoj dionici od 4 m</t>
  </si>
  <si>
    <t>203.080.00140</t>
  </si>
  <si>
    <t>- zatrpavanje  iskopa za sprinkler bazen materijalom iz iskopa</t>
  </si>
  <si>
    <t>Zatrpavanje materijalom iz iskopa. Nasipavanje vršiti u slojevima od 30cm na potrebni modul. U cijenu uključena i doprema potrebnog alata i strojeva te ispitivanje zbijenosti kamena sa izradom i dostavom elaborata o ispitivanju. Obračun po m3 ugrađenog materijala.
Mjesto ugradnje: iskop za sprinkler bazen
Modul zbijanja: 30 MN/m2
Dozvoljena visinska odstupanja: +/- 1 cm od zadane vrijednosti na ispitnoj dionici od 4 m</t>
  </si>
  <si>
    <t>203.080.00145</t>
  </si>
  <si>
    <t>- geotekstil glavna građevina</t>
  </si>
  <si>
    <t>Geotekstil od polipropilenskih vlakana isporučiti te bez rupa i uz preklapanja na rubovima postaviti po cijeloj zemljanoj površini. Tekstil mora biti prikladan za postavljanje gore navedenih slojeva Za zaštitu od mraza i nosivih šljunčanih slojeva.
Površinska težina: 300 g/m2</t>
  </si>
  <si>
    <t>203.080.00150</t>
  </si>
  <si>
    <t>- geotekstil sprinkler bazen</t>
  </si>
  <si>
    <t>203.080.00155</t>
  </si>
  <si>
    <t>- Uređenje posteljice na prostoru kolničke konstrukcije, pješačkih površina, betonske rampe, travnate rešetke, betonske rešetke, trafostanice i EKW boxa</t>
  </si>
  <si>
    <t>Uređenje posteljice na prostoru kolničke konstrukcije, pješačkih površina, betonske rampe, travnate rešetke, betonske rešetke, trafostanice i EKW boxa, tj. grubo i fino planiranje materijala i nabijanje do tražene zbijenosti. Posteljicu treba izraditi prema kotama iz projekta. Sabiti posteljicu na Ms ≥ 20 MN/m2. Tekuća i kontrolna ispitivanja izvršiti sukladno projektu.</t>
  </si>
  <si>
    <t>203.080.00160</t>
  </si>
  <si>
    <t>- tampon od drobljenog kamena 0/32 mm</t>
  </si>
  <si>
    <t>Izrada tampona drobljenim kamenim materijalom 0/32mm. U cijenu uključena i doprema potrebnog alata i strojeva te ispitivanje zbijenosti drobljenog kamena sa izradom i dostavom elaborata o ispitivanju.
Mjesto ugradnje: kolnik, betonski opločnici, travnata rešetka, betonska rampa, trafostanica
Debljina tampona:prema projektu
Modul zbijanja: prema projektu
Dozvoljena visinska odstupanja: +/- 1 cm od zadane vrijednosti na ispitnoj dionici od 4 m
Kvalitetu ugradnje treba potvrditi u opsegu od [1 puta za svakih 1.000 m2, a najmanje 3 puta].</t>
  </si>
  <si>
    <t>203.080.00165</t>
  </si>
  <si>
    <t>- tampon od drobljenog kamena 0/63 mm</t>
  </si>
  <si>
    <t>Izrada tampona drobljenim kamenim materijalom 0/63mm. U cijenu uključena i doprema potrebnog alata i strojeva te ispitivanje zbijenosti drobljenog kamena sa izradom i dostavom elaborata o ispitivanju.
Mjesto ugradnje: kolnik, EKW box, travnata rešetka, betonska rampa
Debljina tampona:prema projektu
Modul zbijanja: prema projektu
Dozvoljena visinska odstupanja: +/- 1 cm od zadane vrijednosti na ispitnoj dionici od 4 m
Kvalitetu ugradnje treba potvrditi u opsegu od [1 puta za svakih 1.000 m2, a najmanje 3 puta].</t>
  </si>
  <si>
    <t>203.080.00170</t>
  </si>
  <si>
    <t>- izrada podložnog sloja kanalizacijskih cijevi cestovne oborinske odvodnje pješčanim materijalom 0/8 mm</t>
  </si>
  <si>
    <t>Zatrpavanje rova kanalizacijskih cijevi oborinske odvodnje pješčanim materijalom 30cm iznad cijevi oborinske odvodnje. Nabava, dobava i ugradnja pijeska (0-22mm) prema uvjetima i dimenzijama iz projekta - detalj polaganja kanalizacijskih cijevi, za izradu obloge i nadsloja 30cm iznad kanalizacijske cijevi uz pažljivo nabijanje pijeska u zoni oko i iznad cijevi. Stavka uključuje dobavu materijala u koju je uključen utovar, prijevoz, istovar, razastiranje s nabijanjem u rovu u zadanu debljinu i oblik prema rješenju iz projekta. Stavkom se obračunava i sav potreban pomoćni pribor, materijal i rad koji se koristi za osiguranje položaja cijevi.</t>
  </si>
  <si>
    <t>203.080.00175</t>
  </si>
  <si>
    <t>- zatrpavanje kanalizacijske cijevi cestovne oborinske odvodnje pješčanim materijalom 0/22mm</t>
  </si>
  <si>
    <t>203.080.00180</t>
  </si>
  <si>
    <t>- geotekstil</t>
  </si>
  <si>
    <t>Geotekstil na prostoru kolnika, betonske rampe, tafostanice i EKW box-a, od polipropilenskih vlakana isporučiti te bez rupa i uz preklapanja na rubovima postaviti po cijeloj zemljanoj površini. Tekstil mora biti prikladan za postavljanje gore navedenih slojeva Za zaštitu od mraza i nosivih šljunčanih slojeva.
Površinska težina: 300 g/m2</t>
  </si>
  <si>
    <t>203.080.00185</t>
  </si>
  <si>
    <t>-geotekstil retencije</t>
  </si>
  <si>
    <t>Geotekstil koji se koristi kao vanjski zaštitni sloj geomembrane treba imati sljedeće karkateristike:
- min. gustoće (EN ISO 9864) 300 gr/m2;
- otpornosti na CBR proboj (EN ISO 12236) ≥ 1,5 kN
- vlačna čvrstoča (EN ISO 10319) ≥ 6,5 kN/m.
- min. deklariranog životnog vijeka trajanja u normalnim pH uvjetima tla 100 god.
Hidroizolacijska membrana kao brveni sloj retencije treba imati sljedeće karkateristike:
- materijal PVC-P,
- min. debljina 2,00 mm.
- vlačna čvrstoća (EN 527-3) ≥ 16 N/mm2;
- otpornosti na CBR proboj (EN ISO 12236) ≥ 2,4 kN.
Geotekstil koji se koristi kao vanjski zaštitni sloj geomembrane ima sljedeće karkateristike:
- min. gustoće (EN ISO 9864) 200 gr/m2.</t>
  </si>
  <si>
    <t>203.090</t>
  </si>
  <si>
    <t>204</t>
  </si>
  <si>
    <t>Posebni temelj</t>
  </si>
  <si>
    <t>31.03.2025.</t>
  </si>
  <si>
    <t>Prilog 4- Ugovorni troškovnik- TRIBE INŽENJERING d.o.o.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</si>
</sst>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&quot;-&quot;#,##0.00\ &quot;€&quot;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  <charset val="238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DF7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2451B2"/>
      </left>
      <right style="thin">
        <color rgb="FF2451B2"/>
      </right>
      <top style="thin">
        <color rgb="FF2451B2"/>
      </top>
      <bottom style="thin">
        <color rgb="FF2451B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1" xfId="0" applyFill="1" applyBorder="1"/>
    <xf numFmtId="0" fontId="2" fillId="2" borderId="2" xfId="0" applyFont="1" applyFill="1" applyBorder="1"/>
    <xf numFmtId="164" fontId="2" fillId="2" borderId="2" xfId="0" applyNumberFormat="1" applyFont="1" applyFill="1" applyBorder="1"/>
    <xf numFmtId="10" fontId="0" fillId="3" borderId="3" xfId="0" applyNumberFormat="1" applyFill="1" applyBorder="1"/>
    <xf numFmtId="164" fontId="0" fillId="0" borderId="0" xfId="0" applyNumberFormat="1"/>
    <xf numFmtId="0" fontId="0" fillId="3" borderId="3" xfId="0" applyFill="1" applyBorder="1"/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right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0" fillId="0" borderId="0" xfId="0" applyAlignment="1">
      <alignment wrapText="1"/>
    </xf>
    <xf numFmtId="164" fontId="0" fillId="3" borderId="3" xfId="0" applyNumberFormat="1" applyFill="1" applyBorder="1" applyAlignment="1">
      <alignment wrapText="1"/>
    </xf>
    <xf numFmtId="16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2" fillId="2" borderId="0" xfId="0" applyFont="1" applyFill="1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14" fontId="0" fillId="2" borderId="0" xfId="0" applyNumberFormat="1" applyFill="1" applyAlignment="1">
      <alignment horizontal="left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showZeros="0" tabSelected="1" zoomScale="85" zoomScaleNormal="85" workbookViewId="0">
      <selection activeCell="A5" sqref="A5:Q5"/>
    </sheetView>
  </sheetViews>
  <sheetFormatPr defaultRowHeight="15" x14ac:dyDescent="0.25"/>
  <cols>
    <col min="1" max="1" width="19" customWidth="1"/>
    <col min="2" max="2" width="29" customWidth="1"/>
    <col min="3" max="3" width="47" customWidth="1"/>
    <col min="4" max="4" width="61" customWidth="1"/>
    <col min="5" max="5" width="11" customWidth="1"/>
    <col min="6" max="6" width="5" customWidth="1"/>
    <col min="7" max="7" width="19" customWidth="1"/>
    <col min="8" max="10" width="22" customWidth="1"/>
    <col min="11" max="12" width="9" hidden="1" customWidth="1"/>
  </cols>
  <sheetData>
    <row r="1" spans="1:17" s="1" customForma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s="2" customFormat="1" ht="21" x14ac:dyDescent="0.35">
      <c r="A2" s="21" t="s">
        <v>173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s="1" customFormat="1" x14ac:dyDescent="0.25">
      <c r="A3" s="22" t="s">
        <v>172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s="1" customForma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spans="1:17" s="3" customFormat="1" ht="18.75" x14ac:dyDescent="0.3">
      <c r="A5" s="18" t="s">
        <v>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s="1" customFormat="1" x14ac:dyDescent="0.25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s="1" customFormat="1" x14ac:dyDescent="0.25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s="1" customForma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s="3" customFormat="1" ht="18.75" x14ac:dyDescent="0.3">
      <c r="A9" s="18" t="s">
        <v>3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s="1" customFormat="1" x14ac:dyDescent="0.25">
      <c r="A10" s="19" t="s">
        <v>4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s="3" customFormat="1" ht="18.75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s="1" customForma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s="4" customForma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s="5" customFormat="1" ht="18.75" x14ac:dyDescent="0.3">
      <c r="C14" s="5" t="s">
        <v>5</v>
      </c>
      <c r="J14" s="6">
        <f>SUM(H30+H34+H36)</f>
        <v>420442.01</v>
      </c>
    </row>
    <row r="15" spans="1:17" x14ac:dyDescent="0.25">
      <c r="C15" t="s">
        <v>6</v>
      </c>
      <c r="D15" s="7">
        <v>4.2999999999999997E-2</v>
      </c>
      <c r="J15" s="8">
        <v>-17942.009999999998</v>
      </c>
    </row>
    <row r="16" spans="1:17" x14ac:dyDescent="0.25">
      <c r="C16" t="s">
        <v>7</v>
      </c>
      <c r="J16" s="8">
        <v>402500</v>
      </c>
    </row>
    <row r="17" spans="1:17" x14ac:dyDescent="0.25">
      <c r="C17" t="s">
        <v>8</v>
      </c>
      <c r="D17" s="7">
        <v>0</v>
      </c>
      <c r="J17" s="8">
        <f>IF(ISBLANK(D17),0,ROUND(PRODUCT(J16, D17), 2))</f>
        <v>0</v>
      </c>
    </row>
    <row r="18" spans="1:17" x14ac:dyDescent="0.25">
      <c r="C18" t="s">
        <v>9</v>
      </c>
      <c r="J18" s="8">
        <f>SUM(J16,J17)</f>
        <v>402500</v>
      </c>
    </row>
    <row r="19" spans="1:17" x14ac:dyDescent="0.25">
      <c r="C19" t="s">
        <v>10</v>
      </c>
      <c r="D19" s="7">
        <v>0</v>
      </c>
      <c r="E19" s="9">
        <v>0</v>
      </c>
      <c r="J19" s="8">
        <f>SUM(J18, -J20)</f>
        <v>0</v>
      </c>
    </row>
    <row r="20" spans="1:17" x14ac:dyDescent="0.25">
      <c r="C20" t="s">
        <v>11</v>
      </c>
      <c r="J20" s="8">
        <f>IF(ISBLANK(D19),J18,ROUND(PRODUCT(J18, SUM(1, -D19)), 2))</f>
        <v>402500</v>
      </c>
    </row>
    <row r="22" spans="1:17" s="4" customForma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1:17" s="10" customFormat="1" ht="45" x14ac:dyDescent="0.25">
      <c r="A23" s="10" t="s">
        <v>12</v>
      </c>
      <c r="B23" s="10" t="s">
        <v>13</v>
      </c>
      <c r="C23" s="10" t="s">
        <v>14</v>
      </c>
      <c r="D23" s="10" t="s">
        <v>15</v>
      </c>
      <c r="E23" s="11" t="s">
        <v>16</v>
      </c>
      <c r="F23" s="10" t="s">
        <v>17</v>
      </c>
      <c r="G23" s="11" t="s">
        <v>18</v>
      </c>
      <c r="H23" s="11" t="s">
        <v>19</v>
      </c>
      <c r="I23" s="11" t="s">
        <v>20</v>
      </c>
      <c r="J23" s="11" t="s">
        <v>9</v>
      </c>
      <c r="K23" s="10" t="s">
        <v>21</v>
      </c>
    </row>
    <row r="25" spans="1:17" s="12" customFormat="1" x14ac:dyDescent="0.25">
      <c r="A25" s="12" t="s">
        <v>22</v>
      </c>
      <c r="C25" s="12" t="s">
        <v>23</v>
      </c>
      <c r="H25" s="13"/>
      <c r="J25" s="13"/>
    </row>
    <row r="26" spans="1:17" s="12" customFormat="1" x14ac:dyDescent="0.25">
      <c r="A26" s="12" t="s">
        <v>24</v>
      </c>
      <c r="C26" s="12" t="s">
        <v>25</v>
      </c>
      <c r="H26" s="13"/>
      <c r="J26" s="13"/>
    </row>
    <row r="27" spans="1:17" s="12" customFormat="1" x14ac:dyDescent="0.25">
      <c r="A27" s="12" t="s">
        <v>26</v>
      </c>
      <c r="C27" s="12" t="s">
        <v>27</v>
      </c>
      <c r="H27" s="13"/>
      <c r="J27" s="13"/>
    </row>
    <row r="28" spans="1:17" s="12" customFormat="1" x14ac:dyDescent="0.25">
      <c r="A28" s="12" t="s">
        <v>35</v>
      </c>
      <c r="C28" s="12" t="s">
        <v>36</v>
      </c>
      <c r="H28" s="13"/>
      <c r="J28" s="13"/>
    </row>
    <row r="29" spans="1:17" s="14" customFormat="1" x14ac:dyDescent="0.25">
      <c r="A29" s="14" t="s">
        <v>37</v>
      </c>
      <c r="B29" s="14" t="s">
        <v>30</v>
      </c>
      <c r="C29" s="14" t="s">
        <v>38</v>
      </c>
      <c r="D29" s="14" t="s">
        <v>39</v>
      </c>
      <c r="E29" s="14">
        <v>40</v>
      </c>
      <c r="F29" s="14" t="s">
        <v>40</v>
      </c>
      <c r="G29" s="15">
        <v>15.243123191383097</v>
      </c>
      <c r="H29" s="16">
        <f>IF(AND(ISNUMBER(E29),ISNUMBER(G29)),ROUND(PRODUCT(PRODUCT(E29, G29), 1 - L29), 2),"")</f>
        <v>609.72</v>
      </c>
      <c r="I29" s="17">
        <v>0</v>
      </c>
      <c r="J29" s="16">
        <f>IF(AND(ISNUMBER(H29)),ROUND(PRODUCT(H29, SUM(I29,"1")), 2),"")</f>
        <v>609.72</v>
      </c>
      <c r="K29" s="14" t="s">
        <v>30</v>
      </c>
      <c r="L29" s="14">
        <v>0</v>
      </c>
    </row>
    <row r="30" spans="1:17" s="12" customFormat="1" x14ac:dyDescent="0.25">
      <c r="A30" s="12" t="s">
        <v>41</v>
      </c>
      <c r="C30" s="12" t="s">
        <v>42</v>
      </c>
      <c r="G30" s="12">
        <v>0</v>
      </c>
      <c r="H30" s="13">
        <f>SUM(H31,H32)</f>
        <v>1402.37</v>
      </c>
      <c r="J30" s="13">
        <f>SUM(J31,J32)</f>
        <v>1402.37</v>
      </c>
    </row>
    <row r="31" spans="1:17" s="14" customFormat="1" ht="60" x14ac:dyDescent="0.25">
      <c r="A31" s="14" t="s">
        <v>43</v>
      </c>
      <c r="B31" s="14" t="s">
        <v>30</v>
      </c>
      <c r="C31" s="14" t="s">
        <v>44</v>
      </c>
      <c r="D31" s="14" t="s">
        <v>45</v>
      </c>
      <c r="E31" s="14">
        <v>96</v>
      </c>
      <c r="F31" s="14" t="s">
        <v>32</v>
      </c>
      <c r="G31" s="15">
        <v>13.549442836784973</v>
      </c>
      <c r="H31" s="16">
        <f>IF(AND(ISNUMBER(E31),ISNUMBER(G31)),ROUND(PRODUCT(PRODUCT(E31, G31), 1 - L31), 2),"")</f>
        <v>1300.75</v>
      </c>
      <c r="I31" s="17">
        <v>0</v>
      </c>
      <c r="J31" s="16">
        <f>IF(AND(ISNUMBER(H31)),ROUND(PRODUCT(H31, SUM(I31,"1")), 2),"")</f>
        <v>1300.75</v>
      </c>
      <c r="K31" s="14" t="s">
        <v>30</v>
      </c>
      <c r="L31" s="14">
        <v>0</v>
      </c>
    </row>
    <row r="32" spans="1:17" s="14" customFormat="1" ht="105" x14ac:dyDescent="0.25">
      <c r="A32" s="14" t="s">
        <v>46</v>
      </c>
      <c r="B32" s="14" t="s">
        <v>30</v>
      </c>
      <c r="C32" s="14" t="s">
        <v>47</v>
      </c>
      <c r="D32" s="14" t="s">
        <v>48</v>
      </c>
      <c r="E32" s="14">
        <v>1</v>
      </c>
      <c r="F32" s="14" t="s">
        <v>31</v>
      </c>
      <c r="G32" s="15">
        <v>101.62082127588729</v>
      </c>
      <c r="H32" s="16">
        <f>IF(AND(ISNUMBER(E32),ISNUMBER(G32)),ROUND(PRODUCT(PRODUCT(E32, G32), 1 - L32), 2),"")</f>
        <v>101.62</v>
      </c>
      <c r="I32" s="17">
        <v>0</v>
      </c>
      <c r="J32" s="16">
        <f>IF(AND(ISNUMBER(H32)),ROUND(PRODUCT(H32, SUM(I32,"1")), 2),"")</f>
        <v>101.62</v>
      </c>
      <c r="K32" s="14" t="s">
        <v>30</v>
      </c>
      <c r="L32" s="14">
        <v>0</v>
      </c>
    </row>
    <row r="33" spans="1:12" s="12" customFormat="1" x14ac:dyDescent="0.25">
      <c r="A33" s="12" t="s">
        <v>49</v>
      </c>
      <c r="C33" s="12" t="s">
        <v>50</v>
      </c>
      <c r="G33" s="12">
        <v>0</v>
      </c>
      <c r="H33" s="13">
        <v>0</v>
      </c>
      <c r="J33" s="13">
        <v>0</v>
      </c>
    </row>
    <row r="34" spans="1:12" s="12" customFormat="1" x14ac:dyDescent="0.25">
      <c r="A34" s="12" t="s">
        <v>51</v>
      </c>
      <c r="C34" s="12" t="s">
        <v>52</v>
      </c>
      <c r="G34" s="12">
        <v>0</v>
      </c>
      <c r="H34" s="13">
        <f>SUM(H35)</f>
        <v>59.28</v>
      </c>
      <c r="J34" s="13"/>
    </row>
    <row r="35" spans="1:12" s="14" customFormat="1" ht="45" x14ac:dyDescent="0.25">
      <c r="A35" s="14" t="s">
        <v>53</v>
      </c>
      <c r="B35" s="14" t="s">
        <v>30</v>
      </c>
      <c r="C35" s="14" t="s">
        <v>54</v>
      </c>
      <c r="D35" s="14" t="s">
        <v>55</v>
      </c>
      <c r="E35" s="14">
        <v>14</v>
      </c>
      <c r="F35" s="14" t="s">
        <v>32</v>
      </c>
      <c r="G35" s="15">
        <v>4.2342008864953034</v>
      </c>
      <c r="H35" s="16">
        <f>IF(AND(ISNUMBER(E35),ISNUMBER(G35)),ROUND(PRODUCT(PRODUCT(E35, G35), 1 - L35), 2),"")</f>
        <v>59.28</v>
      </c>
      <c r="I35" s="17">
        <v>0</v>
      </c>
      <c r="J35" s="16">
        <f>IF(AND(ISNUMBER(H35)),ROUND(PRODUCT(H35, SUM(I35,"1")), 2),"")</f>
        <v>59.28</v>
      </c>
      <c r="K35" s="14" t="s">
        <v>30</v>
      </c>
      <c r="L35" s="14">
        <v>0</v>
      </c>
    </row>
    <row r="36" spans="1:12" s="12" customFormat="1" x14ac:dyDescent="0.25">
      <c r="A36" s="12" t="s">
        <v>56</v>
      </c>
      <c r="C36" s="12" t="s">
        <v>57</v>
      </c>
      <c r="G36" s="12">
        <v>0</v>
      </c>
      <c r="H36" s="13">
        <f>SUM(H37,H41,H42,H43,H44,H49,H53,H61,H63,H82)</f>
        <v>418980.36</v>
      </c>
      <c r="J36" s="13">
        <f>SUM(J37,J41,J42,J43,J44,J49,J53,J61,J63,J82)</f>
        <v>418980.36</v>
      </c>
    </row>
    <row r="37" spans="1:12" s="12" customFormat="1" ht="17.25" customHeight="1" x14ac:dyDescent="0.25">
      <c r="A37" s="12" t="s">
        <v>58</v>
      </c>
      <c r="C37" s="12" t="s">
        <v>34</v>
      </c>
      <c r="G37" s="12">
        <v>0</v>
      </c>
      <c r="H37" s="13">
        <v>0</v>
      </c>
      <c r="J37" s="13">
        <v>0</v>
      </c>
    </row>
    <row r="38" spans="1:12" s="14" customFormat="1" ht="409.5" x14ac:dyDescent="0.25">
      <c r="C38" s="14" t="s">
        <v>28</v>
      </c>
      <c r="D38" s="14" t="s">
        <v>29</v>
      </c>
      <c r="G38" s="14">
        <v>0</v>
      </c>
      <c r="K38" s="14" t="s">
        <v>30</v>
      </c>
    </row>
    <row r="39" spans="1:12" s="14" customFormat="1" ht="409.5" x14ac:dyDescent="0.25">
      <c r="C39" s="14" t="s">
        <v>59</v>
      </c>
      <c r="D39" s="14" t="s">
        <v>60</v>
      </c>
      <c r="G39" s="14">
        <v>0</v>
      </c>
      <c r="K39" s="14" t="s">
        <v>30</v>
      </c>
    </row>
    <row r="40" spans="1:12" s="14" customFormat="1" ht="409.5" x14ac:dyDescent="0.25">
      <c r="C40" s="14" t="s">
        <v>61</v>
      </c>
      <c r="D40" s="14" t="s">
        <v>62</v>
      </c>
      <c r="G40" s="14">
        <v>0</v>
      </c>
      <c r="K40" s="14" t="s">
        <v>30</v>
      </c>
    </row>
    <row r="41" spans="1:12" s="12" customFormat="1" x14ac:dyDescent="0.25">
      <c r="A41" s="12" t="s">
        <v>63</v>
      </c>
      <c r="C41" s="12" t="s">
        <v>64</v>
      </c>
      <c r="G41" s="12">
        <v>0</v>
      </c>
      <c r="H41" s="13">
        <v>0</v>
      </c>
      <c r="J41" s="13">
        <v>0</v>
      </c>
    </row>
    <row r="42" spans="1:12" s="12" customFormat="1" x14ac:dyDescent="0.25">
      <c r="A42" s="12" t="s">
        <v>65</v>
      </c>
      <c r="C42" s="12" t="s">
        <v>66</v>
      </c>
      <c r="G42" s="12">
        <v>0</v>
      </c>
      <c r="H42" s="13">
        <v>0</v>
      </c>
      <c r="J42" s="13">
        <v>0</v>
      </c>
    </row>
    <row r="43" spans="1:12" s="12" customFormat="1" x14ac:dyDescent="0.25">
      <c r="A43" s="12" t="s">
        <v>67</v>
      </c>
      <c r="C43" s="12" t="s">
        <v>57</v>
      </c>
      <c r="G43" s="12">
        <v>0</v>
      </c>
      <c r="H43" s="13">
        <v>0</v>
      </c>
      <c r="J43" s="13">
        <v>0</v>
      </c>
    </row>
    <row r="44" spans="1:12" s="12" customFormat="1" x14ac:dyDescent="0.25">
      <c r="A44" s="12" t="s">
        <v>68</v>
      </c>
      <c r="C44" s="12" t="s">
        <v>69</v>
      </c>
      <c r="G44" s="12">
        <v>0</v>
      </c>
      <c r="H44" s="13">
        <f>SUM(H45,H46,H47,H48)</f>
        <v>42004.630000000005</v>
      </c>
      <c r="J44" s="13">
        <f>SUM(J45,J46,J47,J48)</f>
        <v>42004.630000000005</v>
      </c>
    </row>
    <row r="45" spans="1:12" s="14" customFormat="1" ht="409.5" x14ac:dyDescent="0.25">
      <c r="A45" s="14" t="s">
        <v>70</v>
      </c>
      <c r="B45" s="14" t="s">
        <v>30</v>
      </c>
      <c r="C45" s="14" t="s">
        <v>71</v>
      </c>
      <c r="D45" s="14" t="s">
        <v>72</v>
      </c>
      <c r="E45" s="14">
        <v>405</v>
      </c>
      <c r="F45" s="14" t="s">
        <v>73</v>
      </c>
      <c r="G45" s="15">
        <v>5.5</v>
      </c>
      <c r="H45" s="16">
        <f>IF(AND(ISNUMBER(E45),ISNUMBER(G45)),ROUND(PRODUCT(PRODUCT(E45, G45), 1 - L45), 2),"")</f>
        <v>2227.5</v>
      </c>
      <c r="I45" s="17">
        <v>0</v>
      </c>
      <c r="J45" s="16">
        <f>IF(AND(ISNUMBER(H45)),ROUND(PRODUCT(H45, SUM(I45,"1")), 2),"")</f>
        <v>2227.5</v>
      </c>
      <c r="K45" s="14" t="s">
        <v>30</v>
      </c>
      <c r="L45" s="14">
        <v>0</v>
      </c>
    </row>
    <row r="46" spans="1:12" s="14" customFormat="1" ht="180" x14ac:dyDescent="0.25">
      <c r="A46" s="14" t="s">
        <v>74</v>
      </c>
      <c r="B46" s="14" t="s">
        <v>30</v>
      </c>
      <c r="C46" s="14" t="s">
        <v>75</v>
      </c>
      <c r="D46" s="14" t="s">
        <v>76</v>
      </c>
      <c r="E46" s="14">
        <v>1565</v>
      </c>
      <c r="F46" s="14" t="s">
        <v>73</v>
      </c>
      <c r="G46" s="15">
        <v>9.8000000000000007</v>
      </c>
      <c r="H46" s="16">
        <f>IF(AND(ISNUMBER(E46),ISNUMBER(G46)),ROUND(PRODUCT(PRODUCT(E46, G46), 1 - L46), 2),"")</f>
        <v>15337</v>
      </c>
      <c r="I46" s="17">
        <v>0</v>
      </c>
      <c r="J46" s="16">
        <f>IF(AND(ISNUMBER(H46)),ROUND(PRODUCT(H46, SUM(I46,"1")), 2),"")</f>
        <v>15337</v>
      </c>
      <c r="K46" s="14" t="s">
        <v>30</v>
      </c>
      <c r="L46" s="14">
        <v>0</v>
      </c>
    </row>
    <row r="47" spans="1:12" s="14" customFormat="1" ht="90" x14ac:dyDescent="0.25">
      <c r="A47" s="14" t="s">
        <v>77</v>
      </c>
      <c r="B47" s="14" t="s">
        <v>30</v>
      </c>
      <c r="C47" s="14" t="s">
        <v>78</v>
      </c>
      <c r="D47" s="14" t="s">
        <v>79</v>
      </c>
      <c r="E47" s="14">
        <v>4015</v>
      </c>
      <c r="F47" s="14" t="s">
        <v>40</v>
      </c>
      <c r="G47" s="15">
        <v>1.6936803545981216</v>
      </c>
      <c r="H47" s="16">
        <f>IF(AND(ISNUMBER(E47),ISNUMBER(G47)),ROUND(PRODUCT(PRODUCT(E47, G47), 1 - L47), 2),"")</f>
        <v>6800.13</v>
      </c>
      <c r="I47" s="17">
        <v>0</v>
      </c>
      <c r="J47" s="16">
        <f>IF(AND(ISNUMBER(H47)),ROUND(PRODUCT(H47, SUM(I47,"1")), 2),"")</f>
        <v>6800.13</v>
      </c>
      <c r="K47" s="14" t="s">
        <v>30</v>
      </c>
      <c r="L47" s="14">
        <v>0</v>
      </c>
    </row>
    <row r="48" spans="1:12" s="14" customFormat="1" ht="195" x14ac:dyDescent="0.25">
      <c r="A48" s="14" t="s">
        <v>80</v>
      </c>
      <c r="B48" s="14" t="s">
        <v>30</v>
      </c>
      <c r="C48" s="14" t="s">
        <v>81</v>
      </c>
      <c r="D48" s="14" t="s">
        <v>82</v>
      </c>
      <c r="E48" s="14">
        <v>1800</v>
      </c>
      <c r="F48" s="14" t="s">
        <v>73</v>
      </c>
      <c r="G48" s="15">
        <v>9.8000000000000007</v>
      </c>
      <c r="H48" s="16">
        <f>IF(AND(ISNUMBER(E48),ISNUMBER(G48)),ROUND(PRODUCT(PRODUCT(E48, G48), 1 - L48), 2),"")</f>
        <v>17640</v>
      </c>
      <c r="I48" s="17">
        <v>0</v>
      </c>
      <c r="J48" s="16">
        <f>IF(AND(ISNUMBER(H48)),ROUND(PRODUCT(H48, SUM(I48,"1")), 2),"")</f>
        <v>17640</v>
      </c>
      <c r="K48" s="14" t="s">
        <v>30</v>
      </c>
      <c r="L48" s="14">
        <v>0</v>
      </c>
    </row>
    <row r="49" spans="1:12" s="12" customFormat="1" x14ac:dyDescent="0.25">
      <c r="A49" s="12" t="s">
        <v>83</v>
      </c>
      <c r="C49" s="12" t="s">
        <v>84</v>
      </c>
      <c r="G49" s="12">
        <v>0</v>
      </c>
      <c r="H49" s="13">
        <f>SUM(H50,H51,H52)</f>
        <v>32200.05</v>
      </c>
      <c r="J49" s="13">
        <f>SUM(J50,J51,J52)</f>
        <v>32200.05</v>
      </c>
    </row>
    <row r="50" spans="1:12" s="14" customFormat="1" ht="300" x14ac:dyDescent="0.25">
      <c r="A50" s="14" t="s">
        <v>85</v>
      </c>
      <c r="B50" s="14" t="s">
        <v>30</v>
      </c>
      <c r="C50" s="14" t="s">
        <v>86</v>
      </c>
      <c r="D50" s="14" t="s">
        <v>87</v>
      </c>
      <c r="E50" s="14">
        <v>3014.85</v>
      </c>
      <c r="F50" s="14" t="s">
        <v>73</v>
      </c>
      <c r="G50" s="15">
        <v>9.8000000000000007</v>
      </c>
      <c r="H50" s="16">
        <f>IF(AND(ISNUMBER(E50),ISNUMBER(G50)),ROUND(PRODUCT(PRODUCT(E50, G50), 1 - L50), 2),"")</f>
        <v>29545.53</v>
      </c>
      <c r="I50" s="17">
        <v>0</v>
      </c>
      <c r="J50" s="16">
        <f>IF(AND(ISNUMBER(H50)),ROUND(PRODUCT(H50, SUM(I50,"1")), 2),"")</f>
        <v>29545.53</v>
      </c>
      <c r="K50" s="14" t="s">
        <v>30</v>
      </c>
      <c r="L50" s="14">
        <v>0</v>
      </c>
    </row>
    <row r="51" spans="1:12" s="14" customFormat="1" ht="195" x14ac:dyDescent="0.25">
      <c r="A51" s="14" t="s">
        <v>88</v>
      </c>
      <c r="B51" s="14" t="s">
        <v>30</v>
      </c>
      <c r="C51" s="14" t="s">
        <v>89</v>
      </c>
      <c r="D51" s="14" t="s">
        <v>90</v>
      </c>
      <c r="E51" s="14">
        <v>50</v>
      </c>
      <c r="F51" s="14" t="s">
        <v>73</v>
      </c>
      <c r="G51" s="15">
        <v>9.8000000000000007</v>
      </c>
      <c r="H51" s="16">
        <f>IF(AND(ISNUMBER(E51),ISNUMBER(G51)),ROUND(PRODUCT(PRODUCT(E51, G51), 1 - L51), 2),"")</f>
        <v>490</v>
      </c>
      <c r="I51" s="17">
        <v>0</v>
      </c>
      <c r="J51" s="16">
        <f>IF(AND(ISNUMBER(H51)),ROUND(PRODUCT(H51, SUM(I51,"1")), 2),"")</f>
        <v>490</v>
      </c>
      <c r="K51" s="14" t="s">
        <v>30</v>
      </c>
      <c r="L51" s="14">
        <v>0</v>
      </c>
    </row>
    <row r="52" spans="1:12" s="14" customFormat="1" ht="90" x14ac:dyDescent="0.25">
      <c r="A52" s="14" t="s">
        <v>91</v>
      </c>
      <c r="B52" s="14" t="s">
        <v>30</v>
      </c>
      <c r="C52" s="14" t="s">
        <v>78</v>
      </c>
      <c r="D52" s="14" t="s">
        <v>79</v>
      </c>
      <c r="E52" s="14">
        <v>1278</v>
      </c>
      <c r="F52" s="14" t="s">
        <v>40</v>
      </c>
      <c r="G52" s="15">
        <v>1.6936803545981216</v>
      </c>
      <c r="H52" s="16">
        <f>IF(AND(ISNUMBER(E52),ISNUMBER(G52)),ROUND(PRODUCT(PRODUCT(E52, G52), 1 - L52), 2),"")</f>
        <v>2164.52</v>
      </c>
      <c r="I52" s="17">
        <v>0</v>
      </c>
      <c r="J52" s="16">
        <f>IF(AND(ISNUMBER(H52)),ROUND(PRODUCT(H52, SUM(I52,"1")), 2),"")</f>
        <v>2164.52</v>
      </c>
      <c r="K52" s="14" t="s">
        <v>30</v>
      </c>
      <c r="L52" s="14">
        <v>0</v>
      </c>
    </row>
    <row r="53" spans="1:12" s="12" customFormat="1" x14ac:dyDescent="0.25">
      <c r="A53" s="12" t="s">
        <v>92</v>
      </c>
      <c r="C53" s="12" t="s">
        <v>93</v>
      </c>
      <c r="G53" s="12">
        <v>0</v>
      </c>
      <c r="H53" s="13">
        <f>SUM(H54,H55,H56,H57,H58,H59,H60)</f>
        <v>73118.5</v>
      </c>
      <c r="J53" s="13">
        <f>SUM(J54,J55,J56,J57,J58,J59,J60)</f>
        <v>73118.5</v>
      </c>
    </row>
    <row r="54" spans="1:12" s="14" customFormat="1" ht="270" x14ac:dyDescent="0.25">
      <c r="A54" s="14" t="s">
        <v>94</v>
      </c>
      <c r="B54" s="14" t="s">
        <v>30</v>
      </c>
      <c r="C54" s="14" t="s">
        <v>95</v>
      </c>
      <c r="D54" s="14" t="s">
        <v>96</v>
      </c>
      <c r="E54" s="14">
        <v>650</v>
      </c>
      <c r="F54" s="14" t="s">
        <v>73</v>
      </c>
      <c r="G54" s="15">
        <v>13.5</v>
      </c>
      <c r="H54" s="16">
        <f t="shared" ref="H54:H60" si="0">IF(AND(ISNUMBER(E54),ISNUMBER(G54)),ROUND(PRODUCT(PRODUCT(E54, G54), 1 - L54), 2),"")</f>
        <v>8775</v>
      </c>
      <c r="I54" s="17">
        <v>0</v>
      </c>
      <c r="J54" s="16">
        <f t="shared" ref="J54:J60" si="1">IF(AND(ISNUMBER(H54)),ROUND(PRODUCT(H54, SUM(I54,"1")), 2),"")</f>
        <v>8775</v>
      </c>
      <c r="K54" s="14" t="s">
        <v>30</v>
      </c>
      <c r="L54" s="14">
        <v>0</v>
      </c>
    </row>
    <row r="55" spans="1:12" s="14" customFormat="1" ht="180" x14ac:dyDescent="0.25">
      <c r="A55" s="14" t="s">
        <v>97</v>
      </c>
      <c r="B55" s="14" t="s">
        <v>30</v>
      </c>
      <c r="C55" s="14" t="s">
        <v>98</v>
      </c>
      <c r="D55" s="14" t="s">
        <v>99</v>
      </c>
      <c r="E55" s="14">
        <v>1411</v>
      </c>
      <c r="F55" s="14" t="s">
        <v>73</v>
      </c>
      <c r="G55" s="15">
        <v>9.8000000000000007</v>
      </c>
      <c r="H55" s="16">
        <f t="shared" si="0"/>
        <v>13827.8</v>
      </c>
      <c r="I55" s="17">
        <v>0</v>
      </c>
      <c r="J55" s="16">
        <f t="shared" si="1"/>
        <v>13827.8</v>
      </c>
      <c r="K55" s="14" t="s">
        <v>30</v>
      </c>
      <c r="L55" s="14">
        <v>0</v>
      </c>
    </row>
    <row r="56" spans="1:12" s="14" customFormat="1" ht="45" x14ac:dyDescent="0.25">
      <c r="A56" s="14" t="s">
        <v>100</v>
      </c>
      <c r="B56" s="14" t="s">
        <v>30</v>
      </c>
      <c r="C56" s="14" t="s">
        <v>101</v>
      </c>
      <c r="D56" s="14" t="s">
        <v>102</v>
      </c>
      <c r="E56" s="14">
        <v>650</v>
      </c>
      <c r="F56" s="14" t="s">
        <v>40</v>
      </c>
      <c r="G56" s="15">
        <v>1.6936803545981216</v>
      </c>
      <c r="H56" s="16">
        <f t="shared" si="0"/>
        <v>1100.8900000000001</v>
      </c>
      <c r="I56" s="17">
        <v>0</v>
      </c>
      <c r="J56" s="16">
        <f t="shared" si="1"/>
        <v>1100.8900000000001</v>
      </c>
      <c r="K56" s="14" t="s">
        <v>30</v>
      </c>
      <c r="L56" s="14">
        <v>0</v>
      </c>
    </row>
    <row r="57" spans="1:12" s="14" customFormat="1" ht="150" x14ac:dyDescent="0.25">
      <c r="A57" s="14" t="s">
        <v>103</v>
      </c>
      <c r="B57" s="14" t="s">
        <v>30</v>
      </c>
      <c r="C57" s="14" t="s">
        <v>104</v>
      </c>
      <c r="D57" s="14" t="s">
        <v>105</v>
      </c>
      <c r="E57" s="14">
        <v>250</v>
      </c>
      <c r="F57" s="14" t="s">
        <v>73</v>
      </c>
      <c r="G57" s="15">
        <v>35.567287446560556</v>
      </c>
      <c r="H57" s="16">
        <f t="shared" si="0"/>
        <v>8891.82</v>
      </c>
      <c r="I57" s="17">
        <v>0</v>
      </c>
      <c r="J57" s="16">
        <f t="shared" si="1"/>
        <v>8891.82</v>
      </c>
      <c r="K57" s="14" t="s">
        <v>30</v>
      </c>
      <c r="L57" s="14">
        <v>0</v>
      </c>
    </row>
    <row r="58" spans="1:12" s="14" customFormat="1" ht="150" x14ac:dyDescent="0.25">
      <c r="A58" s="14" t="s">
        <v>106</v>
      </c>
      <c r="B58" s="14" t="s">
        <v>30</v>
      </c>
      <c r="C58" s="14" t="s">
        <v>107</v>
      </c>
      <c r="D58" s="14" t="s">
        <v>105</v>
      </c>
      <c r="E58" s="14">
        <v>51</v>
      </c>
      <c r="F58" s="14" t="s">
        <v>73</v>
      </c>
      <c r="G58" s="15">
        <v>35.567287446560556</v>
      </c>
      <c r="H58" s="16">
        <f t="shared" si="0"/>
        <v>1813.93</v>
      </c>
      <c r="I58" s="17">
        <v>0</v>
      </c>
      <c r="J58" s="16">
        <f t="shared" si="1"/>
        <v>1813.93</v>
      </c>
      <c r="K58" s="14" t="s">
        <v>30</v>
      </c>
      <c r="L58" s="14">
        <v>0</v>
      </c>
    </row>
    <row r="59" spans="1:12" s="14" customFormat="1" ht="120" x14ac:dyDescent="0.25">
      <c r="A59" s="14" t="s">
        <v>108</v>
      </c>
      <c r="B59" s="14" t="s">
        <v>30</v>
      </c>
      <c r="C59" s="14" t="s">
        <v>109</v>
      </c>
      <c r="D59" s="14" t="s">
        <v>110</v>
      </c>
      <c r="E59" s="14">
        <v>400</v>
      </c>
      <c r="F59" s="14" t="s">
        <v>73</v>
      </c>
      <c r="G59" s="15">
        <v>29.639406205467129</v>
      </c>
      <c r="H59" s="16">
        <f t="shared" si="0"/>
        <v>11855.76</v>
      </c>
      <c r="I59" s="17">
        <v>0</v>
      </c>
      <c r="J59" s="16">
        <f t="shared" si="1"/>
        <v>11855.76</v>
      </c>
      <c r="K59" s="14" t="s">
        <v>30</v>
      </c>
      <c r="L59" s="14">
        <v>0</v>
      </c>
    </row>
    <row r="60" spans="1:12" s="14" customFormat="1" ht="120" x14ac:dyDescent="0.25">
      <c r="A60" s="14" t="s">
        <v>111</v>
      </c>
      <c r="B60" s="14" t="s">
        <v>30</v>
      </c>
      <c r="C60" s="14" t="s">
        <v>112</v>
      </c>
      <c r="D60" s="14" t="s">
        <v>110</v>
      </c>
      <c r="E60" s="14">
        <v>906</v>
      </c>
      <c r="F60" s="14" t="s">
        <v>73</v>
      </c>
      <c r="G60" s="15">
        <v>29.639406205467129</v>
      </c>
      <c r="H60" s="16">
        <f t="shared" si="0"/>
        <v>26853.3</v>
      </c>
      <c r="I60" s="17">
        <v>0</v>
      </c>
      <c r="J60" s="16">
        <f t="shared" si="1"/>
        <v>26853.3</v>
      </c>
      <c r="K60" s="14" t="s">
        <v>30</v>
      </c>
      <c r="L60" s="14">
        <v>0</v>
      </c>
    </row>
    <row r="61" spans="1:12" s="12" customFormat="1" x14ac:dyDescent="0.25">
      <c r="A61" s="12" t="s">
        <v>113</v>
      </c>
      <c r="C61" s="12" t="s">
        <v>114</v>
      </c>
      <c r="G61" s="12">
        <v>0</v>
      </c>
      <c r="H61" s="13">
        <f>SUM(H62)</f>
        <v>20395.3</v>
      </c>
      <c r="J61" s="13">
        <f>SUM(J62)</f>
        <v>20395.3</v>
      </c>
    </row>
    <row r="62" spans="1:12" s="14" customFormat="1" ht="210" x14ac:dyDescent="0.25">
      <c r="A62" s="14" t="s">
        <v>115</v>
      </c>
      <c r="B62" s="14" t="s">
        <v>30</v>
      </c>
      <c r="C62" s="14" t="s">
        <v>116</v>
      </c>
      <c r="D62" s="14" t="s">
        <v>117</v>
      </c>
      <c r="E62" s="14">
        <v>669</v>
      </c>
      <c r="F62" s="14" t="s">
        <v>73</v>
      </c>
      <c r="G62" s="15">
        <v>30.486246382766193</v>
      </c>
      <c r="H62" s="16">
        <f>IF(AND(ISNUMBER(E62),ISNUMBER(G62)),ROUND(PRODUCT(PRODUCT(E62, G62), 1 - L62), 2),"")</f>
        <v>20395.3</v>
      </c>
      <c r="I62" s="17">
        <v>0</v>
      </c>
      <c r="J62" s="16">
        <f>IF(AND(ISNUMBER(H62)),ROUND(PRODUCT(H62, SUM(I62,"1")), 2),"")</f>
        <v>20395.3</v>
      </c>
      <c r="K62" s="14" t="s">
        <v>30</v>
      </c>
      <c r="L62" s="14">
        <v>0</v>
      </c>
    </row>
    <row r="63" spans="1:12" s="12" customFormat="1" x14ac:dyDescent="0.25">
      <c r="A63" s="12" t="s">
        <v>118</v>
      </c>
      <c r="C63" s="12" t="s">
        <v>119</v>
      </c>
      <c r="G63" s="12">
        <v>0</v>
      </c>
      <c r="H63" s="13">
        <f>SUM(H64,H65,H66,H67,H68,H69,H70,H71,H72,H73,H74,H75,H76,H77,H78,H79,H80,H81)</f>
        <v>251261.88000000003</v>
      </c>
      <c r="J63" s="13">
        <f>SUM(J64,J65,J66,J67,J68,J69,J70,J71,J72,J73,J74,J75,J76,J77,J78,J79,J80,J81)</f>
        <v>251261.88000000003</v>
      </c>
    </row>
    <row r="64" spans="1:12" s="14" customFormat="1" ht="210" x14ac:dyDescent="0.25">
      <c r="A64" s="14" t="s">
        <v>120</v>
      </c>
      <c r="B64" s="14" t="s">
        <v>30</v>
      </c>
      <c r="C64" s="14" t="s">
        <v>121</v>
      </c>
      <c r="D64" s="14" t="s">
        <v>122</v>
      </c>
      <c r="E64" s="14">
        <v>194</v>
      </c>
      <c r="F64" s="14" t="s">
        <v>73</v>
      </c>
      <c r="G64" s="15">
        <v>35</v>
      </c>
      <c r="H64" s="16">
        <f t="shared" ref="H64:H81" si="2">IF(AND(ISNUMBER(E64),ISNUMBER(G64)),ROUND(PRODUCT(PRODUCT(E64, G64), 1 - L64), 2),"")</f>
        <v>6790</v>
      </c>
      <c r="I64" s="17">
        <v>0</v>
      </c>
      <c r="J64" s="16">
        <f t="shared" ref="J64:J81" si="3">IF(AND(ISNUMBER(H64)),ROUND(PRODUCT(H64, SUM(I64,"1")), 2),"")</f>
        <v>6790</v>
      </c>
      <c r="K64" s="14" t="s">
        <v>30</v>
      </c>
      <c r="L64" s="14">
        <v>0</v>
      </c>
    </row>
    <row r="65" spans="1:12" s="14" customFormat="1" ht="210" x14ac:dyDescent="0.25">
      <c r="A65" s="14" t="s">
        <v>123</v>
      </c>
      <c r="B65" s="14" t="s">
        <v>30</v>
      </c>
      <c r="C65" s="14" t="s">
        <v>121</v>
      </c>
      <c r="D65" s="14" t="s">
        <v>124</v>
      </c>
      <c r="E65" s="14">
        <v>194</v>
      </c>
      <c r="F65" s="14" t="s">
        <v>73</v>
      </c>
      <c r="G65" s="15">
        <v>35</v>
      </c>
      <c r="H65" s="16">
        <f t="shared" si="2"/>
        <v>6790</v>
      </c>
      <c r="I65" s="17">
        <v>0</v>
      </c>
      <c r="J65" s="16">
        <f t="shared" si="3"/>
        <v>6790</v>
      </c>
      <c r="K65" s="14" t="s">
        <v>30</v>
      </c>
      <c r="L65" s="14">
        <v>0</v>
      </c>
    </row>
    <row r="66" spans="1:12" s="14" customFormat="1" ht="210" x14ac:dyDescent="0.25">
      <c r="A66" s="14" t="s">
        <v>125</v>
      </c>
      <c r="B66" s="14" t="s">
        <v>30</v>
      </c>
      <c r="C66" s="14" t="s">
        <v>126</v>
      </c>
      <c r="D66" s="14" t="s">
        <v>127</v>
      </c>
      <c r="E66" s="14">
        <v>860</v>
      </c>
      <c r="F66" s="14" t="s">
        <v>73</v>
      </c>
      <c r="G66" s="15">
        <v>35</v>
      </c>
      <c r="H66" s="16">
        <f t="shared" si="2"/>
        <v>30100</v>
      </c>
      <c r="I66" s="17">
        <v>0</v>
      </c>
      <c r="J66" s="16">
        <f t="shared" si="3"/>
        <v>30100</v>
      </c>
      <c r="K66" s="14" t="s">
        <v>30</v>
      </c>
      <c r="L66" s="14">
        <v>0</v>
      </c>
    </row>
    <row r="67" spans="1:12" s="14" customFormat="1" ht="210" x14ac:dyDescent="0.25">
      <c r="A67" s="14" t="s">
        <v>128</v>
      </c>
      <c r="B67" s="14" t="s">
        <v>30</v>
      </c>
      <c r="C67" s="14" t="s">
        <v>126</v>
      </c>
      <c r="D67" s="14" t="s">
        <v>129</v>
      </c>
      <c r="E67" s="14">
        <v>860</v>
      </c>
      <c r="F67" s="14" t="s">
        <v>73</v>
      </c>
      <c r="G67" s="15">
        <v>35</v>
      </c>
      <c r="H67" s="16">
        <f t="shared" si="2"/>
        <v>30100</v>
      </c>
      <c r="I67" s="17">
        <v>0</v>
      </c>
      <c r="J67" s="16">
        <f t="shared" si="3"/>
        <v>30100</v>
      </c>
      <c r="K67" s="14" t="s">
        <v>30</v>
      </c>
      <c r="L67" s="14">
        <v>0</v>
      </c>
    </row>
    <row r="68" spans="1:12" s="14" customFormat="1" ht="210" x14ac:dyDescent="0.25">
      <c r="A68" s="14" t="s">
        <v>130</v>
      </c>
      <c r="B68" s="14" t="s">
        <v>30</v>
      </c>
      <c r="C68" s="14" t="s">
        <v>131</v>
      </c>
      <c r="D68" s="14" t="s">
        <v>132</v>
      </c>
      <c r="E68" s="14">
        <v>50</v>
      </c>
      <c r="F68" s="14" t="s">
        <v>73</v>
      </c>
      <c r="G68" s="15">
        <v>35</v>
      </c>
      <c r="H68" s="16">
        <f t="shared" si="2"/>
        <v>1750</v>
      </c>
      <c r="I68" s="17">
        <v>0</v>
      </c>
      <c r="J68" s="16">
        <f t="shared" si="3"/>
        <v>1750</v>
      </c>
      <c r="K68" s="14" t="s">
        <v>30</v>
      </c>
      <c r="L68" s="14">
        <v>0</v>
      </c>
    </row>
    <row r="69" spans="1:12" s="14" customFormat="1" ht="210" x14ac:dyDescent="0.25">
      <c r="A69" s="14" t="s">
        <v>133</v>
      </c>
      <c r="B69" s="14" t="s">
        <v>30</v>
      </c>
      <c r="C69" s="14" t="s">
        <v>131</v>
      </c>
      <c r="D69" s="14" t="s">
        <v>134</v>
      </c>
      <c r="E69" s="14">
        <v>50</v>
      </c>
      <c r="F69" s="14" t="s">
        <v>73</v>
      </c>
      <c r="G69" s="15">
        <v>35</v>
      </c>
      <c r="H69" s="16">
        <f t="shared" si="2"/>
        <v>1750</v>
      </c>
      <c r="I69" s="17">
        <v>0</v>
      </c>
      <c r="J69" s="16">
        <f t="shared" si="3"/>
        <v>1750</v>
      </c>
      <c r="K69" s="14" t="s">
        <v>30</v>
      </c>
      <c r="L69" s="14">
        <v>0</v>
      </c>
    </row>
    <row r="70" spans="1:12" s="14" customFormat="1" ht="150" x14ac:dyDescent="0.25">
      <c r="A70" s="14" t="s">
        <v>135</v>
      </c>
      <c r="B70" s="14" t="s">
        <v>30</v>
      </c>
      <c r="C70" s="14" t="s">
        <v>136</v>
      </c>
      <c r="D70" s="14" t="s">
        <v>137</v>
      </c>
      <c r="E70" s="14">
        <v>1511.53</v>
      </c>
      <c r="F70" s="14" t="s">
        <v>73</v>
      </c>
      <c r="G70" s="15">
        <v>8.1296657020709837</v>
      </c>
      <c r="H70" s="16">
        <f t="shared" si="2"/>
        <v>12288.23</v>
      </c>
      <c r="I70" s="17">
        <v>0</v>
      </c>
      <c r="J70" s="16">
        <f t="shared" si="3"/>
        <v>12288.23</v>
      </c>
      <c r="K70" s="14" t="s">
        <v>30</v>
      </c>
      <c r="L70" s="14">
        <v>0</v>
      </c>
    </row>
    <row r="71" spans="1:12" s="14" customFormat="1" ht="165" x14ac:dyDescent="0.25">
      <c r="A71" s="14" t="s">
        <v>138</v>
      </c>
      <c r="B71" s="14" t="s">
        <v>30</v>
      </c>
      <c r="C71" s="14" t="s">
        <v>139</v>
      </c>
      <c r="D71" s="14" t="s">
        <v>140</v>
      </c>
      <c r="E71" s="14">
        <v>1544.59</v>
      </c>
      <c r="F71" s="14" t="s">
        <v>73</v>
      </c>
      <c r="G71" s="15">
        <v>8.1296657020709837</v>
      </c>
      <c r="H71" s="16">
        <f t="shared" si="2"/>
        <v>12557</v>
      </c>
      <c r="I71" s="17">
        <v>0</v>
      </c>
      <c r="J71" s="16">
        <f t="shared" si="3"/>
        <v>12557</v>
      </c>
      <c r="K71" s="14" t="s">
        <v>30</v>
      </c>
      <c r="L71" s="14">
        <v>0</v>
      </c>
    </row>
    <row r="72" spans="1:12" s="14" customFormat="1" ht="150" x14ac:dyDescent="0.25">
      <c r="A72" s="14" t="s">
        <v>141</v>
      </c>
      <c r="B72" s="14" t="s">
        <v>30</v>
      </c>
      <c r="C72" s="14" t="s">
        <v>142</v>
      </c>
      <c r="D72" s="14" t="s">
        <v>143</v>
      </c>
      <c r="E72" s="14">
        <v>642.55999999999995</v>
      </c>
      <c r="F72" s="14" t="s">
        <v>73</v>
      </c>
      <c r="G72" s="15">
        <v>8.1296657020709837</v>
      </c>
      <c r="H72" s="16">
        <f t="shared" si="2"/>
        <v>5223.8</v>
      </c>
      <c r="I72" s="17">
        <v>0</v>
      </c>
      <c r="J72" s="16">
        <f t="shared" si="3"/>
        <v>5223.8</v>
      </c>
      <c r="K72" s="14" t="s">
        <v>30</v>
      </c>
      <c r="L72" s="14">
        <v>0</v>
      </c>
    </row>
    <row r="73" spans="1:12" s="14" customFormat="1" ht="90" x14ac:dyDescent="0.25">
      <c r="A73" s="14" t="s">
        <v>144</v>
      </c>
      <c r="B73" s="14" t="s">
        <v>30</v>
      </c>
      <c r="C73" s="14" t="s">
        <v>145</v>
      </c>
      <c r="D73" s="14" t="s">
        <v>146</v>
      </c>
      <c r="E73" s="14">
        <v>5294</v>
      </c>
      <c r="F73" s="14" t="s">
        <v>40</v>
      </c>
      <c r="G73" s="15">
        <v>1.7787510573404928</v>
      </c>
      <c r="H73" s="16">
        <f t="shared" si="2"/>
        <v>9416.7099999999991</v>
      </c>
      <c r="I73" s="17">
        <v>0</v>
      </c>
      <c r="J73" s="16">
        <f t="shared" si="3"/>
        <v>9416.7099999999991</v>
      </c>
      <c r="K73" s="14" t="s">
        <v>30</v>
      </c>
      <c r="L73" s="14">
        <v>0</v>
      </c>
    </row>
    <row r="74" spans="1:12" s="14" customFormat="1" ht="90" x14ac:dyDescent="0.25">
      <c r="A74" s="14" t="s">
        <v>147</v>
      </c>
      <c r="B74" s="14" t="s">
        <v>30</v>
      </c>
      <c r="C74" s="14" t="s">
        <v>148</v>
      </c>
      <c r="D74" s="14" t="s">
        <v>146</v>
      </c>
      <c r="E74" s="14">
        <v>521</v>
      </c>
      <c r="F74" s="14" t="s">
        <v>40</v>
      </c>
      <c r="G74" s="15">
        <v>1.7787510573404928</v>
      </c>
      <c r="H74" s="16">
        <f t="shared" si="2"/>
        <v>926.73</v>
      </c>
      <c r="I74" s="17">
        <v>0</v>
      </c>
      <c r="J74" s="16">
        <f t="shared" si="3"/>
        <v>926.73</v>
      </c>
      <c r="K74" s="14" t="s">
        <v>30</v>
      </c>
      <c r="L74" s="14">
        <v>0</v>
      </c>
    </row>
    <row r="75" spans="1:12" s="14" customFormat="1" ht="90" x14ac:dyDescent="0.25">
      <c r="A75" s="14" t="s">
        <v>149</v>
      </c>
      <c r="B75" s="14" t="s">
        <v>30</v>
      </c>
      <c r="C75" s="14" t="s">
        <v>150</v>
      </c>
      <c r="D75" s="14" t="s">
        <v>151</v>
      </c>
      <c r="E75" s="14">
        <v>6690.26</v>
      </c>
      <c r="F75" s="14" t="s">
        <v>40</v>
      </c>
      <c r="G75" s="15">
        <v>1.6936803545981216</v>
      </c>
      <c r="H75" s="16">
        <f t="shared" si="2"/>
        <v>11331.16</v>
      </c>
      <c r="I75" s="17">
        <v>0</v>
      </c>
      <c r="J75" s="16">
        <f t="shared" si="3"/>
        <v>11331.16</v>
      </c>
      <c r="K75" s="14" t="s">
        <v>30</v>
      </c>
      <c r="L75" s="14">
        <v>0</v>
      </c>
    </row>
    <row r="76" spans="1:12" s="14" customFormat="1" ht="210" x14ac:dyDescent="0.25">
      <c r="A76" s="14" t="s">
        <v>152</v>
      </c>
      <c r="B76" s="14" t="s">
        <v>30</v>
      </c>
      <c r="C76" s="14" t="s">
        <v>153</v>
      </c>
      <c r="D76" s="14" t="s">
        <v>154</v>
      </c>
      <c r="E76" s="14">
        <v>1100</v>
      </c>
      <c r="F76" s="14" t="s">
        <v>73</v>
      </c>
      <c r="G76" s="15">
        <v>35</v>
      </c>
      <c r="H76" s="16">
        <f t="shared" si="2"/>
        <v>38500</v>
      </c>
      <c r="I76" s="17">
        <v>0</v>
      </c>
      <c r="J76" s="16">
        <f t="shared" si="3"/>
        <v>38500</v>
      </c>
      <c r="K76" s="14" t="s">
        <v>30</v>
      </c>
      <c r="L76" s="14">
        <v>0</v>
      </c>
    </row>
    <row r="77" spans="1:12" s="14" customFormat="1" ht="210" x14ac:dyDescent="0.25">
      <c r="A77" s="14" t="s">
        <v>155</v>
      </c>
      <c r="B77" s="14" t="s">
        <v>30</v>
      </c>
      <c r="C77" s="14" t="s">
        <v>156</v>
      </c>
      <c r="D77" s="14" t="s">
        <v>157</v>
      </c>
      <c r="E77" s="14">
        <v>1800</v>
      </c>
      <c r="F77" s="14" t="s">
        <v>73</v>
      </c>
      <c r="G77" s="15">
        <v>35</v>
      </c>
      <c r="H77" s="16">
        <f t="shared" si="2"/>
        <v>63000</v>
      </c>
      <c r="I77" s="17">
        <v>0</v>
      </c>
      <c r="J77" s="16">
        <f t="shared" si="3"/>
        <v>63000</v>
      </c>
      <c r="K77" s="14" t="s">
        <v>30</v>
      </c>
      <c r="L77" s="14">
        <v>0</v>
      </c>
    </row>
    <row r="78" spans="1:12" s="14" customFormat="1" ht="165" x14ac:dyDescent="0.25">
      <c r="A78" s="14" t="s">
        <v>158</v>
      </c>
      <c r="B78" s="14" t="s">
        <v>30</v>
      </c>
      <c r="C78" s="14" t="s">
        <v>159</v>
      </c>
      <c r="D78" s="14" t="s">
        <v>160</v>
      </c>
      <c r="E78" s="14">
        <v>55</v>
      </c>
      <c r="F78" s="14" t="s">
        <v>73</v>
      </c>
      <c r="G78" s="15">
        <v>35.567287446560556</v>
      </c>
      <c r="H78" s="16">
        <f t="shared" si="2"/>
        <v>1956.2</v>
      </c>
      <c r="I78" s="17">
        <v>0</v>
      </c>
      <c r="J78" s="16">
        <f t="shared" si="3"/>
        <v>1956.2</v>
      </c>
      <c r="K78" s="14" t="s">
        <v>30</v>
      </c>
      <c r="L78" s="14">
        <v>0</v>
      </c>
    </row>
    <row r="79" spans="1:12" s="14" customFormat="1" ht="165" x14ac:dyDescent="0.25">
      <c r="A79" s="14" t="s">
        <v>161</v>
      </c>
      <c r="B79" s="14" t="s">
        <v>30</v>
      </c>
      <c r="C79" s="14" t="s">
        <v>162</v>
      </c>
      <c r="D79" s="14" t="s">
        <v>160</v>
      </c>
      <c r="E79" s="14">
        <v>152</v>
      </c>
      <c r="F79" s="14" t="s">
        <v>73</v>
      </c>
      <c r="G79" s="15">
        <v>35.567287446560556</v>
      </c>
      <c r="H79" s="16">
        <f t="shared" si="2"/>
        <v>5406.23</v>
      </c>
      <c r="I79" s="17">
        <v>0</v>
      </c>
      <c r="J79" s="16">
        <f t="shared" si="3"/>
        <v>5406.23</v>
      </c>
      <c r="K79" s="14" t="s">
        <v>30</v>
      </c>
      <c r="L79" s="14">
        <v>0</v>
      </c>
    </row>
    <row r="80" spans="1:12" s="14" customFormat="1" ht="105" x14ac:dyDescent="0.25">
      <c r="A80" s="14" t="s">
        <v>163</v>
      </c>
      <c r="B80" s="14" t="s">
        <v>30</v>
      </c>
      <c r="C80" s="14" t="s">
        <v>164</v>
      </c>
      <c r="D80" s="14" t="s">
        <v>165</v>
      </c>
      <c r="E80" s="14">
        <v>5975</v>
      </c>
      <c r="F80" s="14" t="s">
        <v>40</v>
      </c>
      <c r="G80" s="15">
        <v>1.7787510573404928</v>
      </c>
      <c r="H80" s="16">
        <f t="shared" si="2"/>
        <v>10628.04</v>
      </c>
      <c r="I80" s="17">
        <v>0</v>
      </c>
      <c r="J80" s="16">
        <f t="shared" si="3"/>
        <v>10628.04</v>
      </c>
      <c r="K80" s="14" t="s">
        <v>30</v>
      </c>
      <c r="L80" s="14">
        <v>0</v>
      </c>
    </row>
    <row r="81" spans="1:12" s="14" customFormat="1" ht="240" x14ac:dyDescent="0.25">
      <c r="A81" s="14" t="s">
        <v>166</v>
      </c>
      <c r="B81" s="14" t="s">
        <v>30</v>
      </c>
      <c r="C81" s="14" t="s">
        <v>167</v>
      </c>
      <c r="D81" s="14" t="s">
        <v>168</v>
      </c>
      <c r="E81" s="14">
        <v>1100</v>
      </c>
      <c r="F81" s="14" t="s">
        <v>40</v>
      </c>
      <c r="G81" s="15">
        <v>2.4979851805259967</v>
      </c>
      <c r="H81" s="16">
        <f t="shared" si="2"/>
        <v>2747.78</v>
      </c>
      <c r="I81" s="17">
        <v>0</v>
      </c>
      <c r="J81" s="16">
        <f t="shared" si="3"/>
        <v>2747.78</v>
      </c>
      <c r="K81" s="14" t="s">
        <v>30</v>
      </c>
      <c r="L81" s="14">
        <v>0</v>
      </c>
    </row>
    <row r="82" spans="1:12" s="12" customFormat="1" x14ac:dyDescent="0.25">
      <c r="A82" s="12" t="s">
        <v>169</v>
      </c>
      <c r="C82" s="12" t="s">
        <v>33</v>
      </c>
      <c r="H82" s="13">
        <v>0</v>
      </c>
      <c r="J82" s="13">
        <v>0</v>
      </c>
    </row>
    <row r="83" spans="1:12" s="12" customFormat="1" x14ac:dyDescent="0.25">
      <c r="A83" s="12" t="s">
        <v>170</v>
      </c>
      <c r="C83" s="12" t="s">
        <v>171</v>
      </c>
      <c r="H83" s="13"/>
      <c r="J83" s="13"/>
    </row>
  </sheetData>
  <autoFilter ref="A23:L83" xr:uid="{00000000-0001-0000-0000-000000000000}"/>
  <mergeCells count="14">
    <mergeCell ref="A1:Q1"/>
    <mergeCell ref="A2:Q2"/>
    <mergeCell ref="A3:Q3"/>
    <mergeCell ref="A4:Q4"/>
    <mergeCell ref="A5:Q5"/>
    <mergeCell ref="A11:Q11"/>
    <mergeCell ref="A12:Q12"/>
    <mergeCell ref="A13:Q13"/>
    <mergeCell ref="A22:Q22"/>
    <mergeCell ref="A6:Q6"/>
    <mergeCell ref="A7:Q7"/>
    <mergeCell ref="A8:Q8"/>
    <mergeCell ref="A9:Q9"/>
    <mergeCell ref="A10:Q10"/>
  </mergeCells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A51507092ABC42A1F78E63565BAFD7" ma:contentTypeVersion="13" ma:contentTypeDescription="Stvaranje novog dokumenta." ma:contentTypeScope="" ma:versionID="431a5ee93854b27944054346f0b25a8a">
  <xsd:schema xmlns:xsd="http://www.w3.org/2001/XMLSchema" xmlns:xs="http://www.w3.org/2001/XMLSchema" xmlns:p="http://schemas.microsoft.com/office/2006/metadata/properties" xmlns:ns2="f915974b-6f1e-4350-9f7e-2d11fb1812c4" xmlns:ns3="cb3740f1-362a-4884-a648-7855dba250b9" targetNamespace="http://schemas.microsoft.com/office/2006/metadata/properties" ma:root="true" ma:fieldsID="1e05be92481b3b8621a13a8b50557f24" ns2:_="" ns3:_="">
    <xsd:import namespace="f915974b-6f1e-4350-9f7e-2d11fb1812c4"/>
    <xsd:import namespace="cb3740f1-362a-4884-a648-7855dba250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15974b-6f1e-4350-9f7e-2d11fb1812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Oznake slika" ma:readOnly="false" ma:fieldId="{5cf76f15-5ced-4ddc-b409-7134ff3c332f}" ma:taxonomyMulti="true" ma:sspId="3751c936-5afc-4ad0-aeab-ca19b149e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740f1-362a-4884-a648-7855dba250b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9648af3-417c-4ecd-a1bc-5e03dfaadbd5}" ma:internalName="TaxCatchAll" ma:showField="CatchAllData" ma:web="cb3740f1-362a-4884-a648-7855dba250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15974b-6f1e-4350-9f7e-2d11fb1812c4">
      <Terms xmlns="http://schemas.microsoft.com/office/infopath/2007/PartnerControls"/>
    </lcf76f155ced4ddcb4097134ff3c332f>
    <TaxCatchAll xmlns="cb3740f1-362a-4884-a648-7855dba250b9" xsi:nil="true"/>
  </documentManagement>
</p:properties>
</file>

<file path=customXml/itemProps1.xml><?xml version="1.0" encoding="utf-8"?>
<ds:datastoreItem xmlns:ds="http://schemas.openxmlformats.org/officeDocument/2006/customXml" ds:itemID="{AED46E1F-DA49-420F-9CBC-19401D726EEA}"/>
</file>

<file path=customXml/itemProps2.xml><?xml version="1.0" encoding="utf-8"?>
<ds:datastoreItem xmlns:ds="http://schemas.openxmlformats.org/officeDocument/2006/customXml" ds:itemID="{713C39BE-D748-4E63-BE05-009A71E035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84CDAF-748D-4DB5-AB4E-CC9EFEEEDB44}">
  <ds:schemaRefs>
    <ds:schemaRef ds:uri="http://schemas.microsoft.com/office/2006/metadata/properties"/>
    <ds:schemaRef ds:uri="http://schemas.microsoft.com/office/infopath/2007/PartnerControls"/>
    <ds:schemaRef ds:uri="f915974b-6f1e-4350-9f7e-2d11fb1812c4"/>
    <ds:schemaRef ds:uri="cb3740f1-362a-4884-a648-7855dba250b9"/>
  </ds:schemaRefs>
</ds:datastoreItem>
</file>

<file path=docMetadata/LabelInfo.xml><?xml version="1.0" encoding="utf-8"?>
<clbl:labelList xmlns:clbl="http://schemas.microsoft.com/office/2020/mipLabelMetadata">
  <clbl:label id="{60b37cb2-a399-4c31-a85a-411fc8b623d3}" enabled="1" method="Standard" siteId="{d04f4717-5a6e-4b98-b3f9-6918e0385f4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2025-03-21T05:48:34Z</dcterms:created>
  <dcterms:modified xsi:type="dcterms:W3CDTF">2025-04-07T13:50:23Z</dcterms:modified>
  <cp:category/>
  <dc:language>hr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0x01010053A51507092ABC42A1F78E63565BAFD7</vt:lpwstr>
  </property>
  <property fmtid="{D5CDD505-2E9C-101B-9397-08002B2CF9AE}" pid="3" name="Order">
    <vt:r8>1168500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  <property fmtid="{D5CDD505-2E9C-101B-9397-08002B2CF9AE}" pid="8" name="_SourceUrl">
    <vt:lpwstr/>
  </property>
  <property fmtid="{D5CDD505-2E9C-101B-9397-08002B2CF9AE}" pid="9" name="_SharedFileIndex">
    <vt:lpwstr/>
  </property>
</Properties>
</file>
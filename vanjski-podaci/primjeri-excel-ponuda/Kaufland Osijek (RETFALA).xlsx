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Troškovnici\"/>
    </mc:Choice>
  </mc:AlternateContent>
  <xr:revisionPtr revIDLastSave="0" documentId="13_ncr:1_{74F51902-651A-4BDE-A1F4-B156A977FE57}" xr6:coauthVersionLast="47" xr6:coauthVersionMax="47" xr10:uidLastSave="{00000000-0000-0000-0000-000000000000}"/>
  <bookViews>
    <workbookView xWindow="-108" yWindow="-108" windowWidth="30936" windowHeight="16776" xr2:uid="{3A3CAB88-88B2-4B5F-9DDD-5EF75FE54871}"/>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6" i="1" l="1"/>
  <c r="H135" i="1" s="1"/>
  <c r="H134" i="1"/>
  <c r="H133" i="1"/>
  <c r="H131" i="1"/>
  <c r="H130" i="1"/>
  <c r="H129" i="1" s="1"/>
  <c r="H127" i="1"/>
  <c r="H126" i="1"/>
  <c r="H125" i="1"/>
  <c r="H123" i="1"/>
  <c r="H122" i="1"/>
  <c r="H121" i="1"/>
  <c r="H120" i="1"/>
  <c r="H119" i="1"/>
  <c r="H118" i="1"/>
  <c r="H117" i="1"/>
  <c r="H111" i="1"/>
  <c r="H110" i="1"/>
  <c r="H109" i="1" s="1"/>
  <c r="H108" i="1"/>
  <c r="H107" i="1"/>
  <c r="H106" i="1"/>
  <c r="H105" i="1"/>
  <c r="H104" i="1"/>
  <c r="H103" i="1"/>
  <c r="H102" i="1"/>
  <c r="H96" i="1"/>
  <c r="H95" i="1" s="1"/>
  <c r="H94" i="1"/>
  <c r="H93" i="1"/>
  <c r="H91" i="1"/>
  <c r="H90" i="1"/>
  <c r="H89" i="1" s="1"/>
  <c r="H88" i="1"/>
  <c r="H86" i="1"/>
  <c r="H85" i="1"/>
  <c r="H84" i="1"/>
  <c r="H83" i="1"/>
  <c r="H82" i="1"/>
  <c r="H81" i="1"/>
  <c r="H80" i="1"/>
  <c r="H78" i="1"/>
  <c r="H77" i="1"/>
  <c r="H76" i="1"/>
  <c r="H75" i="1"/>
  <c r="H74" i="1"/>
  <c r="H73" i="1"/>
  <c r="H72" i="1"/>
  <c r="H71" i="1"/>
  <c r="H70" i="1"/>
  <c r="H69" i="1"/>
  <c r="H68" i="1"/>
  <c r="H67" i="1"/>
  <c r="H66" i="1"/>
  <c r="H65" i="1"/>
  <c r="H64" i="1"/>
  <c r="H56" i="1"/>
  <c r="H55" i="1"/>
  <c r="H54" i="1"/>
  <c r="H53" i="1"/>
  <c r="H52" i="1"/>
  <c r="H51" i="1" s="1"/>
  <c r="H47" i="1" s="1"/>
  <c r="H44" i="1"/>
  <c r="H43" i="1"/>
  <c r="H42" i="1"/>
  <c r="H41" i="1"/>
  <c r="H40" i="1"/>
  <c r="H39" i="1"/>
  <c r="H38" i="1"/>
  <c r="H37" i="1"/>
  <c r="H36" i="1"/>
  <c r="H35" i="1"/>
  <c r="H34" i="1"/>
  <c r="H33" i="1"/>
  <c r="H24" i="1"/>
  <c r="H23" i="1"/>
  <c r="H22" i="1"/>
  <c r="H21" i="1"/>
  <c r="H20" i="1"/>
  <c r="H19" i="1"/>
  <c r="H18" i="1"/>
  <c r="H16" i="1"/>
  <c r="H15" i="1" s="1"/>
  <c r="H14" i="1"/>
  <c r="H13" i="1"/>
  <c r="H12" i="1"/>
  <c r="H11" i="1"/>
  <c r="H10" i="1"/>
  <c r="H8" i="1"/>
  <c r="H7" i="1" s="1"/>
  <c r="H116" i="1" l="1"/>
  <c r="H101" i="1"/>
  <c r="H97" i="1" s="1"/>
  <c r="H92" i="1"/>
  <c r="H124" i="1"/>
  <c r="H17" i="1"/>
  <c r="H132" i="1"/>
  <c r="H32" i="1"/>
  <c r="H28" i="1" s="1"/>
  <c r="H3" i="1" l="1"/>
  <c r="H112" i="1"/>
</calcChain>
</file>

<file path=xl/sharedStrings.xml><?xml version="1.0" encoding="utf-8"?>
<sst xmlns="http://schemas.openxmlformats.org/spreadsheetml/2006/main" count="516" uniqueCount="317">
  <si>
    <t>309</t>
  </si>
  <si>
    <t>Vanjska i unutarnja ALU bravarija</t>
  </si>
  <si>
    <t>309.000</t>
  </si>
  <si>
    <t>Prethodne napomene</t>
  </si>
  <si>
    <t>ZTV - Dodatni tehnički uvjeti ugovora</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</si>
  <si>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</si>
  <si>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Opseg usluga metalne konstrukcije</t>
  </si>
  <si>
    <t>U sljedećim pozicijama potrebno je uzeti u obzir i uračunati sljedeće usluge, čak i ako nisu izričito navedene:
- obojane limove i pravokutne dijelove za priključke, krajeve i prijelaze
- eventualna oštećenja na površini i / ili slojevima pravilno ukloniti
- potrebne podkonstrukcije i pojačanja
- Prihvate za fuge na građevinama i promjene dužina uslijed temperaturnih varijacija
- kontrolirano odvođenje kišnice i kišnice nošene vjetrom
- Zaštitu građevinskih priključaka protiv kišnice s vanjske strane, odnosno pare s unutarnje strane
- interno povezivanje kablovima na prozorima, koristiti profile za prekrivanje kabela
- alternativno za garniture / aluminijske elemente, eloksirani: Nehrđajući čelik, mat</t>
  </si>
  <si>
    <t>309.010</t>
  </si>
  <si>
    <t>PVC staklene stijene</t>
  </si>
  <si>
    <t>309.010.00100</t>
  </si>
  <si>
    <t/>
  </si>
  <si>
    <t>x..AF10..x - staklena stijena između boravka i vanjske terase</t>
  </si>
  <si>
    <t>POZ P09
Dobava i postava staklene stijene između boravka i vanjske terase prema trenutno važećim smjernicama KaBa. Stijena se sastoji od fiksnih dijelova rastera 1,25m i jednokrilnih zaokretnih vrata svijetle širine 1,12m.
Građ.dimenzija stijene: [ 2,45/2,70 ] m
Konstrukcija stijene: PVC profil ojačan sa čeličnom jezgrom sa višekomornim sustavom i dvije EPDM brtve. Boja RAL 7016 otporna na ultraljubičasto zračenje. U zoni postave zaštite od sunca izvesti prošireni nadvojni profil visine 200mm.
Dizajn profila: ravno položena krila
Ostakljenje: višeslojnog sigurnosnog 2 izolacijskog stakla koeficijent prolaza topline Uw najmanje 1,3 W/m²K, Ug min 1,3 W/m²K . Zahtijevani koeficijent prolaza topline Uw odnosi se na cijeli prozor i uzima u obzir koeficijent prolaza topline okvira (Uf), ostakljenja (ug) i profila za održavanje razmaka izolacijskog ostakljenja (y-vrijednost).
Zaokretna vrata:
• Antipanik brava na vratima, pripremljena za prolazni profilni cilindar
• Okovi: Eloksirani aluminij ili nehrđajući čelik mat brušen, iznutra kvaka, izvana fiksna ručka, npr. HEWI Serie 11, s dugačkim štitom
• Kontrola: Magnetni kontakt i kontakt na zasunu za kontrolu otvaranja i zatvaranja, VdS razred C, prekriveni
• Ostalo: električni otvarač vrata, otključavanje brave s kliznim vođenjem, 12V DC, radna struja
• Otvarač vrata s mehaničkim otključavanjem zasuna otvarača vrata, s opružnim jezičkom
• Gornji zatvarač vrata
Izvedba prema detaljima proizvođača uključivo sav rad i materijal kako bi se stavka izvela do gotove funkcionalnosti
Spojne reške: PUR-pjena;
Fabrikat: SALAMANDER, GEALAN ili drugi istovrijedni pvc profili</t>
  </si>
  <si>
    <t>kom</t>
  </si>
  <si>
    <t>309.020</t>
  </si>
  <si>
    <t>Aluminijska staklena vrata</t>
  </si>
  <si>
    <t>309.020.00100</t>
  </si>
  <si>
    <t>x..AT3..x - aluminijska evakuacijska dvokrilna vrata s nadsvjetlom  dimenzije 2,26 / 4,15 m</t>
  </si>
  <si>
    <t>POZ A05
Izrada, dobava i postava dvokrilnih staklenih vrata s nadsvjetlom od aluminijskih profila dubine do cca.75mm s prekinutim termičkim mostom s EPDM brtvenim profilima. Ostakljenje od višeslojnog sigurnosnog 2 izolacijskog stakla 2x6mm. Izvedba do gotove funkcionalnosti i prema važećim smjernicama KaBa HR.
Širina vrata: ca. 2,26 m
Visina vrata: ca. 4,15 m (vrata ca. 2,25 m, nadsvjetlo ca 1,9 m)
Izvedba: Zaokretna vrata, 2-krilna, sa smjerom otvaranja ulijevo ili udesno
Okvir: Aluminijski okvir, s premazom u prahu otpornim na ultraljubičasto zračenje, boja RAL 7016
Krilo vrata: okvir od aluminija ravan izvana, s premazom u prahu i staklenom ispunom, s donjim zatvaračem (falc) ca. 15 mm
Koeficijent toplinske provodljivosti: min. 1,3 W/m2K, a stakla min 1,1 W/m2K
Panti: od nehrđajućeg čelika, skriveni
Okov: ručka s vanjske strane, s unutarnje strane potisna poluga na pomičnoj i nepomičnoj strani, od aluminija, s eloksiranom površinom
Brava na pomičnoj strani vrata: Ugradbena brava sa zasunom, objektne kvalitete, pripremljena za profilni cilindar, s panik funkcijom prema EN 1125, sa samostalnim zaključavanjem.
Gornji zatvarač vrata, na obja krila, s usklađenim mehanizmom zatvarnaja.
Neaktivna brava krila: skrivena bravica u obliku kvake u kvaliteti svojstva, s funkcijom panike prema EN 1125
Kontrola: Magnetni kontakti za kontrolu otvorenosti (2 na pomičnoj strani, 1 na nepomičnoj strani), kontrola zatvorenosti integrirana u bravu, kontakt za zatvoreno stanje na pogonskom zasunu, VdS razred C, prekrivena ugradnja
Boje: sukladno Kauflandovoj paleti boja</t>
  </si>
  <si>
    <t>309.020.00105</t>
  </si>
  <si>
    <t>x..AT3..x - aluminijska evakuacijska dvokrilna vrata dimenzije 2,26 / 2,25 m</t>
  </si>
  <si>
    <t>POZ A06
Izrada, dobava i postava dvokrilnih staklenih vrata s nadsvjetlom od aluminijskih profila dubine do cca.75mm s prekinutim termičkim mostom s EPDM brtvenim profilima. Ostakljenje od višeslojnog sigurnosnog 2 izolacijskog stakla 2x6mm. Izvedba do gotove funkcionalnosti i prema važećim smjernicama KaBa HR.
Širina vrata: ca. 2,26 m
Visina vrata: ca. 4,15 m (vrata ca. 2,25 m)
Izvedba: Zaokretna vrata, 2-krilna, sa smjerom otvaranja ulijevo ili udesno
Okvir: Aluminijski okvir, s premazom u prahu otpornim na ultraljubičasto zračenje, boja RAL 7016
Krilo vrata: okvir od aluminija ravan izvana, s premazom u prahu i staklenom ispunom, s donjim zatvaračem (falc) ca. 15 mm
Koeficijent toplinske provodljivosti: min. 1,3 W/m2K, a stakla min 1,1 W/m2K
Panti: od nehrđajućeg čelika, skriveni
Okov: s vanjske strane glatko, bez rozeta, s unutarnje strane potisna poluga na pomičnoj i nepomičnoj strani, od aluminija, s eloksiranom površinom
Brava na pomičnoj strani vrata: Ugradbena brava sa zasunom, objektne kvalitete, pripremljena za profilni cilindar, s panik funkcijom prema EN 1125, sa samostalnim zaključavanjem.
Gornji zatvarač vrata, na obja krila, s usklađenim mehanizmom zatvarnaja.
Neaktivna brava krila: skrivena bravica u obliku kvake u kvaliteti svojstva, s funkcijom panike prema EN 1125
Kontrola: Magnetni kontakti za kontrolu otvorenosti (2 na pomičnoj strani, 1 na nepomičnoj strani), kontrola zatvorenosti integrirana u bravu, kontakt za zatvoreno stanje na pogonskom zasunu, VdS razred C, prekrivena ugradnja
Boje: sukladno Kauflandovoj paleti boja</t>
  </si>
  <si>
    <t>309.020.00110</t>
  </si>
  <si>
    <t>x..AT13..x - aluminijska 1-krilna staklena vrata dimenzije 1,16 / 2,16 m, izlaz u slučaju nužde EN 179</t>
  </si>
  <si>
    <t>POZ F01
Vrata od aluminija i stakla s gornjim prozorom, vanjska vrata kao sustav s cijevnim okvirom i staklenom ispunom, s termički odvojenim šupljim profilima, s dubinom okvira od ca. 75 mm, s ostakljenjem od višeslojne izolacijske površine od laminiranog stakla i EPDM brtvenim profilima, izraditi, isporučiti i montirati.
Širina vrata: ca. 1,16 m
Visina vrata: ca. 2,16 m
Izvedba: Zaokretna vrata, 1-krilna, sa smjerom otvaranja ulijevo ili udesno
Okvir: Aluminijski okvir, s praškastim premazom otpornim na ultraljubičasto zračenje
Krilo vrata: Cijevni okvir od aluminija, s praškastim premazom otpornim na ultraljubičasto zračenje i staklenom ispunom cijelom visinom vrata, s donjim zatvaračem (falc) ca. 15 mm
Koeficijent toplinske provodljivosti: min. 1,3 W/m2K, a stakla min 1,1 W/m2K
Panti: od nehrđajućeg čelika, skriveni
Okov: okov za vrata od plemenitog čelika, unutra kvaka, izvana kugla, izvana dodatno ručka od plemenitog čelika.
Brava: Ugradbena brava sa zasunom, objektne kvalitete, pripremljena za profilni cilindar, s panik funkcijom prema EN 179
Gornji zatvarač: s kliznom šinom s odbojnikom u klizaču, na strani na kojoj se ne nalaze šarke, zatvarač s mogućnosću fiksiranja vrata u otvorenom položaju
Kontrola: Magnetni kontakti za kontrolu otvorenosti (2 na pomičnoj strani), kontakt na zasunu za kontrolu zatvorenosti, VdS razred C, prekrivena ugradnja
Ostalo: blok brava i kodirana brava, električni otvarač vrata, otključavanje brave s kliznim vođenjem, 12V DC, radna struja
Boje: sukladno Kauflandovoj paleti boja</t>
  </si>
  <si>
    <t>309.020.00115</t>
  </si>
  <si>
    <t>x..IT220..x - protupožarna 1-krilna unutarnja aluminijska staklena vrata, dimenzije 1,17 / 2,16 m</t>
  </si>
  <si>
    <t>POZ F13
Dobava i postava požarnih jednokrilnih staklenih vrata od aluminijskih šupljih profila dubine od cca.65mm. Požarno ostakljenje vrata s laminiranim sigurnosnim staklom (VSG). Profili s falcom za staklo s jedne strane i obrubom za staklo na strani nasuprot pantima, staklo izolirano EPDM-brtvama.
Širina vrata: ca. 1,17 m
Visina vrata: ca. 2,16 m
Izvedba: Zaokretna vrata, 1-krilna, sa smjerom otvaranja ulijevo ili udesno
Okvir: Aluminijski okvir, s premazom u prahu
Krilo vrata: Cijevni okvir od aluminija, s premazom u prahu i staklenom ispunom
Panti: skriveni od nehrđajućeg čelika, dvodijelni, trodimenzionalno podesivi
Garnitura: Garnitura kvake i ručke s ovalnim okvirom za kvaku i bravu, od nehrđajućeg čelika, s mat površinom
Brava: Ugradbena brava sa zasunom, objektne kvalitete, pripremljena za profilni cilindar.
Gornji zatvarač: s kliznom šinom, s ograničenim otvaranjem, na strani na kojoj se nalaze šarke
Protupožarni zahtjev: sprječava širenje vatre, nepropusna i sa samostalnim zatvaranjem, EI2 30 Sa C5 prema DIN EN 13501
Boje: sukladno Kauflandovoj paleti boja</t>
  </si>
  <si>
    <t>309.020.00120</t>
  </si>
  <si>
    <t>x..IT220..x - protupožarna 1-krilna unutarnja aluminijska staklena vrata sa kontrolom pristupa, dimenzije 1,17 / 2,16 m</t>
  </si>
  <si>
    <t>POZ F04
Dobava i postava jednokrilnih staklenih vrata od aluminijskih šupljih profila dubine od cca.65mm. Ostakljenje vrata s laminiranim sigurnosnim staklom (VSG). Profili s falcom za staklo s jedne strane i obrubom za staklo na strani nasuprot pantima, staklo izolirano EPDM-brtvama.
Širina vrata: ca. 1,17 m
Visina vrata: ca. 2,16 m
Izvedba: Zaokretna vrata, 1-krilna, sa smjerom otvaranja ulijevo ili udesno
Okvir: Aluminijski okvir, s premazom u prahu
Krilo vrata: Cijevni okvir od aluminija, s premazom u prahu i staklenom ispunom
Panti: skriveni od nehrđajućeg čelika, dvodijelni, trodimenzionalno podesivi
Garnitura: Garnitura kvake i ručke s ovalnim okvirom za kvaku i bravu, od nehrđajućeg čelika, s mat površinom
Brava: Ugradbena brava sa zasunom, objektne kvalitete, pripremljena za profilni cilindar.
Gornji zatvarač: s kliznom šinom, s ograničenim otvaranjem, na strani na kojoj se nalaze šarke
Protupožarni zahtjev: sprječava širenje vatre, nepropusna i sa samostalnim zatvaranjem, EI2 30 Sa C5 prema DIN EN 13501
Kontrola: električni otvarač vrata, s otključavanjem brave s kliznim vođenjem, 12V DC, radnom strujom, integriranim kontaktom za povratni signal, za kontrolu pristupa.
Boje: sukladno Kauflandovoj paleti boja</t>
  </si>
  <si>
    <t>309.030</t>
  </si>
  <si>
    <t>Staklena fasada</t>
  </si>
  <si>
    <t>309.030.00100</t>
  </si>
  <si>
    <t>x..PRF2..x - staklena fasada sa zaštitom od sunca</t>
  </si>
  <si>
    <t>POZ A07
Izrada, dobava i ugradnja ostakljene aluminijske fasadne konstrukcije. Fasadu izraditi od sistema samonosivih plastificiranih aluminijskih horizontalnih i vertikalnih pravokutnih šupljih profila s prekidom toplinskog mosta širine cca.60mm i dubine prema statičkom proračunu. Sve brtve na fasadi od EPDM-a prema DIN 7863. U cijeni stavke uključiti komplet sav potreban rad i materijal prema opisu u troškovniku, kao i sve dodatne radove i materijale potrebne da se izradi kompletna fasada kao oblikovna i funkcionalna cjelina. Svi spojni limovi, opšavi, tolinske izolacije, hidroizolacije i parne brane koje se prema pravilima struke ugrađuju, sastavni su dio ove stavke.
Konstrukcija:
- razmak osi stupova: prema planu fasade
- razmak osi horizontala: prema planu fasade
- osiguranje stakla protiv odvrtanja: npr. kombinacija Secu-Fast vijaka s vijcima s unutarnjim mnogokutom
- pokrovni profili s nevidljivim pričvršćivanjem (stegnuti)
- tip profila: kao Schuco FW 50+ ili jednakovrijedno
- premaz: praškastim premaz otporan na ultraljubičasto zračenje boja RAL7016 ili sukladno Kauflandovoj boji paleta
Ostakljenje:
- Proračun debljine, izradu, obradu i ugradnju stakla izvršiti u skladu s Tehničkim propisom za staklene konstrukcije (NN 153/13, 53/17). Debljine stakla prema potrebi provjeriti od strane ovlaštenog statičara. Kao osiguranje od pucanja kod laminiranog stakla obavezno pobrusiti rubove
- visina ostakljenja: prema planu fasade
- dvoslojno VSG izolacijsko staklo s Low E premaz + ispuna toplinski inertnim plinom argonom (6+16+6) s EPDM brtvenim profilima, odnosno prema statičkom proračunu
Koeficijent toplinske provodljivosti (Uw): min. 1,3 W/m2K i odnosi se na cijeli fasadni sustav, dok za ostekljenje vrijedi 1,1 W/m2K
Zaštita od sunca (prema smjernicama iz opisa gradnje KaBa HR):
Vrsta izvedbe 1 - prozirno staklo sa zaštitom od sunca
Prioritet 1
Staklo sa zaštitom od sunca ima prioritet u odnosu na prozirno staklo s roletama.
Preduvjet: Bez zasljepljivanja radnih mjesta zbog sunčevog zračenja!
Aspekti: Smanjenje investicije, montaže i instalacije. Izbjegavanje troškova za čišćenje, održavanje, popravak roleta. Vidljivost je uvijek dana
Karakteristike stakla i kriteriji za prozirno staklo sa zaštitom od sunca
Početak: prozirno staklo sa zaštitom od sunca
Ukupna propusnost energije (g-vrijednost / SHGC - koeficijent solarnog toplinskog prirasta): otpr. 30 - 20 %
Što je niža vrijednost SHGC, manje topline zračenja (sunca) dolazi izvana prema unutra
Propust svjetlosti (TL): približno 62 - 45 %
što je manja propusnost svjetla (TL), manje svjetla dolazi izvana
Staklo sa zaštitom od sunca s nižom propusnošću svjetlosti (TL: pribl. 50-45 %) prikladnije je za fasade s duljim/intenzivnijim sunčevim zračenjem, npr. orijentacije zapad/sjeverozapad.
Moraju se uzeti u obzir mogući efekti refleksije od susjednih zgrada.
Stakla na vrijeme ispitati.</t>
  </si>
  <si>
    <t>m2</t>
  </si>
  <si>
    <t>309.040</t>
  </si>
  <si>
    <t>Vjetrobran</t>
  </si>
  <si>
    <t>309.040.00100</t>
  </si>
  <si>
    <t>x..AT1..x - vanjska automatska klizna vrata dim. [250/230] m</t>
  </si>
  <si>
    <t>POZ A01
Dobava i ugradnja vanjskih evakucijskih automatskih kliznih vrata u pripremljeni otvor u vanjskoj fasadnoj staklenoj stijeni. Automatska vrata treba konstruirati tako, da ne može doći do gnječenja i uklještenja. Mjesta na kojima može doći do uklještenja trebaju se osigurati mekanim gumenim brtvenim profilima. Na elemente okvira paralelno s unutarnje i vanjske strane treba postaviti staklo. Razmak između sporednih rubova zatvaranja i bočnih površina mora uvijek biti veći od 200 mm.
Izvedba: evakuacijska klizna vrata s 2 krila
Krila vrata: Okvir od aluminija, s praškastim premazom otpornim na ultraljubičasto zračenje i ostakljenje s dvoslojnim VSG izolacijskim staklom s Low E premaz + ispuna toplinski inertnim plinom argonom (6+16+6) s EPDM brtvenim profilima. Klizna vrata u fino uokvirenoj izvedbi, dubina profila cca. 30 - 40 mm,ovisno o proizvođaču.
Pogon: Pogon kliznih vrata s modularnim sastavom i tihom kliznom šinom, brzina otvaranja i zatvaranja 0,5-0,7 m/s po krilima, 80 % širine otvara se unutar 3 sekunde u slučaju nužde
Upravljanje: Mikroprocesorska upravljačka jedinica, s vremenom otvorenosti od 0 do 180 sekundi i sljedećim radnim programima: Isključeno, Automatski, Otvoreno, Izlaz, podesivo pomoću programske sklopke
Sigurnosna oprema: Sigurnosna oprema odabire se prema državnim propisima i direktivama, ali minimalno je potrebna: Samostalna regulacija i nadzor kretnje krila, okretanje smjera u slučaju nailaženja na prepreku, samostalna provjera sigurnosnih uređaja, sklopka za isključivanje u slučaju nužde.
Aktivacija: obostrani kombinirani detektor s radarskim senzorom (za detekciju pokreta) i infracrveni senzor (za nadzor prisutnosti), sklopka s ključem s unutarnje strane
Zaključavanje: Elektromehaničko standardno zaključavanje s ručnim otključavanjem s unutarnje strane, mehaničko zaključavanje putem brave s kukastim zasunom s unutarnje strane
Kontrola: Stanja vrata putem bespotencijalnog kontakta na protuprovalnoj centrali
Zaštita od sunca (ostakljenje) potrebno izvesti identično kao za stavku u koju se ugrađuje kako bi se postigao uejdnačen izgled i svojstvo fasade.</t>
  </si>
  <si>
    <t>309.040.00105</t>
  </si>
  <si>
    <t>x..AT1..x - unutarnja staklena stijena za ugradnju kliznih vrata dim. [ 6,5 / 3,8 ] m</t>
  </si>
  <si>
    <t>POZ A02
Izrada, dobava i ugradnja unutarnje staklene stijene sa nadsvjetlom za ugradnju automatskih kliznih vrata. Fasadu izraditi od sistema samonosivih plastificiranih aluminijskih horizontalnih i vertikalnih pravokutnih šupljih profila s prekidom toplinskog mosta širine cca.60mm i dubine prema statičkom proračunu. Sve brtve na fasadi od EPDM-a prema DIN 7863. U cijeni stavke uključiti komplet sav potreban rad i materijal prema opisu u troškovniku, kao i sve dodatne radove i materijale potrebne da se izradi kompletna fasada kao oblikovna i funkcionalna cjelina.
Konstrukcija:
- razmak osi stupova: prema planu fasade
- visina podjele stijene po horizontali: 2300 mm
- osiguranje stakla protiv odvrtanja: npr. kombinacija Secu-Fast vijaka s vijcima s unutarnjim mnogokutom
- pokrovni profili s nevidljivim pričvršćivanjem (stegnuti)
- tip profila: kao Schuco FW 50+ ili jednakovrijedno
- premaz: praškastim premaz otporan na ultraljubičasto zračenje boja RAL7016 ili sukladno Kauflandovoj boji paleta
- proširenje zadnjeg lijevog ili desnog profila za ugradnju pogonske i upravljačke jedinice
Ostakljenje:
- Proračun debljine, izradu, obradu i ugradnju stakla izvršiti u skladu s Tehničkim propisom za staklene konstrukcije (NN 153/13, 53/17). Debljine stakla prema potrebi provjeriti od strane ovlaštenog statičara. Kao osiguranje od pucanja kod laminiranog stakla obavezno pobrusiti rubove
- visina ostakljenja: prema planu fasade
- jednoslojno VSG izolacijsko staklo 8mm s EPDM brtvenim profilima, odnosno prema statičkom proračunu</t>
  </si>
  <si>
    <t>309.040.00110</t>
  </si>
  <si>
    <t>x..AT1..x - satenske trake na kliznim krilima</t>
  </si>
  <si>
    <t>Dobava i postava lijepljenjem na klizna krila automatskih vrata satinirane trake širine 20cm. Postava na visini od 1,5-1,7m mjereno od gotovog poda.
Referentni proizvod: Oracal 8510-90, fino srebro, ili istovjetno</t>
  </si>
  <si>
    <t>m</t>
  </si>
  <si>
    <t>309.040.00115</t>
  </si>
  <si>
    <t>x..RS28..x - Zaštita od nehrđajućeg čelika</t>
  </si>
  <si>
    <t>Zaštitu rubova, od nehrđajućeg čelika V4A, s brušenom (240 granulacija) i četkanom površinom, debljine materijala od min. 2 mm, u više dijelova s kutovima različitih dimenzija, pojedinačne dužine 2,3 m, za vanjsku zaštitu dviju vertikalnih unutarnjih površina u otvoru za automatska vrata, izraditi, isporučiti, zalijepiti i po potrebi dodatno mehnički pričvrstiti.
Jedinična cijena po automatskim vratima.</t>
  </si>
  <si>
    <t>309.040.00120</t>
  </si>
  <si>
    <t>x..BS4..x - Podni prag kao razdvojni profil od nehrđajučeg ćelika</t>
  </si>
  <si>
    <t>Podni prag kao razdvojni profil, od nehrđajućeg čelika V4A, debljine materijala od minimalno 3 mm, sa širinom prilagođenom stupovima i automatskim vratima, u U obliku, s blago zaobljenim rubovima, u različitim pojedinačnim dužinama, isporučiti, postaviti u jednoj liniji i na ispravnoj visini ispod automatskih vrata i pričvrstiti.</t>
  </si>
  <si>
    <t>309.040.00125</t>
  </si>
  <si>
    <t>309.040.00130</t>
  </si>
  <si>
    <t>309.050</t>
  </si>
  <si>
    <t>Sustavi izloga</t>
  </si>
  <si>
    <t>309.060</t>
  </si>
  <si>
    <t>Staklene pregrade</t>
  </si>
  <si>
    <t>309.070</t>
  </si>
  <si>
    <t>Ostali</t>
  </si>
  <si>
    <t>310</t>
  </si>
  <si>
    <t>Plastični prozori</t>
  </si>
  <si>
    <t>310.000</t>
  </si>
  <si>
    <t>Ostale usluge plastičnih prozora</t>
  </si>
  <si>
    <t>U sljedećim pozicijama potrebno je uzeti u obzir i uračunati sljedeće usluge, čak i ako nisu izričito navedene:
- obojane limove i pravokutne dijelove za priključke, krajeve i prijelaze
- eventualna oštećenja na površini i / ili slojevima pravilno ukloniti
- potrebne podkonstrukcije i pojačanja
- Prihvate za fuge na građevinama i promjene dužina uslijed temperaturnih varijacija
- kontrolirano odvođenje kišnice i kišnice nošene vjetrom
- Zaštitu građevinskih priključaka protiv kišnice s vanjske strane, odnosno pare s unutarnje strane
- interno povezivanje kablovima na prozorima, koristiti profile za prekrivanje kabela
- Pričvršćivanje klupice za prozor s odgovarajućim kutovima, sa zaštitnom folijom za zvučnu izolaciju, brtvom od elastomernog profila te bočnom i donjom trajno elastičnom brtvom na bazi thiokola</t>
  </si>
  <si>
    <t>310.010</t>
  </si>
  <si>
    <t>PVC prozori</t>
  </si>
  <si>
    <t>310.010.00100</t>
  </si>
  <si>
    <t>x..AF1..x - PVC otklopni prozor dim [1,26 / 1,4] m</t>
  </si>
  <si>
    <t>POZ P05
Dobava, izvedba i ugradnja vanjskog 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 s otklopnim krilom
Širina prozora: 1,26 m
Visina prozora: 1,4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</si>
  <si>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310.010.00105</t>
  </si>
  <si>
    <t>x..AF1..x - PVC zaokterno otklopni prozor dim [1,26 / 1,7] m</t>
  </si>
  <si>
    <t>POZ P10
Dobava, izvedba i ugradnja vanjskog zaokretno-otklopnog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 s zaokretno-otklopnim krilom
Širina prozora: 1,26 m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</si>
  <si>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310.010.00110</t>
  </si>
  <si>
    <t>x..AF1..x - PVC dvodijelni zaokretno otklopni prozor visine 1,7 m</t>
  </si>
  <si>
    <t>POZ P07
Dobava, izvedba i ugradnja vanjskog dvodijelnog zaokretno-otklopnog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</si>
  <si>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310.010.00115</t>
  </si>
  <si>
    <t>POZ P15
Dobava, izvedba i ugradnja vanjskog dvodijelnog zaokretno-otklopnog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</si>
  <si>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310.010.00120</t>
  </si>
  <si>
    <t>POZ P16
Dobava, izvedba i ugradnja vanjskog dvodijelnog zaokretno-otklopnog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dvodijelni uglovni prozor sa fiksnim ostakljenjem i prozorom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</si>
  <si>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310.010.00125</t>
  </si>
  <si>
    <t>x..AF1..x - PVC  višedijelni zaokretno otklopni prozor visine 1,7 m</t>
  </si>
  <si>
    <t>POZ P08
Dobava, izvedba i ugradnja vanjskog dvodijelnog ili višedijelnog zaokretno-otklopnog PVC prozora s višekomornim profilnim sustavom i dvije brtve dubine od cca.70mm. Prošireni nadvojni profil, visina 200 mm. Okvir pripravljen za spajanje s prozorskom klupicom. Dvoslojno izolacijsko float staklo. U cijeni stavke uključiti komplet sav potreban rad i materijal prema opisu u troškovniku, kao i sve dodatne radove i materijale potrebne da se izradi kompletni prozor kao oblikovna i funkcionalna cjelina.
Izvedba: prozorska traka s prozorima sa zaokretnim/otklopnim krilima rastera 1,26 m, uklj. spojne i panel površine
Visina prozora: 1,7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Ručka prozora, od aluminija, s eloksiranom površinom. Panti skriveni.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</si>
  <si>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310.010.00130</t>
  </si>
  <si>
    <t>x..AF3..x - PVC otklopni prozor dim [1,01 / 0,6] m</t>
  </si>
  <si>
    <t>POZ P03, POZ P04, POZ P06, POZ P11, POZ P12
Dobava, izvedba i ugradnja vanjskog otklopnog PVC prozora s višekomornim profilnim sustavom i dvije brtve dubine od cca.70mm. Prošireni nadvojni profil, visina 200 mm.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 s otklopnim krilom
Širina prozora: 1,01 m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</si>
  <si>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310.010.00135</t>
  </si>
  <si>
    <t>x..AF3..x -  PVC dvodijelni otklopni prozor visine 0,6 m</t>
  </si>
  <si>
    <t>POZ P02
Dobava, izvedba i ugradnja vanjskog dvodijelnog otklopnog PVC prozora s višekomornim profilnim sustavom i dvije brtve dubine od cca.70mm. Prošireni nadvojni profil, visina 200 mm.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</si>
  <si>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310.010.00140</t>
  </si>
  <si>
    <t>POZ P13
Dobava, izvedba i ugradnja vanjskog dvodijelnog otklopnog PVC prozora s višekomornim profilnim sustavom i dvije brtve dubine od cca.70mm. Prošireni nadvojni profil, visina 200 mm.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</si>
  <si>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310.010.00145</t>
  </si>
  <si>
    <t>x..AF3..x -  PVC višedijelni  otklopni prozor visine 0,6 m</t>
  </si>
  <si>
    <t>POZ P14
Dobava, izvedba i ugradnja vanjskog dvodijelnog ili višedijelnog otklopnog PVC prozora s višekomornim profilnim sustavom i dvije brtve dubine od cca.70mm. Prošireni nadvojni profil, visina 200 mm.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 otklopnim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</si>
  <si>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310.010.00150</t>
  </si>
  <si>
    <t>POZ F02
Dobava, izvedba i ugradnja vanjskog dvodijelnog ili višedijelnog otklopnog PVC prozora s višekomornim profilnim sustavom i dvije brtve dubine od cca.70mm. Prošireni nadvojni profil, visina 200 mm. Okvir pripravljen za spajanje s prozorskom klupicom. Dvoslojno izolacijsko neprozirno satinirano float staklo. U cijeni stavke uključiti komplet sav potreban rad i materijal prema opisu u troškovniku, kao i sve dodatne radove i materijale potrebne da se izradi kompletni prozor kao oblikovna i funkcionalna cjelina.
Izvedba: prozorska traka, s prozorima sa zaokretnim krilima rastera 1,01 m, uklj. spojne i panel površine
Visina prozora: 0,6 m
Koeficijent toplinske provodljivosti: min. 1,3 W/m2K. Zahtijevani koeficijent prolaza topline Uw odnosi se na cijeli prozor i uzima u obzir koeficijent prolaza topline okvira (Uf), ostakljenja (Ug min. 1,1 W/m2K) i profila za održavanje razmaka izolacijskog ostakljenja (y-vrijednost).)
Kontrola: Kontakt na zasunu za kombiniranu kontrolu otvaranja i zatvaranja, VdS razred C, skrivena ugradnja
Okovi: Poluga za otvaranje/zatvaranje prozora, s eloksiranom površinom, sa zaključavanjem, osigurana protiv pogrešne upotrebe.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
Prozorska krila trebaju biti spojena na sigurnosni sustav koji u slučaju požara otvara sva tri otvora - tri motora za tri krila u potpuno otvorenom položaju 90° (otvor služi za osiguranje uvjeta provjetravanja stubišta u slučaju požara, i kao takav treba ispuniti sve projektom predviđene zahtjeve).</t>
  </si>
  <si>
    <t>310.010.00155</t>
  </si>
  <si>
    <t>x..AF5..x - PVC protuprovalni prozor dim [1,26 / 1,1] m</t>
  </si>
  <si>
    <t>POZ P01
Dobava, izvedba i ugradnja vanjskog PVC prozora s višekomornim profilnim sustavom i dvije brtve dubine od cca.70mm. Prošireni nadvojni profil, visina 200 mm. Okvir pripravljen za spajanje s prozorskom klupicom. Fiksno protuprovalno ostakljenje. U cijeni stavke uključiti komplet sav potreban rad i materijal prema opisu u troškovniku, kao i sve dodatne radove i materijale potrebne da se izradi kompletni prozor kao oblikovna i funkcionalna cjelina.
Izvedba: fiksni prozor
Širina prozora: 1,26 m + 1,26 m
Visina prozora: 1,1 m
Koeficijent toplinske provodljivosti: min. 1,3 W/m2K. Zahtijevani koeficijent prolaza topline Uw odnosi se na cijeli prozor i uzima u obzir koeficijent prolaza topline okvira (Uf), ostakljenja (Ug min. 1,1 W/m2K) i profila za održavanje razmaka izolacijskog ostakljenja (y-vrijednost).) Uključena folija za zaštitiu od pogleda.
Kontrola: Kontakt na zasunu za kombiniranu kontrolu otvaranja i zatvaranja, detektor loma stakla, VdS razred C, skrivena ugradnja
Zahtjev: Protuprovalna zaštita, sigurnosno ostakljenje klase BR2 prema EN 1063
Vanjska klupica za prozor: od ekstrudiranog aluminijskog profila, debljina 2 mm, boja RAL 7016 - anthrazitgrau, praškasti premaz. 50 mm izbočena iz fasade, bočno izvučena za spoj sa zidom, sidrenje s podesivim kutnikom za učvršćivanje uglavljenim odozdo, antivibracijska traka.
Boje: sukladno Kauflandovoj paleti boja</t>
  </si>
  <si>
    <t>310.020</t>
  </si>
  <si>
    <t>Vrata</t>
  </si>
  <si>
    <t>310.030</t>
  </si>
  <si>
    <t>311</t>
  </si>
  <si>
    <t>Zaštita od sunca</t>
  </si>
  <si>
    <t>311.000</t>
  </si>
  <si>
    <t>Ograničenje usluge zaštite od sunca</t>
  </si>
  <si>
    <t>U sljedećim pozicijama potrebno je uzeti u obzir i uračunati sljedeće usluge, čak i ako nisu izričito navedene:
- Pričvršćivanje na svim vrstama podloga kao što su profilni sustavi od plastike, aluminija, itd.
- eventualna oštećenja na površini i / ili slojevima pravilno ukloniti
- Kabele za priključak pogona zaštite protiv sunjca dovesti u unutrašnjost zgrade i opremiti utikačem, proboje zabrtviti
- Upravljačku jedinicu spaja električar na gradilištu</t>
  </si>
  <si>
    <t>311.010</t>
  </si>
  <si>
    <t>Vanjska zaštita od sunca</t>
  </si>
  <si>
    <t>311.010.00100</t>
  </si>
  <si>
    <t>x..SJ6..x - Vanjske žaluzine, za pojedinačne prozore, veličine 1,26 / 1,4 m</t>
  </si>
  <si>
    <t>POZ P05
Zaštitu od sunca kao vanjske lamelne žaluzine, za jednostruke prozore, uklj. dodatnu zaštitu od vjetra sukladno sustavu proizvođača. izraditi, isporučiti i montirati.
Izvedba: Jednostruka zavjesa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Širina prozorskog elementa: 1,26 m
Visina prozorskog elementa: 1,4 m
Boje: sukladno Kauflandovoj paleti boja</t>
  </si>
  <si>
    <t>311.010.00105</t>
  </si>
  <si>
    <t>x..SJ6..x - Vanjske žaluzine, za pojedinačne prozore, veličine 1,26 / 1,7 m</t>
  </si>
  <si>
    <t>POZ P10
Zaštitu od sunca kao vanjske lamelne žaluzine, za jednostruke prozore, uklj. dodatnu zaštitu od vjetra sukladno sustavu proizvođača. izraditi, isporučiti i montirati.
Izvedba: Jednostruka zavjesa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Širina prozorskog elementa: 1,26 m
Visina prozorskog elementa: 1,7 m
Boje: sukladno Kauflandovoj paleti boja</t>
  </si>
  <si>
    <t>311.010.00110</t>
  </si>
  <si>
    <t>x..SJ6..x - Vanjske žaluzine, za prozorske vrpce, visine 1,7 m (SAMO KUTIJA)</t>
  </si>
  <si>
    <t>POZ P07
Zaštitu od sunca kao vanjske lamelne žaluzine, za prozorske trake, u različitim pojedinačnim dimenzijama, uklj. dodatnu zaštitu od vjetra sukladno sustavu proizvođača. izraditi, isporučiti i montirati.
Isporuka kao prethodna stavka, ali samo kutije za žaluzine radi ujednačenog izgleda fasade.
Visina prozorskih traka: 1,7 m
Boje: sukladno Kauflandovoj paleti boja</t>
  </si>
  <si>
    <t>311.010.00115</t>
  </si>
  <si>
    <t>x..SJ6..x - Vanjske žaluzine, za prozorske vrpce, visine 1,7 m</t>
  </si>
  <si>
    <t>POZ P08, POZ P15, POZ P16
Zaštitu od sunca kao vanjske lamelne žaluzine, za prozorske trake, u različitim pojedinačnim dimenzijama, uklj. dodatnu zaštitu od vjetra sukladno sustavu proizvođača. izraditi, isporučiti i montirati.
Izvedba: Jednostruka zavjesa s maksimalnom širinom od 2,52 m, raster 1,26 m, uklj. spojna polja, maksimalno 2 mehanički spojene zavjese
Aluminijske lamele: sa savijenim rubovima, 80 mm, blago zakrivljene, s premazom u prahu
Donja šina: od aluminija, s premazom u prahu
Bočna vodilica: Aluminijske vodilice, s premazom u prahu
Traka i ljestvasti svitak: od vrlo čvrstog poliestra
Rukovanje: ručno, pomoću poluge i ručice s unutarnje strane.
Visina prozorskih traka: 1,7 m
Boje: sukladno Kauflandovoj paleti boja</t>
  </si>
  <si>
    <t>311.010.00120</t>
  </si>
  <si>
    <t>- maska lamela zaštite od sunca</t>
  </si>
  <si>
    <t>Dobava, izrada i postava gornja kutne maskice za prihvat paleta lamela, od obrubljenog aluminijskog lima, minimalne debljine lima 1,5 mm, obloženo prahom u nijansi RAL 7016 - anthrazitgrau otporni na ultraljubičasto zračenje.</t>
  </si>
  <si>
    <t>311.020</t>
  </si>
  <si>
    <t>Unutarnja zaštita od sunca</t>
  </si>
  <si>
    <t>311.030</t>
  </si>
  <si>
    <t>312</t>
  </si>
  <si>
    <t>Čelična vrata</t>
  </si>
  <si>
    <t>312.000</t>
  </si>
  <si>
    <t>Opseg usluga čelična vrata</t>
  </si>
  <si>
    <t>U sljedećim pozicijama potrebno je uzeti u obzir i uračunati sljedeće usluge, čak i ako nisu izričito navedene:
- Ugradnju u sve vrste zidove od betona, zidanih elemenata, gips kartona, čelične konstrukcije, itd.
- Ispune okvira kod ugradnje u masivne zidove, ispuna u kvaliteti vidljivih površina
- eventualna oštećenja na površini i / ili slojevima pravilno ukloniti
- Debljinu vrata od 1,5 mm, debljinu okvira od 2,0 mm
- Okviri s konusnim rubom, prekriveno pričvršćene
- Aktivaciju pogonskog zasuna, na visini od 1,60 m iznad poda
- Vanjska vrata s limom za zatvaranje u teškoj izvedbi
- kao alternativu obuhvatnom okviru: Kutni okvir s protuokvirom
- Boju plastičnih garnitura prema Kauflandovoj paleti boja
- Primopredaju okvira za ugradnju od strane odjeljka za suhogradnju</t>
  </si>
  <si>
    <t>312.010</t>
  </si>
  <si>
    <t>unutarnja vrata</t>
  </si>
  <si>
    <t>312.010.00100</t>
  </si>
  <si>
    <t>x..IT1..x - čelična 1-krilna vrata sa zaštitom od udara, dimenzije 1,26 / 2,28 m</t>
  </si>
  <si>
    <t>POZ F06
Vrata od čeličnog lima koja se sastoje od krila vrata i okvira, kao unutarnja vrata, uklj. sve brtve, okove, opreme, dodatke, itd., izraditi, isporučiti i montirati.
Referentna mjera za ugradnju: 1,26 / 2,28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Kvaka, od plastike s čeličnom jezgrom
Brava: Ugradbena brava sa zasunom, objektne kvalitete, pripremljena za profilni cilindar
Gornji zatvarač: s kliznom šinom, s integriranim sustavom za automatsko zatvaranje u slučaju nužde
Protupožarni zahtjev: sprječava širenje vatre, nepropusna i sa samostalnim zatvaranjem, EI2 90 Sa C5 prema DIN EN 13501
Naprava za zadržavanje u otvorenom položaju, ali spojena na sustav vatrodojave, te po primljenom signalu, vrata se otpuštaju potiskom gornjeg zatvarača (princip elektromagneta).
Ostalo: obostrane gumene čepaste obloge, debljine ca. 3 mm, na visini do 1,1 m visine kao zaštita od udaraca
Boje: sukladno Kauflandovoj paleti boja</t>
  </si>
  <si>
    <t>312.010.00105</t>
  </si>
  <si>
    <t>x..IT2..x - čelična 1-krilna vrata sa prozorom, dimenzije 1,17 / 2,16 m</t>
  </si>
  <si>
    <t>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s debelim stepenastim rubom, prozorom od laminiranog stakla 60/40 cm, s donjim rubom prozora na 1,40 m iznad poda
Šarke: konstrukcijske šarke s kuglastim ležajevima
Garnitura: Kvaka, od plastike s čeličnom jezgrom
Brava: Ugradbena brava sa zasunom, objektne kvalitete, pripremljena za profilni cilindar
Gornji zatvarač: s kliznom šinom, s integriranim sustavom za automatsko zatvaranje u slučaju nužde
Boje: sukladno Kauflandovoj paleti boja</t>
  </si>
  <si>
    <t>312.010.00110</t>
  </si>
  <si>
    <t>x..IT4..x - čelična 1-krilna vrata sa prozorom, dimenzije 1,17 / 2,16 m</t>
  </si>
  <si>
    <t>POZ B31
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vrata:Spojna konstrukcija od čeličnog lima i izolacijske ploče, pocinčana i grundirana, debljina krila min. 50 mm, debeli stepenasti rub
Šarke: konstrukcijske šarke s kuglastim ležajevima
Garnitura: Kvaka izvana, ručka iznutra, od plastike s čeličnom jezgrom
Brava: Ugradbena brava sa zasunom, objektne kvalitete, pripremljena za profilni cilindar
Gornji zatvarač: s kliznom šinom, s integriranim sustavom za automatsko zatvaranje u slučaju nužde
Primopredajni poklopac s kvakom i bravom s padajućim jezičkom u krilu vrata, kut otvaranja poklopca 90°- svijetla dimenzija otvora (širina/visina) 200/150 mm. Zaštitni lim kod ručke za otvaranje od plemenitog čelika obrađen brušenjem, najmanje 3 mm debljine, čvrsto povezan s primopredajnim poklopcem, širina zaštitnog lima 380 mm.
Sigurnosna brava u 4 točke, izvedba: sigurnosna garnitura, brava pripremljena za puni profilni cilindar. Okov Langschild zamjenska garnitura, protuprovalni ES3, s kuglastom kvakom izvana, ravna kvaka iznutra. Alternativno garnitura s ravnom kvakom od laganog metala.
Gornji zatvarač vrata. Električni otvarač vrata, upravlja se s radnog mjesta prostorija s trezorom/obračun blagajne. Priključak na alarmni sustav, opremanje kontaktom za zatvaranje i magnetskim kontaktom, proširenim cilindrom za ključ i praznom cijevi za kabel koja je visoko provedena iznutra. Špijunka sa širokim kutom gledanja 1,50m iznad gotovog poda.
Boje: sukladno Kauflandovoj paleti boja</t>
  </si>
  <si>
    <t>312.010.00115</t>
  </si>
  <si>
    <t>x..IT5.1..x - čelična 1-krilna vrata sa prozorom, dimenzije 1,06 / 2,16 m</t>
  </si>
  <si>
    <t>POZ B23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s debelim stepenastim rubom, prozorom od laminiranog stakla 60/40 cm, s donjim rubom prozora na 1,40 m iznad poda
Šarke: konstrukcijske šarke s kuglastim ležajevima
Garnitura: Kvaka, od plastike s čeličnom jezgrom
Brava: Ugradbena brava sa zasunom, objektne kvalitete, pripremljena za profilni cilindar.
Gornji zatvarač: s kliznom šinom
Ostalo: Podni držač za vrata
Boje: sukladno Kauflandovoj paleti boja</t>
  </si>
  <si>
    <t>x..IT6..x - čelična 1-krilna vrata zvučno izolirana dimenzije 1,06 / 2,16 m</t>
  </si>
  <si>
    <t>POZ B14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Zahtjevi zvučne izolacije: Rw,p &gt;= 37 dB
Šarke: konstrukcijske šarke s kuglastim ležajevima
Garnitura: Kvaka i okretna ručka, od plastike s čeličnom jezgrom
Brava: Ugradbena brava sa zasunom, objektne kvalitete, pripremljena za profilni polucilindar, s panik funkcijom prema EN 179
Gornji zatvarač: s kliznom šinom
Boje: sukladno Kauflandovoj paleti boja</t>
  </si>
  <si>
    <t>312.010.00125</t>
  </si>
  <si>
    <t>x..IT7..x - čelična 1-krilna vrata za ulaz osoblja sa zaštitom od udara dimenzije 1,17 / 2,16 m</t>
  </si>
  <si>
    <t>POZ B30
Vrata od čeličnog lima koja se sastoje od krila vrata i okvira, kao unutarnja vrata, uklj. sve brtve, okove, opreme, dodatke, itd., izraditi, isporučiti i montirati.
Referentna mjera za ugradnju: 1,17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Kvaka i ručka, od plastike s čeličnom jezgrom
Brava: Ugradbena brava sa zasunom, objektne kvalitete, pripremljena za profilni cilindar, s panik funkcijom prema EN 179
Gornji zatvarač: s kliznom šinom
Ostalo: električni otvarač vrata, otključavanje brave s kliznim vođenjem, 12V DC, radna struja, lim od nehrđajućeg čelika, debljine 2 mm, visine 200 mm, s brušenom (granulacija 240) i četkanom površinom, s jedne strane u području podnožja kao nagazni lim
Boje: sukladno Kauflandovoj paleti boja</t>
  </si>
  <si>
    <t>312.010.00130</t>
  </si>
  <si>
    <t>x... IT7.1 - čelična 1-krilna vrata dimenzije 0,86 / 2,16 m</t>
  </si>
  <si>
    <t>POZ B22
Vrata od čeličnog lima koja se sastoje od krila vrata i okvira, kao unutarnja vrata, uklj. sve brtve, okove, opreme, dodatke, itd., izraditi, isporučiti i montirati.
Referentna mjera za ugradnju: 0,86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Šarke: konstrukcijske šarke s kuglastim ležajevima
Garnitura: Garnitura za zahod s kvakama od plastike s čeličnom jezgrom, U-oblik s okruglim okvirima za kvake, okviri za zahod s prikazom „Slobodno/zauzeto“
Brava: Ugradbena brava sa zasunom, objektne kvalitete, pripremljena za okove vrata za zahod
Gornji zatvarač: s kliznom šinom
Boje: sukladno Kauflandovoj paleti boja</t>
  </si>
  <si>
    <t>312.010.00135</t>
  </si>
  <si>
    <t>x..IT8..x - čelična 1-krilna vrata za wc osoba smanjene pokretljivosti dimenzije 1,17 / 2,16 m</t>
  </si>
  <si>
    <t>POZ B13
Vrata od čeličnog lima koja se sastoje od krila vrata i okvira, kao unutarnja vrata, uklj. sve brtve, okove, opreme, dodatke, itd., izraditi, isporučiti i montirati.
Referentna mjera za ugradnju: 1,17/2,16 m
Izvedba: Zaokretna vrata, 1-krilna, sa smjerom otvaranja ulijevo ili udesno
Okvir: Obuhvatni okvir od nehrđajućeg čelika, s brušenom (granulacija 240) i četkanom površinom, sa širinom profila do 20 cm
Krilo vrata: Spojna konstrukcija od čeličnog lima i saćastog umetka, pocinčana i s premazom u prahu, debljina vrata min. 40 mm, debeli stepenasti rub, s nakošenim donjim rubom
Šarke: trodijelne, od nehrđajućeg čelika
Garnitura: ručke s obje strane, okrugle, promjera ca. 30-36 mm, dužine najmanje 300-500mm od nehrđajućeg čelika, s brušenom (granulacija 240) i četkanom površinom, s okretnim zasunom s unutarnje i prikazom „Slobodno/zauzeto“ s vanjske strane, s okruglim okvirima, s četvrtastim klinom za otvaranje u nuždi, od nehrđajućeg čelika. Dodatna poprečna šipka ručke na visini 80 do 85 cm, na unutarnjoj strani vrata, za pomoć invalidnim osobama.
Brava: Ugradbena brava sa zasunom, objektne kvalitete, pripremljena za okove vrata za zahod, s valjkastim zasunom, dodatno vijčana brava, pripremljena za profilne polucilindre, donji rub brave ca. 1,30 m iznad gotovog poda
Marka brave: Dorma 484.
Ostalo: Lim od nehrđajućeg čelika, debljine 2 mm, visine 150 mm, s brušenom (granulacija 240) i četkanom površinom, s obje strane u području podnožja kao nagazni lim, debljine 2 mm, visine 300 mm, s brušenom (granulacija 240) i četkanom površinom, sa zaobljenim kutovima, s obje strane s gornjim rubom na 1,11 m iznad gotovog poda kao zaštitni lim
Boje: sukladno Kauflandovoj paleti boja</t>
  </si>
  <si>
    <t>312.010.00140</t>
  </si>
  <si>
    <t>x..IT10..x - čelična 1-krilna vrata  dimenzije 0.96 / 2,16 m</t>
  </si>
  <si>
    <t>POZ B15
Vrata od čeličnog lima koja se sastoje od krila vrata i okvira, kao unutarnja vrata, uklj. sve brtve, okove, opreme, dodatke, itd., izraditi, isporučiti i montirati.
Referentna mjera za ugradnju: 0.96 / 2,16 m
Izvedba: Zaokretna vrata, 1-krilna, sa smjerom otvaranja ulijevo ili udesno
Okvir: Kutni okvir od čeličnog lima, pocinčan i grundiran
Krilo vrata: Spojna konstrukcija od čeličnog lima i izolacijske ploče, pocinčana i grundirana, debljina krila min. 50 mm, debeli stepenasti rub
Šarke: konstrukcijske šarke s kuglastim ležajevima
Garnitura: Kvaka, od plastike s čeličnom jezgrom
Vrata s uređajem za dnevni alarm i sklopkom s ključem
Brava: Ugradbena brava sa zasunom, objektne kvalitete, pripremljena za profilni cilindar, s panik funkcijom prema EN 179.
Ostalo: Podni držač za vrata te ojačanja unutar vrata za ugradnju zaštite od udara
Boje: sukladno Kauflandovoj paleti boja</t>
  </si>
  <si>
    <t>312.010.00145</t>
  </si>
  <si>
    <t>x..IT12..x - požarna čelična 1-krilna vrata dimenzije 1,06 / 2,16</t>
  </si>
  <si>
    <t>POZ B12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30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t>
  </si>
  <si>
    <t>312.010.00150</t>
  </si>
  <si>
    <t>POZ F12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90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t>
  </si>
  <si>
    <t>312.010.00155</t>
  </si>
  <si>
    <t>POZ B21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30 Sa C5 prema DIN EN 13501
Šarke: konstrukcijske šarke s kuglastim ležajevima
Garnitura: Garnitura s kvakom ili s kvakom i ručkom, od plastike s čeličnom jezgrom
Brava: Ugradbena brava sa zasunom, objektne kvalitete, pripremljena za profilni cilindar, s panik funkcijom prema EN 179.
Gornji zatvarač: s kliznom šinom.
Boje: sukladno Kauflandovoj paleti boja</t>
  </si>
  <si>
    <t>312.010.00160</t>
  </si>
  <si>
    <t>x..IT12.4..x - protuprovalna i požarna čelična 1-krilna vrata dimenzije 1,06 / 2,16 m</t>
  </si>
  <si>
    <t>POZ F03
Vrata od čeličnog lima koja se sastoje od krila vrata i okvira, kao unutarnja vrata, uklj. sve brtve, okove, opreme, dodatke, itd., izraditi, isporučiti i montirati.
Referentna mjera za ugradnju: 1,06 / 2,16 m
Izvedba: Zaokretna vrata, 1-krilna, sa smjerom otvaranja ulijevo ili udesno
Okvir: Obuhvatni okvir od čeličnog lima, pocinčano i grundirano, sa širinom profila do 20 cm
Krilo vrata: Spojna konstrukcija od čeličnog lima i izolacijske ploče, pocinčana i grundirana, debljina krila min. 50 mm, debeli stepenasti rub
Protupožarni zahtjev: sprječava širenje vatre, nepropusna i sa samostalnim zatvaranjem, EI2 90 Sa C5 prema DIN EN 13501
Proutuprovalna zaštita: Razred otpornosti RC2 prema DIN EN 1627
Šarke: konstrukcijske šarke s kuglastim ležajevima
Garnitura: Garnitura s kvakom i ručkom, s kratkim okvirom i zaštitom kod povlačenja, od aluminija, s eloksiranom površinom
Brava: Ugradbena brava sa zasunom, objektne kvalitete, pripremljena za profilni cilindar, s panik funkcijom prema EN 179
Gornji zatvarač: s kliznom šinom
Boje: sukladno Kauflandovoj paleti boja</t>
  </si>
  <si>
    <t>312.010.00165</t>
  </si>
  <si>
    <t>x..IT15..x - čelična dvokrilna vrata dimenzije u otvorenom položaju 2,17 / 2,53 m</t>
  </si>
  <si>
    <t>POZ B16
Vrata od čeličnog lima koja se sastoje od krila vrata i okvira, kao unutarnja vrata, uklj. sve brtve, okove, opreme, dodatke, itd., izraditi, isporučiti i montirati.
Referentna mjera za ugradnju: 2,17 / 2,53 m
Izvedba: Zaokretna vrata, 2-krilna, sa smjerom otvaranja ulijevo ili udesno
Okvir: Obuhvatni okvir od čeličnog lima, pocinčano i grundirano, sa širinom profila do 20 cm
Krilo vrata: Spojna konstrukcija od čeličnog lima i izolacijske ploče, pocinčana i grundirana, debljina krila min. 50 mm, 3 zaštitna klina
Protupožarni zahtjev: sprječava širenje vatre, nepropusna i sa samostalnim zatvaranjem, EI2 30 Sa C5 prema DIN EN 13501.
Šarke: konstrukcijske šarke s kuglastim ležajevima
Garnitura: Garnitura s kvakom, s ručkom za aktivaciju pogonskog zasuna, od plastike s čeličnom jezgrom
Brava na pomičnoj strani vrata: Ugradbena brava sa zasunom, objektne kvalitete, pripremljena za profilni cilindar
Brava na nepomičnoj strani vrata: skrivena bravica zasuna i objektne kvalitete
Kontrola: Magnetni kontakti za kontrolu otvorenosti (2 na pomičnoj strani, 1 na nepomičnoj strani), kontrola zatvorenosti integrirana u bravu, kontakt za zatvoreno stanje na pogonskom zasunu, VdS razred C, prekrivena ugradnja
Gornji zatvarač: s kliznom šinom i regulacijom redoslijeda zatvaranja
Ostalo: Zadržavanje u otvorenom položaju pomoću magneta, vatrodojavna centrala, detektori dima s obje strane, tipka za zatvaranje vrata
Boje: sukladno Kauflandovoj paleti boja</t>
  </si>
  <si>
    <t>312.010.00170</t>
  </si>
  <si>
    <t>x..IT15..x - požarna čelična dvokrilna vrata dimenzije u otvorenom položaju 2,17 / 2,53 m</t>
  </si>
  <si>
    <t>POZ F05, POZ F07, POZ F11
Vrata od čeličnog lima koja se sastoje od krila vrata i okvira, kao unutarnja vrata, uklj. sve brtve, okove, opreme, dodatke, itd., izraditi, isporučiti i montirati.
Referentna mjera za ugradnju: 2,17 / 2,53 m
Izvedba: Zaokretna vrata, 2-krilna, sa smjerom otvaranja ulijevo ili udesno
Okvir: Obuhvatni okvir od čeličnog lima, pocinčano i grundirano, sa širinom profila do 20 cm
Krilo vrata: Spojna konstrukcija od čeličnog lima i izolacijske ploče, pocinčana i grundirana, debljina krila min. 50 mm, 3 zaštitna klina
Protupožarni zahtjev: sprječava širenje vatre, nepropusna i sa samostalnim zatvaranjem, EI2 90 Sa C5 prema DIN EN 13501
Šarke: konstrukcijske šarke s kuglastim ležajevima
Garnitura: Garnitura s kvakom, s ručkom za aktivaciju pogonskog zasuna, od plastike s čeličnom jezgrom
Brava na pomičnoj strani vrata: Ugradbena brava sa zasunom, objektne kvalitete, pripremljena za profilni cilindar, s panik funkcijom prema EN 179
Brava na nepomičnoj strani vrata: skrivena bravica zasuna i objektne kvalitete
Kontrola: Magnetni kontakti za kontrolu otvorenosti (2 na pomičnoj strani, 1 na nepomičnoj strani), kontrola zatvorenosti integrirana u bravu, kontakt za zatvoreno stanje na pogonskom zasunu, VdS razred C, prekrivena ugradnja
Gornji zatvarač: s kliznom šinom i regulacijom redoslijeda zatvaranja
Ostalo: Zadržavanje u otvorenom položaju pomoću magneta, vatrodojavna centrala, detektori dima s obje strane, tipka za zatvaranje vrata
Boje: sukladno Kauflandovoj paleti boja</t>
  </si>
  <si>
    <t>312.020</t>
  </si>
  <si>
    <t>Vanjska vrata</t>
  </si>
  <si>
    <t>312.020.00100</t>
  </si>
  <si>
    <t>x..AT4..x čelična dvokrilna vrata dimenzije 2,17 / 2,16 m, izlaz u nuždi EN 1125</t>
  </si>
  <si>
    <t>POZ B10, POZ B11
Vrata od čeličnog lima koja se sastoje od krila vrata i okvira, kao vanjska vrata, uklj. sve brtve, okove, opreme, dodatke, itd., izraditi, isporučiti i montirati.
Referentna mjera za ugradnju: 2,17 / 2,16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glatko bez rozeta s vanjske strane, s unutarnje strane šipka na pomičnoj i nepomičnoj strani, od plastike s čeličnom jezgrom
Brava na pomičnoj strani vrata: Ugradbena brava sa zasunom, objektne kvalitete, pripremljena za profilni cilindar, s panik funkcijom prema EN 1125, sa samostalnim zaključavanjem
Brava na nepomičnoj strani vrata: skrivena bravica zasuna i objektne kvalitete, s panik funkcijom prema EN 1125
Kontrola: Magnetni kontakti za kontrolu otvorenosti (2 na pomičnoj strani, 1 na nepomičnoj strani), kontrola zatvorenosti integrirana u bravu, kontakt za zatvoreno stanje na pogonskom zasunu, VdS razred C, prekrivena ugradnja
Ostalo: Profil za zaštitu do kiše
Boje: sukladno Kauflandovoj paleti boja</t>
  </si>
  <si>
    <t>312.020.00105</t>
  </si>
  <si>
    <t>x..AT8..x - čelična vrata dvokrilna dimenzije 2,18/ 2,16 m, NEA</t>
  </si>
  <si>
    <t>POZ B01
Vrata od čeličnog lima koja se sastoje od krila vrata i okvira, kao vanjska vrata, uklj. sve brtve, okove, opreme, dodatke, itd., izraditi, isporučiti i montirati.
Referentna mjera za ugradnju: 2,18 / 2,16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Garnitura s kvakom i ručkom, s ručkom za aktivaciju pogonskog zasuna, od plastike s čeličnom jezgrom
Brava na pomičnoj strani vrata: Ugradbena brava sa zasunom, objektne kvalitete, pripremljena za profilni cilindar, s panik funkcijom prema EN 179, sa samostalnim zaključavanjem
Brava na nepomičnoj strani vrata: skrivena bravica zasuna i objektne kvalitete, s panik funkcijom prema EN 179
Kontrola: Magnetni kontakti za kontrolu otvorenosti (2 na pomičnoj strani, 1 na nepomičnoj strani), kontrola zatvorenosti integrirana u bravu, kontakt za zatvoreno stanje na pogonskom zasunu, VdS razred C, prekrivena ugradnja
Ostalo: Profil za zaštitu do kiše, podni držač za vrata, kukica
Boje: sukladno Kauflandovoj paleti boja</t>
  </si>
  <si>
    <t>312.020.00110</t>
  </si>
  <si>
    <t>x..AT9.1..x -  čelična vrata dvokrilna dimenzije 1,57 / 2,53 m, KKV</t>
  </si>
  <si>
    <t>POZ B05
Vrata od čeličnog lima koja se sastoje od krila vrata i okvira, kao vanjska vrata, uklj. sve brtve, okove, opreme, dodatke, itd., izraditi, isporučiti i montirati.
Referentna mjera za ugradnju: 1,57 / 2,53 m
Izvedba: Zaokretna vrata, 2-krilna,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Garnitura s kvakom i ručkom, s ručkom za aktivaciju pogonskog zasuna, od plastike s čeličnom jezgrom
Brava na pomičnoj strani vrata: Ugradbena brava sa zasunom, objektne kvalitete, pripremljena za profilni cilindar, s panik funkcijom prema EN 179, sa samostalnim zaključavanjem
Brava na nepomičnoj strani vrata: skrivena bravica zasuna i objektne kvalitete, s panik funkcijom prema EN 179
Kontrola: Magnetni kontakti za kontrolu otvorenosti (2 na pomičnoj strani, 1 na nepomičnoj strani), kontrola zatvorenosti integrirana u bravu, kontakt za zatvoreno stanje na pogonskom zasunu, VdS razred C, prekrivena ugradnja
Gornji zatvarač: s kliznom šinom, na strani na kojoj se ne nalaze šarke, regulacija redoslijeda zatvaranja
Ostalo: Profil za zaštitu do kiše, podni držač za vrata, kukica
Marka brave: Dorma SVP5000.
Boje: sukladno Kauflandovoj paleti boja</t>
  </si>
  <si>
    <t>312.020.00115</t>
  </si>
  <si>
    <t>x..AT10..x - čelična 1-krilna vrata dimenzije 1,27 / 2,16 m</t>
  </si>
  <si>
    <t>POZ B04
Vrata od čeličnog lima koja se sastoje od krila vrata i okvira, kao vanjska vrata, uklj. sve brtve, okove, opreme, dodatke, itd., izraditi, isporučiti i montirati.
Referentna mjera za ugradnju: 1,27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Kvaka i ručka, od plastike s čeličnom jezgrom
Brava: Ugradbena brava sa zasunom, objektne kvalitete, pripremljena za profilni cilindar, s panik funkcijom prema EN 179, sa samostalnim zaključavanjem
Kontrola: Magnetni kontakti za kontrolu otvorenosti (2 na pomičnoj strani), kontakt na zasunu za kontrolu zatvorenosti, VdS razred C, prekrivena ugradnja
Ostalo: Profil za zaštitu do kiše, podni držač za vrata, kukica
Podni fiksator. Marka brave: Dorma SVP5000.
Boje: sukladno Kauflandovoj paleti boja</t>
  </si>
  <si>
    <t>312.020.00120</t>
  </si>
  <si>
    <t>x..AT10..x - čelična 1-krilna vrata dimenzije 1,07 /  2,16 m</t>
  </si>
  <si>
    <t>POZ B02, POZ B03
Vrata od čeličnog lima koja se sastoje od krila vrata i okvira, kao vanjska vrata, uklj. sve brtve, okove, opreme, dodatke, itd., izraditi, isporučiti i montirati.
Referentna mjera za ugradnju: 1,07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Koeficijent toplinske provodljivosti: min. 1,7 W/m2K
Šarke: konstrukcijske šarke s kuglastim ležajevima
Garnitura: Kvaka i ručka, od plastike s čeličnom jezgrom
Brava: Ugradbena brava sa zasunom, objektne kvalitete, pripremljena za profilni cilindar, s panik funkcijom prema EN 179, sa samostalnim zaključavanjem, Podna blokada.
Kontrola: Magnetni kontakti za kontrolu otvorenosti (2 na pomičnoj strani), kontakt na zasunu za kontrolu zatvorenosti, VdS razred C, prekrivena ugradnja
Marka brave: Dorma SVP5000.
Ostalo: Profil za zaštitu do kiše, podni držač za vrata, kukica
Priključak na alarmni uređaj, oprema sa zasunskim i magnetnim kontaktom, unutarnja prazna cijev za kabel. Na strani panta 3 trna, prilikom skidanja panta vrata se ne smiju ovjesiti.
Boje: sukladno Kauflandovoj paleti boja</t>
  </si>
  <si>
    <t>312.020.00125</t>
  </si>
  <si>
    <t>x..AT17..x - čelična 1-krilna vrata dimenzije 1,18 / 2,16 m, izlaz u nuždi EN 179</t>
  </si>
  <si>
    <t>POZ B06
Vrata od čeličnog lima koja se sastoje od krila vrata i okvira, kao vanjska vrata, uklj. sve brtve, okove, opreme, dodatke, itd., izraditi, isporučiti i montirati.
Referentna mjera za ugradnju: 1,18 / 2,16 m
Izvedba: Zaokretna vrata, 1-krilna, sa smjerom otvaranja ulijevo ili udesno
Okvir: Obuhvatni okvir od čeličnog lima, pocinčano i grundirano, sa širinom profila do 30 cm
Krilo vrata: Spojna konstrukcija od čeličnog lima i izolacijske ploče, pocinčana i grundirana, debljina krila min. 50 mm, s donjim rubom na ca. 15 mm, 3 zaštitna klina, s debelim stepenastim rubom
Koeficijent toplinske provodljivosti: min. 1,7 W/m2K
Šarke: konstrukcijske šarke s kuglastim ležajevima
Garnitura: Garnitura s kvakom i ručkom, od aluminija, eloksirana površina
Brava: Ugradbena brava sa zasunom, objektne kvalitete, pripremljena za profilni polucilindar, s panik funkcijom prema EN 179, sa samostalnim zaključavanjem
Kontrola: Magnetni kontakti za kontrolu otvorenosti (2 na pomičnoj strani), kontakt na zasunu za kontrolu zatvorenosti, VdS razred C, prekrivena ugradnja
Gornji zatvarač: s kliznom šinom, na strani na kojoj se ne nalaze šarke
Ostalo: Profil za zaštitu od kiše, podni držač za vrata
Boje: sukladno Kauflandovoj paleti boja
Marka brave: Dorma SVP5000.</t>
  </si>
  <si>
    <t>312.020.00130</t>
  </si>
  <si>
    <t>x..AT28..x - Vanjska 1-krilna vrata, dimenzije 1,37/ 1,16 m</t>
  </si>
  <si>
    <t>POZ B09
Višenamjenka vrata od čeličnog lima koja se sastoje od krila vrata i steznog okvira za PU sendvič panele, kao vanjska vrata, uklj. sve brtve, okove, opreme, dodatke, itd., izraditi, isporučiti i montirati.
Referentna mjera za ugradnju: 1,37/1,16 m
Izvedba: Zaokretna vrata, 1-krilna, sa smjerom otvaranja ulijevo ili udesno prema unutra
Krilo vrata: Spojna konstrukcija od čeličnog lima i izolacijske ploče, pocinčana i grundirana, debljina krila min. 50 mm
Koeficijent toplinske provodljivosti: min. 1,8 W/m2K
Šarke: konstrukcijske šarke s kuglastim ležajevima
Garnitura: ručka od aluminija, eloksirana površina, s vanjske strana glatka
Brava: pripremljena za polucilindar
Protuprovala: Povezivanje s alarmnim sustavom putem pričvršćenih magnetskih kontakata i prekidača s ključem za dnevni alarm.
Ostalo: Održavanje vrata otvorenima pomoću kuke za pričvršćivanje ili preklopne poluge, za zidnu montažu, npr. tip KWS 1011 ili KWS 1073, kako bi se izbjeglo oštećenje ručke vrata, po mogućnosti s odstojnim nosačem.
Kanal za smeće: pričvršćen izvana na fasadu, od vruće pocinčanog lima, min. 2 mm debljine, s bočnim podignutim rubovima visine otprilike 30 cm, s nosačem za učvršćenje/ podupiranje na fasadi. Širina u skladu s ugradnim otvorom cca. 1200 mm, dubina i kosina prikladne za vanjski kontejner za smeće.
Boje: sukladno Kauflandovoj paleti boja</t>
  </si>
  <si>
    <t>312.030</t>
  </si>
  <si>
    <t>Revizijska vratašca</t>
  </si>
  <si>
    <t>312.030.00100</t>
  </si>
  <si>
    <t>-  protupožarna revizijska čelična 1-krilna vrata dimenzije 1,00/1,00 m</t>
  </si>
  <si>
    <t>Dobava i postava tipskih protupožarnih čeličnih revizijskih vratašca u gk zidove dimenzija prema projektu. Ugradnja prema uputama proizvođača.
Svijetle dimenzije: [ 1,00/1,00 ] m
Protupožarni zahtjev: EI2 90 Sa C5 prema DIN EN 13501
Boje: sukladno Kauflandovoj paleti boja</t>
  </si>
  <si>
    <t>312.040</t>
  </si>
  <si>
    <t>Ostalo</t>
  </si>
  <si>
    <t>312.040.00100</t>
  </si>
  <si>
    <t>- zidni odbojnik za vrata</t>
  </si>
  <si>
    <t>Zidni zaustavljač vrata od mekane plastike, okrugli, promjera ca. 40 mm, s držačem od nehrđajućeg čelika, uklj. sredstva za pričvršćivanje, isporučiti i montirati.</t>
  </si>
  <si>
    <t>312.040.00105</t>
  </si>
  <si>
    <t>- podni odbojnik za vrata</t>
  </si>
  <si>
    <t>Podni zaustavljač vrata od mekane plastike, okrugli, promjera ca. 40 mm, s držačem od nehrđajućeg čelika, uklj. sredstva za pričvršćivanje, isporučiti i montirati.</t>
  </si>
  <si>
    <t>312.050</t>
  </si>
  <si>
    <t>Prijem / puštanje u rad</t>
  </si>
  <si>
    <t>312.050.00100</t>
  </si>
  <si>
    <t>- puštanje u rad i upute</t>
  </si>
  <si>
    <t>Puštanje u rad i obučavanje djelatnika poslovnice za vrata kao što su protupožarna vrata, vrata pod dnevnim alarmom i automatska vrata.</t>
  </si>
  <si>
    <t>paušal</t>
  </si>
  <si>
    <t>312.050.00105</t>
  </si>
  <si>
    <t>- početno ispitivanje od strane stučnih osoba</t>
  </si>
  <si>
    <t>Inicijalno ispitivanje prema EN 12635 gore navedenih ručno upravljanim vratima i vratima s automatskim zatvaranjem u slučaju nužde od strane ovlaštene i priznate stručne osobe prema važećim propisima o ispitivanju u pojedinoj državi, uklj. izradu knjige o ispitivanju, potrebne naknadne provjere, ponovo vraćanje u rad.</t>
  </si>
  <si>
    <t>312.060</t>
  </si>
  <si>
    <t>održavanje</t>
  </si>
  <si>
    <t>312.060.00100</t>
  </si>
  <si>
    <t>- godišnje održavanje</t>
  </si>
  <si>
    <t>Godišnje održavanje gore navedenih Sustava vrata, prema smjernicama zakonodavca i proizvođača sustava, s ugovorom o održavanju na 5 godina, s mogućnošću otkazivanja svake godine.</t>
  </si>
  <si>
    <t>313</t>
  </si>
  <si>
    <t>Drvena vrata</t>
  </si>
  <si>
    <t>313.000</t>
  </si>
  <si>
    <t>Ograničenje usluga za drvena vrata</t>
  </si>
  <si>
    <t>U sljedećim pozicijama potrebno je uzeti u obzir i uračunati sljedeće usluge, čak i ako nisu izričito navedene:
- Ugradnju u sve vrste zidove od betona, zidanih elemenata, gips kartona, čelične konstrukcije, itd.
- Ispune okvira kod ugradnje u masivne zidove, ispuna u kvaliteti vidljivih površina
- Boju plastičnih garnitura prema Kauflandovoj paleti boja
- Primopredaju okvira za ugradnju od strane odjeljka za suhogradnju</t>
  </si>
  <si>
    <t>313.010</t>
  </si>
  <si>
    <t>313.010.00100</t>
  </si>
  <si>
    <t>x..IT26..x - PVC 1-krilna vrata dimenzije [ 0,86 / 2,16 ] m</t>
  </si>
  <si>
    <t>POZ P19, POZ P20
Izrada i postava unutarnjih jednokrilnih vrata PVC izvedbe bez praga. Okvir vrata od pvc profila sa pocinčanim metalnim ojačanjem od čelika
Referentna mjera za ugradnju: [ 0,86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t>
  </si>
  <si>
    <t>313.010.00105</t>
  </si>
  <si>
    <t>x..IT26..x - PVC 1-krilna vrata dimenzije [ 0,96 / 2,16 ] m</t>
  </si>
  <si>
    <t>POZ P21, POZ P22, POZ P23, POZ P24
Izrada i postava unutarnjih jednokrilnih vrata PVC izvedbe bez praga. Okvir vrata od pvc profila sa pocinčanim metalnim ojačanjem od čelika
Referentna mjera za ugradnju: [ 0,96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t>
  </si>
  <si>
    <t>313.010.00110</t>
  </si>
  <si>
    <t>x..IT26..x - PVC 1-krilna vrata dimenzije [ 1,06 / 2,16 ] m</t>
  </si>
  <si>
    <t>POZ P25
Izrada i postava unutarnjih jednokrilnih vrata PVC izvedbe bez praga. Okvir vrata od pvc profila sa pocinčanim metalnim ojačanjem od čelika
Referentna mjera za ugradnju: [ 1,06 / 2,16 ] m
Izvedba: Zaokretna vrata, 1-krilna, sa smjerom otvaranja ulijevo ili udesno
Okvir: pvc profila sa pocinčanim metalnim ojačanjem od čelika
Krilo vrata: izvedeno od pvc sendvić panela debljine 40mm.
Izvedba rubova: savijeni
Šarke: od nehrđajućeg čelika
Garnitura: Kvaka od plastike s čeličnom jezgrom, U-oblik s okruglim okvirima kvake i brave
Brava: Ugradbena brava sa zasunom, objektne kvalitete, pripremljena za profilni cilindar
Boje: sukladno Kauflandovoj paleti boja</t>
  </si>
  <si>
    <t>313.010.00115</t>
  </si>
  <si>
    <t>x..IT27..x - drvena 1-krilna vrata dimenzije - ured voditelja [ 1,06 / 2,16 ] m, 47 dB</t>
  </si>
  <si>
    <t>POZ D01
Vrata koja se sastoje do drvenog krila i čeličnog okvira, uklj. sve okove, sitne dijelove, sredstva za pričvršćivanje i ispunu, isporučiti, ugraditi, odnosno montirati i podesiti.
Referentna mjera za ugradnju: 1,06 / 2,16 m
Izvedba: Zaokretna vrata, 1-krilna, sa smjerom otvaranja ulijevo ili udesno
Zahtjevi zvučne izolacije: Rw,p &gt;= 47 dB
Protuprovalna izvedba (RC2)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Kvaka od plastike s čeličnom jezgrom, U-oblik s okruglim okvirima kvake i brave
Brava: Ugradbena brava sa zasunom, objektne kvalitete, pripremljena za profilni cilindar
Boje: sukladno Kauflandovoj paleti boja</t>
  </si>
  <si>
    <t>313.010.00120</t>
  </si>
  <si>
    <t>x..IT27..x - drvena 1-krilna vrata dimenzije [ 1,06 / 2,16 ] m, 37 dB</t>
  </si>
  <si>
    <t>POZ D02, POZ D03
Vrata koja se sastoje do drvenog krila i čeličnog okvira, uklj. sve okove, sitne dijelove, sredstva za pričvršćivanje i ispunu, isporučiti, ugraditi, odnosno montirati i podesiti.
Referentna mjera za ugradnju: 1,06 / 2,16 m
Izvedba: Zaokretna vrata, 1-krilna, sa smjerom otvaranja ulijevo ili udesno
Zahtjevi zvučne izolacije: Rw,p &gt;= 37 dB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Kvaka od plastike s čeličnom jezgrom, U-oblik s okruglim okvirima kvake i brave
Brava: Ugradbena brava sa zasunom, objektne kvalitete, pripremljena za profilni cilindar
Boje: sukladno Kauflandovoj paleti boja</t>
  </si>
  <si>
    <t>313.010.00125</t>
  </si>
  <si>
    <t>x..IT27..x - drvena 1-krilna vrata za garderobe dimenzije [ 1,06 / 2,16 ] m, 37 dB</t>
  </si>
  <si>
    <t>POZ D04, POZ D05
Vrata koja se sastoje do drvenog krila i čeličnog okvira, uklj. sve okove, sitne dijelove, sredstva za pričvršćivanje i ispunu, isporučiti, ugraditi, odnosno montirati i podesiti.
Referentna mjera za ugradnju: 1,06 / 2,16 m
Izvedba: Okretna vrata, 1-krilna, sa smjerom otvaranja ulijevo ili udesno
Zahtjevi zvučne izolacije: Rw,p &gt;= 37 dB
Okvir: Obuhvatni okvir od čeličnog lima, pocinčan i grundiran
Zid: Zid od gips kartona, debljina zida 12,5 cm
Krilo vrata: okvir od masivnog drveta ispune od cjevaste iverice
Površina: HPL ploča
Izvedba rubova: savijeni, s drvenom prevlakom, plastični rub
Šarke: od nehrđajućeg čelika
Garnitura: Ručka od plastike, s okruglim okvirima brave
Brava: Ugradbena brava sa zasunom, objektne kvalitete, pripremljena za profilni cilindar, bez izbočenja s valjkastim zasunom
Marka brave: Dorma 484
Gornji zatvarač: s kliznom šinom, na strani na kojoj se ne nalaze šarke
Ostalo: Lim od nehrđajućeg čelika, debljine 2 mm, visine 200 mm, s brušenom (granulacija 240) i četkanom površinom, s jedne strane na donjoj strani krila kao nagazni lim
Boje: sukladno Kauflandovoj paleti boja</t>
  </si>
  <si>
    <t>313.010.00130</t>
  </si>
  <si>
    <t>x..IT28..x - drvena 1-krilna vrata dimenzije 0,96 / 2,16 m</t>
  </si>
  <si>
    <t>POZ D06, POZ D07, POZ D08
Vrata koja se sastoje od drvenog krila i čeličnog okvira, uklj. sve okove, sitne dijelove, sredstva za pričvršćivanje i ispunu, isporučiti, ugraditi, odnosno montirati i podesiti.
Referentna mjera za ugradnju: 0,96 / 2,16 m
Izvedba: Zaokretna vrata, 1-krilna, sa smjerom otvaranja ulijevo ili udesno
Zahtjev: prikladna za vlažna područja
Okvir: Obuhvatni okvir od čeličnog lima, pocinčan i grundiran
Zid: Zid od gips kartona, debljina zida 12,5 cm
Krilo vrata: okvir od masivnog drveta, puna ispuna od iverice
Površina: HPL ploča
Izvedba rubova: savijeni, s plastičnom prevlakom
Šarke: od nehrđajućeg čelika
Garnitura: Ručka od plastike, s okruglim okvirima brave
Gornji zatvarač: s kliznom šinom, na strani na kojoj se ne nalaze šarke
Brava: Ugradbena brava sa zasunom, objektne kvalitete, pripremljena za profilni cilindar, bez izbočenja s valjkastim zasunom
Ostalo: Lim od nehrđajućeg čelika, debljine 2 mm, visine 200 mm, s brušenom (granulacija 240) površinom, s obje strane na donjoj strani krila kao nagaznim limom
Boje: sukladno Kauflandovoj paleti boja</t>
  </si>
  <si>
    <t>313.020</t>
  </si>
  <si>
    <t>313.020.00100</t>
  </si>
  <si>
    <t>- odbojnik zidnih vrata</t>
  </si>
  <si>
    <t>313.020.00105</t>
  </si>
  <si>
    <t>- odbojnik podnih vrata</t>
  </si>
  <si>
    <t>314</t>
  </si>
  <si>
    <t>314.000</t>
  </si>
  <si>
    <t>Opseg ciljeva izvedbe</t>
  </si>
  <si>
    <t>U sljedećim pozicijama potrebno je uzeti u obzir i uračunati sljedeće usluge, čak i ako nisu izričito navedene:
-</t>
  </si>
  <si>
    <t>314.010</t>
  </si>
  <si>
    <t>Brzopodizna vrata</t>
  </si>
  <si>
    <t>314.010.00100</t>
  </si>
  <si>
    <t>x..IT29..x - unutarnja brzopodizna vrata dimenzije 1,5 / 2,5 m</t>
  </si>
  <si>
    <t>POZ B27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1,5 m
Svijetla visina prolaza: 2,5 m
Referentni proizvodi: sukladno Kauflandovom opisu gradnje</t>
  </si>
  <si>
    <t>314.010.00105</t>
  </si>
  <si>
    <t>x..IT29..x - unutarnja brzopodizna vrata dimenzija 2,17 / 2,50 m</t>
  </si>
  <si>
    <t>POZ B28, POZ B29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2,17 m
Svijetla visina prolaza: 2,50 m
Referentni proizvodi: sukladno Kauflandovom opisu gradnje</t>
  </si>
  <si>
    <t>314.010.00110</t>
  </si>
  <si>
    <t>x..IT29..x - unutarnja brzopodizna vrata dimenzija 2,01 / 2,50 m</t>
  </si>
  <si>
    <t>POZ B17
Brza vrata za unutarnji prostor s električnim pogonom, na sljedeći način izraditi, isporučiti, montirati i spojiti:
Krilo: Plastično krilo, boja prema Kauflandovoj paleti boja, zatvoreno bez prozora, donji dio sa zaštitom protiv miševa
Obloge: Bočni elementi i oklop vratila od pocinčanog čeličnog lima, lako uklonjivi
Boje: Vodilice, okvir, limene obloge i oklop za pogonsku jedinicu u RAL boji prema Kauflandovoj paleti boja
Pogon: Upravljačka jedinica s frekvencijskim pretvaračem, za nježno ubrzavanje i usporavanje u krajnjim položajima, ručica za upravljanje bez ljestvi, ručno otključavanje i upravljanje u slučaju nužde bez skidanja obloga
Sigurnosne funkcije: Zaštita od sudara odnosno zaštitna mehanika s automatskim vraćanjem u vodilice, električnom kontaktnom letvom, sigurnosnom svjetlosnom barijerom
Brzine: Brzina otvaranja min. 2,0 m/s, brzina zatvaranja min. 0,5 m/s, programabilno vrijeme otvorenosti (kod prvog puštanja u rad min. 12 s)
Izjednačavanje tereta pomoću protuutega u bočnim dijelovima
Svijetla širina prolaza: 2,01 m
Svijetla visina prolaza: 2,50 m
Referentni proizvodi: sukladno Kauflandovom opisu gradnje</t>
  </si>
  <si>
    <t>314.010.00115</t>
  </si>
  <si>
    <t>-Dodatna oprema za brzopodizna vrata, svjetlosna barijera</t>
  </si>
  <si>
    <t>Dodatna opema za gore Navedena brzopodizna vrata: aktivacijua putem svjetlosne barijere, montaža na pod.</t>
  </si>
  <si>
    <t>314.010.00120</t>
  </si>
  <si>
    <t>- Dodatna oprema brzopodizna vrata, radarski detektori pokreta</t>
  </si>
  <si>
    <t>Dodatna oprema za gore Navedena brzopodizna vrata: aktivacija putem radarskog detektora pokreta, vertikalna/zidna montaža.</t>
  </si>
  <si>
    <t>314.010.00125</t>
  </si>
  <si>
    <t>- Dodatna oprema za brzopodizna vrata, tipke</t>
  </si>
  <si>
    <t>Dodatna oprema za gore Navedena brzopodizna vrata: aktivacija putem tipke, zidna montaža, ca. 1,2 m iznad poda.</t>
  </si>
  <si>
    <t>314.010.00130</t>
  </si>
  <si>
    <t>- Dodatak za brzopodizna vrata, tiskanje motiva</t>
  </si>
  <si>
    <t>Dodatak za gore Navedena brza vrata, za tiskanje motiva prema Kauflandovima uputama na jednu stranu vrata, u postupku koji isključuje oštećenje, starenje i izblijeđivanje natpisa.</t>
  </si>
  <si>
    <t>314.020</t>
  </si>
  <si>
    <t>Sekcijska vrata</t>
  </si>
  <si>
    <t>314.020.00100</t>
  </si>
  <si>
    <t>- Sekcijska vanjska vrata, dimenzije 2,8 / 2,6 m, ručna</t>
  </si>
  <si>
    <t>POZ B07
Sekcijska vrata za vanjski prostor, na sljedeći način izraditi, isporučiti, montirati i spojiti:
Krilo vrata: dvostruke sekcije, od pocinčanog čeličnog lima s ispunom od PU pjene, s premazom u prahu, s prozirnim dijelom podijeljenim u sredini i dvostrukim pločama od polikarbonata, otporno na udarce i provalu, visina sekcija ca. 500 mm
Boja: Krilo s unutarnje strane slično RAL 9002 (sivo-bijelo), s vanjske strane prema Kauflandovoj paleti boja
Vrsta okova: okovi za visoko vođenje, od pocinčanog čeličnog lima
Koeficijent toplinske provodnosti: prema državnim propisima i direktivama, min. 1,8 W/m2K
Pogon: ručni s lancem od okruglog čelika
Zaključavanje i nadzor vrata: Zasun s kontaktom, magnetni kontakt montiran u okvir
Svijetla širina prolaza: 2,8 m
Svijetla visina prolaza: 2,5 m, nisko vođenje vrata do visine priključka (-1,2 m u odnosu na visinu gotovog poda), visina vrata ca. 3,7 m</t>
  </si>
  <si>
    <t>314.020.00105</t>
  </si>
  <si>
    <t>x..AT27..x - sekcijska vanjska vrata, dimenzije 2,8 / 2,6 m, električni pogon</t>
  </si>
  <si>
    <t>POZ B07
Sekcijska vrata za vanjski prostor s električnim pogonom, na sljedeći način izraditi, isporučiti, montirati i spojiti:
Krilo vrata: dvostruke sekcije, od pocinčanog čeličnog lima s ispunom od PU pjene, s premazom u prahu, s prozirnim dijelom podijeljenim u sredini i dvostrukim pločama od polikarbonata, otporno na udarce i provalu, visina sekcija ca. 500 mm
Boja: Krilo s unutarnje strane slično RAL 9002 (sivo-bijelo), s vanjske strane prema Kauflandovoj paleti boja
Vrsta okova: okovi za visoko vođenje, od pocinčanog čeličnog lima
Koeficijent toplinske provodnosti: prema državnim propisima i direktivama, min. 1,8 W/m2K
Pogon: Električni pogon s vratilom, vrsta zaštite min. IP 44, s upravljanjem pomoću frekvencijskog pretvarača, elektronički krajnji prekidač, rukovanje u nuždi pomoću ručnog lanca
Sigurnosne funkcije: Sigurnosna oprema odabire se prema državnim propisima i direktivama, ali minimalno je potrebna zaštita rubova zatvaranja
Brzine: Brzina otvaranja min. 0,3 m/s, brzina zatvaranja min. 0,5 m/s
Zaključavanje i nadzor vrata: Zasun s kontaktom, magnetni kontakt montiran u okvir
Svijetla širina prolaza: 2,8 m
Svijetla visina prolaza: 2,5 m, nisko vođenje vrata do visine priključka (-1,2 m u odnosu na visinu gotovog poda), visina vrata ca. 3,7 m</t>
  </si>
  <si>
    <t>314.020.00110</t>
  </si>
  <si>
    <t>- Dodatna oprema za sekcijska vrata, otključavanje u slučaju požara</t>
  </si>
  <si>
    <t>Dodatna oprema za gore Navedena sekcijska vrata, koja uključuje otključavanje u slučaju požara, prirpremljena za profilni cilindar.</t>
  </si>
  <si>
    <t>314.030</t>
  </si>
  <si>
    <t>Rolo vrata</t>
  </si>
  <si>
    <t>314.040</t>
  </si>
  <si>
    <t>314.040.00100</t>
  </si>
  <si>
    <t>x..FT2..x - transportna tehnika</t>
  </si>
  <si>
    <t>Elektrohidraulička pretovarna rampa s pogonom, nosivosti 60 kN, prema DIN EN 1398 pretovarne rampe.
Ugradbena duljina 2000 mm, širina 1750 mm.
bezstupanjski pogon 1000 mm.
viseći dizajn za pristupačnost sa stražnjim dizalima.
Krug zaključavanja sekcijskih vrata i pretovarne rampe s osjetnikom svjetla, pomicanje rampe samo kada su sekcijska vrata otvorena, montaža osjetnika na okvir sekcijskih vrata, V = 1,50 m iznad gotovog poda, alternativno se pretovarna rampa aktivira preko dvosmjernog magnetskog prekidača.
Rukovanje putem upravljanja s tri ili četiri gumba (podizanje, pomak naprijed/natrag, gumb za automatsko vraćanje). Raspored komandi za pretovarnu rampu, donji rub 1,20 m.
Krug zaključavanja sekcijskih vrata i pretovarne rampe s osjetnikom svjetla, pomicanje rampe samo kada su sekcijska vrata otvorena, montaža osjetnika na okvir sekcijskih vrata, V = 1,50 m iznad gotovog poda, alternativno se pretovarna rampa aktivira preko dvosmjernog magnetskog prekidača.
Rubna zaštita
Odbojnik od sintetičkog kaučuka ili gume, visina/širina/dubina: 500/250/140 mm, boja crna, lako izmjenjiv, s čeličnom pločom za držanje. Odbojnik uvijen navojnim šipkama u rubnim zaštitnim kutnicima od punog čelika s unutarnjim navojem.
Rubni zaštitni kut otpr. 160/80/10 mm usidreni sidrima za beton u montažnu betonsku konstrukciju mjesta za pretovar.
Dodatna zaštita od udara (čelični odbojnik), izrađena od punog, pocinčanog čelika, debljine minimalno 8 mm.
Poseban slučaj specifičan za projekt: Ako je nagib između dostavnog dvorišta i zgrade veći od 2%, postoji rizik da će kamion oštetiti vanjski zid zgrade. Za svakih 1 % povećanja nagiba, vertikalni nagib kamiona povećava se za otprilike 2,5 cm u smjeru zgrade. Ova promjena u nagibu može se kompenzirati zavarivanjem odgovarajućih čeličnih odstojnih profila između vanjskog zida i udarnog odbojnika. Odstupanje od standarda (nagib 2%) uvijek je potrebno dogovoriti s Kauflandom.</t>
  </si>
  <si>
    <t>314.040.00105</t>
  </si>
  <si>
    <t>x..TA2..x - "dock shelter" na sekcijskim vratima skladišta</t>
  </si>
  <si>
    <t>Dobava i postava DOCK SHELTERA:
Standardne dimenzije: širina 3,35 m, ugradbena dubina 0,6 m, visina montaže: gornji rub brtve vratiju 3,38 m.
Širina prednje maske od cerade 600 mm, visina gornje maske (gornja površina) 800 mm.
Debljina mateijala PVC-cerade najmanje 3,5 mm. Boja cerade crna. Duljina gornje maske od cerade) se po potrebi prilagođava visini kamiona i provjerava prema specifičnostima projekta. Montaža se izvodi tako da donji rub brtve vratiju završava cca. 30 cm ispod razine poda skladišta. Gornja cerada se djelomično razdjeljuje lamelnim oblicima. Bijele orijentacijske pruge kao pomoć kod ulaska ugrađuju se u obje prednje maske od cerade, 100 mm širine, 750 mm duljine.
Na svakoj brtvi vratiju su 2 dodatne brtve (branici) za zaštitu od povlačenja/prodora hladnoće/ulaska toplog zraka, s poteznom užadi i oprugama ovješene na gornjem okviru brtve vratiju. Kutni brtveni jastuci u obliku cilindra s punjenjem od pjene (bez FCKW) i omotom otpornim na habanje, ojačanim mrežom od PVC-cerade s poliesterskom nosivim tkanjem.
Način izvedbe 1
Fleksibilna brtva vratiju sa zonama nabiranja, koje se bočno mogu izbjeći, konstrukcija s aluminijskim okvirom, prednji i stražnji elementi okvira spojeni zglobnim krakom s fleksibilnim opružnim vijcima. Brtva vratiju u zidnoj montaži s ugrađenim olukom za kišnicu na gornjoj plohi. Veličina usklađena s veličinom zabrtvljenog otvora. Gornje i bočne obloge od crnih PVC-cerada i mrežnih sustava otpornih na trenje i habanje.</t>
  </si>
  <si>
    <t>314.050</t>
  </si>
  <si>
    <t>314.050.00100</t>
  </si>
  <si>
    <t>Puštanje u rad i obučavanje o gore navedenim Sustavima vrata.</t>
  </si>
  <si>
    <t>314.050.00105</t>
  </si>
  <si>
    <t>- početno ispitivanje od strane stručnjaka</t>
  </si>
  <si>
    <t>Inicijalno ispitivanje prema EN 12635 gore navedenih sustava vrata u slučaju nužde od strane ovlaštene i priznate stručne osobe prema važećim propisima o ispitivanju u pojedinoj državi, uklj. izradu knjige o ispitivanju, potrebne naknadne provjere, ponovo vraćanje u rad.</t>
  </si>
  <si>
    <t>314.060</t>
  </si>
  <si>
    <t>314.060.00100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</si>
</sst>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 x14ac:knownFonts="1">
    <font>
      <sz val="11"/>
      <color theme="1"/>
      <name val="Aptos Narrow"/>
      <family val="2"/>
      <charset val="238"/>
      <scheme val="minor"/>
    </font>
    <font>
      <b/>
      <sz val="11"/>
      <name val="Calibri"/>
      <family val="2"/>
      <charset val="238"/>
    </font>
  </fonts>
  <fills count="4">
    <fill>
      <patternFill patternType="none"/>
    </fill>
    <fill>
      <patternFill patternType="gray125"/>
    </fill>
    <fill>
      <patternFill patternType="solid">
        <fgColor rgb="FFFFFF00"/>
        <bgColor indexed="64"/>
      </patternFill>
    </fill>
    <fill>
      <patternFill patternType="solid">
        <fgColor rgb="FFE9EDF7"/>
      </patternFill>
    </fill>
  </fills>
  <borders count="3">
    <border>
      <left/>
      <right/>
      <top/>
      <bottom/>
      <diagonal/>
    </border>
    <border>
      <left/>
      <right style="medium">
        <color indexed="64"/>
      </right>
      <top/>
      <bottom/>
      <diagonal/>
    </border>
    <border>
      <left style="thin">
        <color rgb="FF2451B2"/>
      </left>
      <right style="thin">
        <color rgb="FF2451B2"/>
      </right>
      <top style="thin">
        <color rgb="FF2451B2"/>
      </top>
      <bottom style="thin">
        <color rgb="FF2451B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1" fillId="0" borderId="0" xfId="0" applyFont="1" applyAlignment="1">
      <alignment wrapText="1"/>
    </xf>
    <xf numFmtId="164" fontId="1" fillId="0" borderId="0" xfId="0" applyNumberFormat="1" applyFont="1" applyAlignment="1">
      <alignment wrapText="1"/>
    </xf>
    <xf numFmtId="164" fontId="1" fillId="2" borderId="1" xfId="0" applyNumberFormat="1" applyFont="1" applyFill="1" applyBorder="1" applyAlignment="1">
      <alignment wrapText="1"/>
    </xf>
    <xf numFmtId="164" fontId="1" fillId="0" borderId="1" xfId="0" applyNumberFormat="1" applyFont="1" applyBorder="1" applyAlignment="1">
      <alignment wrapText="1"/>
    </xf>
    <xf numFmtId="0" fontId="0" fillId="0" borderId="0" xfId="0" applyAlignment="1">
      <alignment vertical="top" wrapText="1"/>
    </xf>
    <xf numFmtId="0" fontId="0" fillId="0" borderId="0" xfId="0" applyAlignment="1">
      <alignment wrapText="1"/>
    </xf>
    <xf numFmtId="164" fontId="0" fillId="0" borderId="0" xfId="0" applyNumberFormat="1" applyAlignment="1">
      <alignment wrapText="1"/>
    </xf>
    <xf numFmtId="164" fontId="0" fillId="0" borderId="1" xfId="0" applyNumberFormat="1" applyBorder="1" applyAlignment="1">
      <alignment wrapText="1"/>
    </xf>
    <xf numFmtId="164" fontId="0" fillId="3" borderId="2" xfId="0" applyNumberFormat="1" applyFill="1" applyBorder="1" applyAlignment="1">
      <alignment wrapText="1"/>
    </xf>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1978-DF70-4A1E-8154-DA326EEF0E9E}">
  <dimension ref="A3:H136"/>
  <sheetViews>
    <sheetView tabSelected="1" topLeftCell="A67" zoomScale="55" zoomScaleNormal="55" workbookViewId="0">
      <selection activeCell="H85" sqref="H1:H1048576"/>
    </sheetView>
  </sheetViews>
  <sheetFormatPr defaultRowHeight="14.4" x14ac:dyDescent="0.3"/>
  <cols>
    <col min="1" max="1" width="13.5546875" customWidth="1"/>
    <col min="2" max="2" width="0" hidden="1" customWidth="1"/>
    <col min="3" max="3" width="24.44140625" customWidth="1"/>
    <col min="4" max="4" width="106.21875" customWidth="1"/>
    <col min="7" max="8" width="14.77734375" customWidth="1"/>
  </cols>
  <sheetData>
    <row r="3" spans="1:8" ht="28.8" x14ac:dyDescent="0.3">
      <c r="A3" s="1" t="s">
        <v>0</v>
      </c>
      <c r="B3" s="1"/>
      <c r="C3" s="1" t="s">
        <v>1</v>
      </c>
      <c r="D3" s="1"/>
      <c r="E3" s="2"/>
      <c r="F3" s="2"/>
      <c r="G3" s="3"/>
      <c r="H3" s="4">
        <f>SUM(H4,H7,H9,H15,H17,H25,H26,H27)</f>
        <v>0</v>
      </c>
    </row>
    <row r="4" spans="1:8" x14ac:dyDescent="0.3">
      <c r="A4" s="1" t="s">
        <v>2</v>
      </c>
      <c r="B4" s="1"/>
      <c r="C4" s="1" t="s">
        <v>3</v>
      </c>
      <c r="D4" s="1"/>
      <c r="E4" s="2"/>
      <c r="F4" s="2"/>
      <c r="G4" s="3"/>
      <c r="H4" s="5">
        <v>0</v>
      </c>
    </row>
    <row r="5" spans="1:8" ht="409.6" x14ac:dyDescent="0.3">
      <c r="A5" s="6"/>
      <c r="B5" s="6"/>
      <c r="C5" s="6" t="s">
        <v>4</v>
      </c>
      <c r="D5" s="6" t="s">
        <v>5</v>
      </c>
      <c r="E5" s="7"/>
      <c r="F5" s="7"/>
      <c r="G5" s="8"/>
      <c r="H5" s="9"/>
    </row>
    <row r="6" spans="1:8" ht="129.6" x14ac:dyDescent="0.3">
      <c r="A6" s="6"/>
      <c r="B6" s="6"/>
      <c r="C6" s="6" t="s">
        <v>6</v>
      </c>
      <c r="D6" s="6" t="s">
        <v>7</v>
      </c>
      <c r="E6" s="7"/>
      <c r="F6" s="7"/>
      <c r="G6" s="8"/>
      <c r="H6" s="9"/>
    </row>
    <row r="7" spans="1:8" x14ac:dyDescent="0.3">
      <c r="A7" s="1" t="s">
        <v>8</v>
      </c>
      <c r="B7" s="1"/>
      <c r="C7" s="1" t="s">
        <v>9</v>
      </c>
      <c r="D7" s="1"/>
      <c r="E7" s="2"/>
      <c r="F7" s="2"/>
      <c r="G7" s="3"/>
      <c r="H7" s="5">
        <f>SUM(H8)</f>
        <v>0</v>
      </c>
    </row>
    <row r="8" spans="1:8" ht="316.8" x14ac:dyDescent="0.3">
      <c r="A8" s="6" t="s">
        <v>10</v>
      </c>
      <c r="B8" s="6" t="s">
        <v>11</v>
      </c>
      <c r="C8" s="6" t="s">
        <v>12</v>
      </c>
      <c r="D8" s="6" t="s">
        <v>13</v>
      </c>
      <c r="E8" s="7">
        <v>1</v>
      </c>
      <c r="F8" s="7" t="s">
        <v>14</v>
      </c>
      <c r="G8" s="10"/>
      <c r="H8" s="9">
        <f>$E8*G8</f>
        <v>0</v>
      </c>
    </row>
    <row r="9" spans="1:8" x14ac:dyDescent="0.3">
      <c r="A9" s="1" t="s">
        <v>15</v>
      </c>
      <c r="B9" s="1"/>
      <c r="C9" s="1" t="s">
        <v>16</v>
      </c>
      <c r="D9" s="1"/>
      <c r="E9" s="2"/>
      <c r="F9" s="2"/>
      <c r="G9" s="3"/>
      <c r="H9" s="5"/>
    </row>
    <row r="10" spans="1:8" ht="302.39999999999998" x14ac:dyDescent="0.3">
      <c r="A10" s="6" t="s">
        <v>17</v>
      </c>
      <c r="B10" s="6" t="s">
        <v>11</v>
      </c>
      <c r="C10" s="6" t="s">
        <v>18</v>
      </c>
      <c r="D10" s="6" t="s">
        <v>19</v>
      </c>
      <c r="E10" s="7">
        <v>1</v>
      </c>
      <c r="F10" s="7" t="s">
        <v>14</v>
      </c>
      <c r="G10" s="10"/>
      <c r="H10" s="9">
        <f>$E10*G10</f>
        <v>0</v>
      </c>
    </row>
    <row r="11" spans="1:8" ht="302.39999999999998" x14ac:dyDescent="0.3">
      <c r="A11" s="6" t="s">
        <v>20</v>
      </c>
      <c r="B11" s="6" t="s">
        <v>11</v>
      </c>
      <c r="C11" s="6" t="s">
        <v>21</v>
      </c>
      <c r="D11" s="6" t="s">
        <v>22</v>
      </c>
      <c r="E11" s="7">
        <v>1</v>
      </c>
      <c r="F11" s="7" t="s">
        <v>14</v>
      </c>
      <c r="G11" s="10"/>
      <c r="H11" s="9">
        <f>$E11*G11</f>
        <v>0</v>
      </c>
    </row>
    <row r="12" spans="1:8" ht="302.39999999999998" x14ac:dyDescent="0.3">
      <c r="A12" s="6" t="s">
        <v>23</v>
      </c>
      <c r="B12" s="6" t="s">
        <v>11</v>
      </c>
      <c r="C12" s="6" t="s">
        <v>24</v>
      </c>
      <c r="D12" s="6" t="s">
        <v>25</v>
      </c>
      <c r="E12" s="7">
        <v>1</v>
      </c>
      <c r="F12" s="7" t="s">
        <v>14</v>
      </c>
      <c r="G12" s="10"/>
      <c r="H12" s="9">
        <f>$E12*G12</f>
        <v>0</v>
      </c>
    </row>
    <row r="13" spans="1:8" ht="230.4" x14ac:dyDescent="0.3">
      <c r="A13" s="6" t="s">
        <v>26</v>
      </c>
      <c r="B13" s="6" t="s">
        <v>11</v>
      </c>
      <c r="C13" s="6" t="s">
        <v>27</v>
      </c>
      <c r="D13" s="6" t="s">
        <v>28</v>
      </c>
      <c r="E13" s="7">
        <v>1</v>
      </c>
      <c r="F13" s="7" t="s">
        <v>14</v>
      </c>
      <c r="G13" s="10">
        <v>3050</v>
      </c>
      <c r="H13" s="9">
        <f>$E13*G13</f>
        <v>3050</v>
      </c>
    </row>
    <row r="14" spans="1:8" ht="259.2" x14ac:dyDescent="0.3">
      <c r="A14" s="6" t="s">
        <v>29</v>
      </c>
      <c r="B14" s="6" t="s">
        <v>11</v>
      </c>
      <c r="C14" s="6" t="s">
        <v>30</v>
      </c>
      <c r="D14" s="6" t="s">
        <v>31</v>
      </c>
      <c r="E14" s="7">
        <v>1</v>
      </c>
      <c r="F14" s="7" t="s">
        <v>14</v>
      </c>
      <c r="G14" s="10">
        <v>3190</v>
      </c>
      <c r="H14" s="9">
        <f>$E14*G14</f>
        <v>3190</v>
      </c>
    </row>
    <row r="15" spans="1:8" x14ac:dyDescent="0.3">
      <c r="A15" s="1" t="s">
        <v>32</v>
      </c>
      <c r="B15" s="1"/>
      <c r="C15" s="1" t="s">
        <v>33</v>
      </c>
      <c r="D15" s="1"/>
      <c r="E15" s="2"/>
      <c r="F15" s="2"/>
      <c r="G15" s="3"/>
      <c r="H15" s="5">
        <f>SUM(H16)</f>
        <v>0</v>
      </c>
    </row>
    <row r="16" spans="1:8" ht="409.6" x14ac:dyDescent="0.3">
      <c r="A16" s="6" t="s">
        <v>34</v>
      </c>
      <c r="B16" s="6" t="s">
        <v>11</v>
      </c>
      <c r="C16" s="6" t="s">
        <v>35</v>
      </c>
      <c r="D16" s="6" t="s">
        <v>36</v>
      </c>
      <c r="E16" s="7">
        <v>52</v>
      </c>
      <c r="F16" s="7" t="s">
        <v>37</v>
      </c>
      <c r="G16" s="10"/>
      <c r="H16" s="9">
        <f>$E16*G16</f>
        <v>0</v>
      </c>
    </row>
    <row r="17" spans="1:8" x14ac:dyDescent="0.3">
      <c r="A17" s="1" t="s">
        <v>38</v>
      </c>
      <c r="B17" s="1"/>
      <c r="C17" s="1" t="s">
        <v>39</v>
      </c>
      <c r="D17" s="1"/>
      <c r="E17" s="2"/>
      <c r="F17" s="2"/>
      <c r="G17" s="3"/>
      <c r="H17" s="5">
        <f>SUM(H18,H19,H20,H21,H22,H23,H24)</f>
        <v>0</v>
      </c>
    </row>
    <row r="18" spans="1:8" ht="345.6" x14ac:dyDescent="0.3">
      <c r="A18" s="6" t="s">
        <v>40</v>
      </c>
      <c r="B18" s="6" t="s">
        <v>11</v>
      </c>
      <c r="C18" s="6" t="s">
        <v>41</v>
      </c>
      <c r="D18" s="6" t="s">
        <v>42</v>
      </c>
      <c r="E18" s="7">
        <v>1</v>
      </c>
      <c r="F18" s="7" t="s">
        <v>14</v>
      </c>
      <c r="G18" s="10"/>
      <c r="H18" s="9">
        <f t="shared" ref="H18:H24" si="0">$E18*G18</f>
        <v>0</v>
      </c>
    </row>
    <row r="19" spans="1:8" ht="288" x14ac:dyDescent="0.3">
      <c r="A19" s="6" t="s">
        <v>43</v>
      </c>
      <c r="B19" s="6" t="s">
        <v>11</v>
      </c>
      <c r="C19" s="6" t="s">
        <v>44</v>
      </c>
      <c r="D19" s="6" t="s">
        <v>45</v>
      </c>
      <c r="E19" s="7">
        <v>25</v>
      </c>
      <c r="F19" s="7" t="s">
        <v>37</v>
      </c>
      <c r="G19" s="10"/>
      <c r="H19" s="9">
        <f t="shared" si="0"/>
        <v>0</v>
      </c>
    </row>
    <row r="20" spans="1:8" ht="57.6" x14ac:dyDescent="0.3">
      <c r="A20" s="6" t="s">
        <v>46</v>
      </c>
      <c r="B20" s="6" t="s">
        <v>11</v>
      </c>
      <c r="C20" s="6" t="s">
        <v>47</v>
      </c>
      <c r="D20" s="6" t="s">
        <v>48</v>
      </c>
      <c r="E20" s="7">
        <v>5</v>
      </c>
      <c r="F20" s="7" t="s">
        <v>49</v>
      </c>
      <c r="G20" s="10"/>
      <c r="H20" s="9">
        <f t="shared" si="0"/>
        <v>0</v>
      </c>
    </row>
    <row r="21" spans="1:8" ht="72" x14ac:dyDescent="0.3">
      <c r="A21" s="6" t="s">
        <v>50</v>
      </c>
      <c r="B21" s="6" t="s">
        <v>11</v>
      </c>
      <c r="C21" s="6" t="s">
        <v>51</v>
      </c>
      <c r="D21" s="6" t="s">
        <v>52</v>
      </c>
      <c r="E21" s="7">
        <v>2</v>
      </c>
      <c r="F21" s="7" t="s">
        <v>14</v>
      </c>
      <c r="G21" s="10"/>
      <c r="H21" s="9">
        <f t="shared" si="0"/>
        <v>0</v>
      </c>
    </row>
    <row r="22" spans="1:8" ht="43.2" x14ac:dyDescent="0.3">
      <c r="A22" s="6" t="s">
        <v>53</v>
      </c>
      <c r="B22" s="6" t="s">
        <v>11</v>
      </c>
      <c r="C22" s="6" t="s">
        <v>54</v>
      </c>
      <c r="D22" s="6" t="s">
        <v>55</v>
      </c>
      <c r="E22" s="7">
        <v>2.5</v>
      </c>
      <c r="F22" s="7" t="s">
        <v>49</v>
      </c>
      <c r="G22" s="10"/>
      <c r="H22" s="9">
        <f t="shared" si="0"/>
        <v>0</v>
      </c>
    </row>
    <row r="23" spans="1:8" ht="72" x14ac:dyDescent="0.3">
      <c r="A23" s="6" t="s">
        <v>56</v>
      </c>
      <c r="B23" s="6" t="s">
        <v>11</v>
      </c>
      <c r="C23" s="6" t="s">
        <v>51</v>
      </c>
      <c r="D23" s="6" t="s">
        <v>52</v>
      </c>
      <c r="E23" s="7">
        <v>4</v>
      </c>
      <c r="F23" s="7" t="s">
        <v>14</v>
      </c>
      <c r="G23" s="10"/>
      <c r="H23" s="9">
        <f t="shared" si="0"/>
        <v>0</v>
      </c>
    </row>
    <row r="24" spans="1:8" ht="43.2" x14ac:dyDescent="0.3">
      <c r="A24" s="6" t="s">
        <v>57</v>
      </c>
      <c r="B24" s="6" t="s">
        <v>11</v>
      </c>
      <c r="C24" s="6" t="s">
        <v>54</v>
      </c>
      <c r="D24" s="6" t="s">
        <v>55</v>
      </c>
      <c r="E24" s="7">
        <v>2.5</v>
      </c>
      <c r="F24" s="7" t="s">
        <v>49</v>
      </c>
      <c r="G24" s="10"/>
      <c r="H24" s="9">
        <f t="shared" si="0"/>
        <v>0</v>
      </c>
    </row>
    <row r="25" spans="1:8" x14ac:dyDescent="0.3">
      <c r="A25" s="1" t="s">
        <v>58</v>
      </c>
      <c r="B25" s="1"/>
      <c r="C25" s="1" t="s">
        <v>59</v>
      </c>
      <c r="D25" s="1"/>
      <c r="E25" s="2"/>
      <c r="F25" s="2"/>
      <c r="G25" s="3"/>
      <c r="H25" s="5">
        <v>0</v>
      </c>
    </row>
    <row r="26" spans="1:8" x14ac:dyDescent="0.3">
      <c r="A26" s="1" t="s">
        <v>60</v>
      </c>
      <c r="B26" s="1"/>
      <c r="C26" s="1" t="s">
        <v>61</v>
      </c>
      <c r="D26" s="1"/>
      <c r="E26" s="2"/>
      <c r="F26" s="2"/>
      <c r="G26" s="3"/>
      <c r="H26" s="5">
        <v>0</v>
      </c>
    </row>
    <row r="27" spans="1:8" x14ac:dyDescent="0.3">
      <c r="A27" s="1" t="s">
        <v>62</v>
      </c>
      <c r="B27" s="1"/>
      <c r="C27" s="1" t="s">
        <v>63</v>
      </c>
      <c r="D27" s="1"/>
      <c r="E27" s="2"/>
      <c r="F27" s="2"/>
      <c r="G27" s="3"/>
      <c r="H27" s="5">
        <v>0</v>
      </c>
    </row>
    <row r="28" spans="1:8" x14ac:dyDescent="0.3">
      <c r="A28" s="1" t="s">
        <v>64</v>
      </c>
      <c r="B28" s="1"/>
      <c r="C28" s="1" t="s">
        <v>65</v>
      </c>
      <c r="D28" s="1"/>
      <c r="E28" s="2"/>
      <c r="F28" s="2"/>
      <c r="G28" s="3"/>
      <c r="H28" s="4">
        <f>SUM(H29,H32,H45,H46)</f>
        <v>0</v>
      </c>
    </row>
    <row r="29" spans="1:8" x14ac:dyDescent="0.3">
      <c r="A29" s="1" t="s">
        <v>66</v>
      </c>
      <c r="B29" s="1"/>
      <c r="C29" s="1" t="s">
        <v>3</v>
      </c>
      <c r="D29" s="1"/>
      <c r="E29" s="2"/>
      <c r="F29" s="2"/>
      <c r="G29" s="3"/>
      <c r="H29" s="5">
        <v>0</v>
      </c>
    </row>
    <row r="30" spans="1:8" ht="409.6" x14ac:dyDescent="0.3">
      <c r="A30" s="6"/>
      <c r="B30" s="6"/>
      <c r="C30" s="6" t="s">
        <v>4</v>
      </c>
      <c r="D30" s="6" t="s">
        <v>5</v>
      </c>
      <c r="E30" s="7"/>
      <c r="F30" s="7"/>
      <c r="G30" s="8"/>
      <c r="H30" s="9"/>
    </row>
    <row r="31" spans="1:8" ht="144" x14ac:dyDescent="0.3">
      <c r="A31" s="6"/>
      <c r="B31" s="6"/>
      <c r="C31" s="6" t="s">
        <v>67</v>
      </c>
      <c r="D31" s="6" t="s">
        <v>68</v>
      </c>
      <c r="E31" s="7"/>
      <c r="F31" s="7"/>
      <c r="G31" s="8"/>
      <c r="H31" s="9"/>
    </row>
    <row r="32" spans="1:8" x14ac:dyDescent="0.3">
      <c r="A32" s="1" t="s">
        <v>69</v>
      </c>
      <c r="B32" s="1"/>
      <c r="C32" s="1" t="s">
        <v>70</v>
      </c>
      <c r="D32" s="1"/>
      <c r="E32" s="2"/>
      <c r="F32" s="2"/>
      <c r="G32" s="3"/>
      <c r="H32" s="5">
        <f>SUM(H33,H34,H35,H36,H37,H38,H39,H40,H41,H42,H43,H44)</f>
        <v>0</v>
      </c>
    </row>
    <row r="33" spans="1:8" ht="259.2" x14ac:dyDescent="0.3">
      <c r="A33" s="6" t="s">
        <v>71</v>
      </c>
      <c r="B33" s="6" t="s">
        <v>11</v>
      </c>
      <c r="C33" s="6" t="s">
        <v>72</v>
      </c>
      <c r="D33" s="6" t="s">
        <v>73</v>
      </c>
      <c r="E33" s="7">
        <v>1</v>
      </c>
      <c r="F33" s="7" t="s">
        <v>14</v>
      </c>
      <c r="G33" s="10"/>
      <c r="H33" s="9">
        <f t="shared" ref="H33:H44" si="1">$E33*G33</f>
        <v>0</v>
      </c>
    </row>
    <row r="34" spans="1:8" ht="259.2" x14ac:dyDescent="0.3">
      <c r="A34" s="6" t="s">
        <v>74</v>
      </c>
      <c r="B34" s="6" t="s">
        <v>11</v>
      </c>
      <c r="C34" s="6" t="s">
        <v>75</v>
      </c>
      <c r="D34" s="6" t="s">
        <v>76</v>
      </c>
      <c r="E34" s="7">
        <v>1</v>
      </c>
      <c r="F34" s="7" t="s">
        <v>14</v>
      </c>
      <c r="G34" s="10"/>
      <c r="H34" s="9">
        <f t="shared" si="1"/>
        <v>0</v>
      </c>
    </row>
    <row r="35" spans="1:8" ht="259.2" x14ac:dyDescent="0.3">
      <c r="A35" s="6" t="s">
        <v>77</v>
      </c>
      <c r="B35" s="6" t="s">
        <v>11</v>
      </c>
      <c r="C35" s="6" t="s">
        <v>78</v>
      </c>
      <c r="D35" s="6" t="s">
        <v>79</v>
      </c>
      <c r="E35" s="7">
        <v>2.5099999999999998</v>
      </c>
      <c r="F35" s="7" t="s">
        <v>49</v>
      </c>
      <c r="G35" s="10"/>
      <c r="H35" s="9">
        <f t="shared" si="1"/>
        <v>0</v>
      </c>
    </row>
    <row r="36" spans="1:8" ht="259.2" x14ac:dyDescent="0.3">
      <c r="A36" s="6" t="s">
        <v>80</v>
      </c>
      <c r="B36" s="6" t="s">
        <v>11</v>
      </c>
      <c r="C36" s="6" t="s">
        <v>78</v>
      </c>
      <c r="D36" s="6" t="s">
        <v>81</v>
      </c>
      <c r="E36" s="7">
        <v>2.5099999999999998</v>
      </c>
      <c r="F36" s="7" t="s">
        <v>49</v>
      </c>
      <c r="G36" s="10"/>
      <c r="H36" s="9">
        <f t="shared" si="1"/>
        <v>0</v>
      </c>
    </row>
    <row r="37" spans="1:8" ht="259.2" x14ac:dyDescent="0.3">
      <c r="A37" s="6" t="s">
        <v>82</v>
      </c>
      <c r="B37" s="6" t="s">
        <v>11</v>
      </c>
      <c r="C37" s="6" t="s">
        <v>78</v>
      </c>
      <c r="D37" s="6" t="s">
        <v>83</v>
      </c>
      <c r="E37" s="7">
        <v>2.5099999999999998</v>
      </c>
      <c r="F37" s="7" t="s">
        <v>49</v>
      </c>
      <c r="G37" s="10"/>
      <c r="H37" s="9">
        <f t="shared" si="1"/>
        <v>0</v>
      </c>
    </row>
    <row r="38" spans="1:8" ht="244.8" x14ac:dyDescent="0.3">
      <c r="A38" s="6" t="s">
        <v>84</v>
      </c>
      <c r="B38" s="6" t="s">
        <v>11</v>
      </c>
      <c r="C38" s="6" t="s">
        <v>85</v>
      </c>
      <c r="D38" s="6" t="s">
        <v>86</v>
      </c>
      <c r="E38" s="7">
        <v>6.26</v>
      </c>
      <c r="F38" s="7" t="s">
        <v>49</v>
      </c>
      <c r="G38" s="10"/>
      <c r="H38" s="9">
        <f t="shared" si="1"/>
        <v>0</v>
      </c>
    </row>
    <row r="39" spans="1:8" ht="259.2" x14ac:dyDescent="0.3">
      <c r="A39" s="6" t="s">
        <v>87</v>
      </c>
      <c r="B39" s="6" t="s">
        <v>11</v>
      </c>
      <c r="C39" s="6" t="s">
        <v>88</v>
      </c>
      <c r="D39" s="6" t="s">
        <v>89</v>
      </c>
      <c r="E39" s="7">
        <v>5</v>
      </c>
      <c r="F39" s="7" t="s">
        <v>14</v>
      </c>
      <c r="G39" s="10"/>
      <c r="H39" s="9">
        <f t="shared" si="1"/>
        <v>0</v>
      </c>
    </row>
    <row r="40" spans="1:8" ht="244.8" x14ac:dyDescent="0.3">
      <c r="A40" s="6" t="s">
        <v>90</v>
      </c>
      <c r="B40" s="6" t="s">
        <v>11</v>
      </c>
      <c r="C40" s="6" t="s">
        <v>91</v>
      </c>
      <c r="D40" s="6" t="s">
        <v>92</v>
      </c>
      <c r="E40" s="7">
        <v>2.0099999999999998</v>
      </c>
      <c r="F40" s="7" t="s">
        <v>49</v>
      </c>
      <c r="G40" s="10"/>
      <c r="H40" s="9">
        <f t="shared" si="1"/>
        <v>0</v>
      </c>
    </row>
    <row r="41" spans="1:8" ht="244.8" x14ac:dyDescent="0.3">
      <c r="A41" s="6" t="s">
        <v>93</v>
      </c>
      <c r="B41" s="6" t="s">
        <v>11</v>
      </c>
      <c r="C41" s="6" t="s">
        <v>91</v>
      </c>
      <c r="D41" s="6" t="s">
        <v>94</v>
      </c>
      <c r="E41" s="7">
        <v>2.0099999999999998</v>
      </c>
      <c r="F41" s="7" t="s">
        <v>49</v>
      </c>
      <c r="G41" s="10"/>
      <c r="H41" s="9">
        <f t="shared" si="1"/>
        <v>0</v>
      </c>
    </row>
    <row r="42" spans="1:8" ht="244.8" x14ac:dyDescent="0.3">
      <c r="A42" s="6" t="s">
        <v>95</v>
      </c>
      <c r="B42" s="6" t="s">
        <v>11</v>
      </c>
      <c r="C42" s="6" t="s">
        <v>96</v>
      </c>
      <c r="D42" s="6" t="s">
        <v>97</v>
      </c>
      <c r="E42" s="7">
        <v>5.01</v>
      </c>
      <c r="F42" s="7" t="s">
        <v>49</v>
      </c>
      <c r="G42" s="10"/>
      <c r="H42" s="9">
        <f t="shared" si="1"/>
        <v>0</v>
      </c>
    </row>
    <row r="43" spans="1:8" ht="288" x14ac:dyDescent="0.3">
      <c r="A43" s="6" t="s">
        <v>98</v>
      </c>
      <c r="B43" s="6" t="s">
        <v>11</v>
      </c>
      <c r="C43" s="6" t="s">
        <v>96</v>
      </c>
      <c r="D43" s="6" t="s">
        <v>99</v>
      </c>
      <c r="E43" s="7">
        <v>3.01</v>
      </c>
      <c r="F43" s="7" t="s">
        <v>49</v>
      </c>
      <c r="G43" s="10"/>
      <c r="H43" s="9">
        <f t="shared" si="1"/>
        <v>0</v>
      </c>
    </row>
    <row r="44" spans="1:8" ht="259.2" x14ac:dyDescent="0.3">
      <c r="A44" s="6" t="s">
        <v>100</v>
      </c>
      <c r="B44" s="6" t="s">
        <v>11</v>
      </c>
      <c r="C44" s="6" t="s">
        <v>101</v>
      </c>
      <c r="D44" s="6" t="s">
        <v>102</v>
      </c>
      <c r="E44" s="7">
        <v>1</v>
      </c>
      <c r="F44" s="7" t="s">
        <v>14</v>
      </c>
      <c r="G44" s="10"/>
      <c r="H44" s="9">
        <f t="shared" si="1"/>
        <v>0</v>
      </c>
    </row>
    <row r="45" spans="1:8" x14ac:dyDescent="0.3">
      <c r="A45" s="1" t="s">
        <v>103</v>
      </c>
      <c r="B45" s="1"/>
      <c r="C45" s="1" t="s">
        <v>104</v>
      </c>
      <c r="D45" s="1"/>
      <c r="E45" s="2"/>
      <c r="F45" s="2"/>
      <c r="G45" s="3"/>
      <c r="H45" s="5">
        <v>0</v>
      </c>
    </row>
    <row r="46" spans="1:8" x14ac:dyDescent="0.3">
      <c r="A46" s="1" t="s">
        <v>105</v>
      </c>
      <c r="B46" s="1"/>
      <c r="C46" s="1" t="s">
        <v>63</v>
      </c>
      <c r="D46" s="1"/>
      <c r="E46" s="2"/>
      <c r="F46" s="2"/>
      <c r="G46" s="3"/>
      <c r="H46" s="5">
        <v>0</v>
      </c>
    </row>
    <row r="47" spans="1:8" x14ac:dyDescent="0.3">
      <c r="A47" s="1" t="s">
        <v>106</v>
      </c>
      <c r="B47" s="1"/>
      <c r="C47" s="1" t="s">
        <v>107</v>
      </c>
      <c r="D47" s="1"/>
      <c r="E47" s="2"/>
      <c r="F47" s="2"/>
      <c r="G47" s="3"/>
      <c r="H47" s="4">
        <f>SUM(H48,H51,H57,H58)</f>
        <v>0</v>
      </c>
    </row>
    <row r="48" spans="1:8" x14ac:dyDescent="0.3">
      <c r="A48" s="1" t="s">
        <v>108</v>
      </c>
      <c r="B48" s="1"/>
      <c r="C48" s="1" t="s">
        <v>3</v>
      </c>
      <c r="D48" s="1"/>
      <c r="E48" s="2"/>
      <c r="F48" s="2"/>
      <c r="G48" s="3"/>
      <c r="H48" s="5">
        <v>0</v>
      </c>
    </row>
    <row r="49" spans="1:8" ht="409.6" x14ac:dyDescent="0.3">
      <c r="A49" s="6"/>
      <c r="B49" s="6"/>
      <c r="C49" s="6" t="s">
        <v>4</v>
      </c>
      <c r="D49" s="6" t="s">
        <v>5</v>
      </c>
      <c r="E49" s="7"/>
      <c r="F49" s="7"/>
      <c r="G49" s="8"/>
      <c r="H49" s="9"/>
    </row>
    <row r="50" spans="1:8" ht="72" x14ac:dyDescent="0.3">
      <c r="A50" s="6"/>
      <c r="B50" s="6"/>
      <c r="C50" s="6" t="s">
        <v>109</v>
      </c>
      <c r="D50" s="6" t="s">
        <v>110</v>
      </c>
      <c r="E50" s="7"/>
      <c r="F50" s="7"/>
      <c r="G50" s="8"/>
      <c r="H50" s="9"/>
    </row>
    <row r="51" spans="1:8" x14ac:dyDescent="0.3">
      <c r="A51" s="1" t="s">
        <v>111</v>
      </c>
      <c r="B51" s="1"/>
      <c r="C51" s="1" t="s">
        <v>112</v>
      </c>
      <c r="D51" s="1"/>
      <c r="E51" s="2"/>
      <c r="F51" s="2"/>
      <c r="G51" s="3"/>
      <c r="H51" s="5">
        <f>SUM(H52,H53,H54,H55,H56)</f>
        <v>0</v>
      </c>
    </row>
    <row r="52" spans="1:8" ht="187.2" x14ac:dyDescent="0.3">
      <c r="A52" s="6" t="s">
        <v>113</v>
      </c>
      <c r="B52" s="6" t="s">
        <v>11</v>
      </c>
      <c r="C52" s="6" t="s">
        <v>114</v>
      </c>
      <c r="D52" s="6" t="s">
        <v>115</v>
      </c>
      <c r="E52" s="7">
        <v>1</v>
      </c>
      <c r="F52" s="7" t="s">
        <v>14</v>
      </c>
      <c r="G52" s="10"/>
      <c r="H52" s="9">
        <f>$E52*G52</f>
        <v>0</v>
      </c>
    </row>
    <row r="53" spans="1:8" ht="187.2" x14ac:dyDescent="0.3">
      <c r="A53" s="6" t="s">
        <v>116</v>
      </c>
      <c r="B53" s="6" t="s">
        <v>11</v>
      </c>
      <c r="C53" s="6" t="s">
        <v>117</v>
      </c>
      <c r="D53" s="6" t="s">
        <v>118</v>
      </c>
      <c r="E53" s="7">
        <v>1</v>
      </c>
      <c r="F53" s="7" t="s">
        <v>14</v>
      </c>
      <c r="G53" s="10"/>
      <c r="H53" s="9">
        <f>$E53*G53</f>
        <v>0</v>
      </c>
    </row>
    <row r="54" spans="1:8" ht="115.2" x14ac:dyDescent="0.3">
      <c r="A54" s="6" t="s">
        <v>119</v>
      </c>
      <c r="B54" s="6" t="s">
        <v>11</v>
      </c>
      <c r="C54" s="6" t="s">
        <v>120</v>
      </c>
      <c r="D54" s="6" t="s">
        <v>121</v>
      </c>
      <c r="E54" s="7">
        <v>2.5</v>
      </c>
      <c r="F54" s="7" t="s">
        <v>49</v>
      </c>
      <c r="G54" s="10"/>
      <c r="H54" s="9">
        <f>$E54*G54</f>
        <v>0</v>
      </c>
    </row>
    <row r="55" spans="1:8" ht="187.2" x14ac:dyDescent="0.3">
      <c r="A55" s="6" t="s">
        <v>122</v>
      </c>
      <c r="B55" s="6" t="s">
        <v>11</v>
      </c>
      <c r="C55" s="6" t="s">
        <v>123</v>
      </c>
      <c r="D55" s="6" t="s">
        <v>124</v>
      </c>
      <c r="E55" s="7">
        <v>11.25</v>
      </c>
      <c r="F55" s="7" t="s">
        <v>49</v>
      </c>
      <c r="G55" s="10"/>
      <c r="H55" s="9">
        <f>$E55*G55</f>
        <v>0</v>
      </c>
    </row>
    <row r="56" spans="1:8" ht="28.8" x14ac:dyDescent="0.3">
      <c r="A56" s="6" t="s">
        <v>125</v>
      </c>
      <c r="B56" s="6" t="s">
        <v>11</v>
      </c>
      <c r="C56" s="6" t="s">
        <v>126</v>
      </c>
      <c r="D56" s="6" t="s">
        <v>127</v>
      </c>
      <c r="E56" s="7">
        <v>16.5</v>
      </c>
      <c r="F56" s="7" t="s">
        <v>49</v>
      </c>
      <c r="G56" s="10"/>
      <c r="H56" s="9">
        <f>$E56*G56</f>
        <v>0</v>
      </c>
    </row>
    <row r="57" spans="1:8" x14ac:dyDescent="0.3">
      <c r="A57" s="1" t="s">
        <v>128</v>
      </c>
      <c r="B57" s="1"/>
      <c r="C57" s="1" t="s">
        <v>129</v>
      </c>
      <c r="D57" s="1"/>
      <c r="E57" s="2"/>
      <c r="F57" s="2"/>
      <c r="G57" s="3"/>
      <c r="H57" s="5">
        <v>0</v>
      </c>
    </row>
    <row r="58" spans="1:8" x14ac:dyDescent="0.3">
      <c r="A58" s="1" t="s">
        <v>130</v>
      </c>
      <c r="B58" s="1"/>
      <c r="C58" s="1" t="s">
        <v>63</v>
      </c>
      <c r="D58" s="1"/>
      <c r="E58" s="2"/>
      <c r="F58" s="2"/>
      <c r="G58" s="3"/>
      <c r="H58" s="5">
        <v>0</v>
      </c>
    </row>
    <row r="59" spans="1:8" x14ac:dyDescent="0.3">
      <c r="A59" s="1" t="s">
        <v>131</v>
      </c>
      <c r="B59" s="1"/>
      <c r="C59" s="1" t="s">
        <v>132</v>
      </c>
      <c r="D59" s="1"/>
      <c r="E59" s="2"/>
      <c r="F59" s="2"/>
      <c r="G59" s="3"/>
      <c r="H59" s="4"/>
    </row>
    <row r="60" spans="1:8" x14ac:dyDescent="0.3">
      <c r="A60" s="1" t="s">
        <v>133</v>
      </c>
      <c r="B60" s="1"/>
      <c r="C60" s="1" t="s">
        <v>3</v>
      </c>
      <c r="D60" s="1"/>
      <c r="E60" s="2"/>
      <c r="F60" s="2"/>
      <c r="G60" s="3"/>
      <c r="H60" s="5">
        <v>0</v>
      </c>
    </row>
    <row r="61" spans="1:8" ht="409.6" x14ac:dyDescent="0.3">
      <c r="A61" s="6"/>
      <c r="B61" s="6"/>
      <c r="C61" s="6" t="s">
        <v>4</v>
      </c>
      <c r="D61" s="6" t="s">
        <v>5</v>
      </c>
      <c r="E61" s="7"/>
      <c r="F61" s="7"/>
      <c r="G61" s="8"/>
      <c r="H61" s="9"/>
    </row>
    <row r="62" spans="1:8" ht="158.4" x14ac:dyDescent="0.3">
      <c r="A62" s="6"/>
      <c r="B62" s="6"/>
      <c r="C62" s="6" t="s">
        <v>134</v>
      </c>
      <c r="D62" s="6" t="s">
        <v>135</v>
      </c>
      <c r="E62" s="7"/>
      <c r="F62" s="7"/>
      <c r="G62" s="8"/>
      <c r="H62" s="9"/>
    </row>
    <row r="63" spans="1:8" x14ac:dyDescent="0.3">
      <c r="A63" s="1" t="s">
        <v>136</v>
      </c>
      <c r="B63" s="1"/>
      <c r="C63" s="1" t="s">
        <v>137</v>
      </c>
      <c r="D63" s="1"/>
      <c r="E63" s="2"/>
      <c r="F63" s="2"/>
      <c r="G63" s="3"/>
      <c r="H63" s="5"/>
    </row>
    <row r="64" spans="1:8" ht="259.2" x14ac:dyDescent="0.3">
      <c r="A64" s="6" t="s">
        <v>138</v>
      </c>
      <c r="B64" s="6" t="s">
        <v>11</v>
      </c>
      <c r="C64" s="6" t="s">
        <v>139</v>
      </c>
      <c r="D64" s="6" t="s">
        <v>140</v>
      </c>
      <c r="E64" s="7">
        <v>1</v>
      </c>
      <c r="F64" s="7" t="s">
        <v>14</v>
      </c>
      <c r="G64" s="10">
        <v>2040</v>
      </c>
      <c r="H64" s="9">
        <f t="shared" ref="H64:H78" si="2">$E64*G64</f>
        <v>2040</v>
      </c>
    </row>
    <row r="65" spans="1:8" ht="187.2" x14ac:dyDescent="0.3">
      <c r="A65" s="6" t="s">
        <v>141</v>
      </c>
      <c r="B65" s="6" t="s">
        <v>11</v>
      </c>
      <c r="C65" s="6" t="s">
        <v>142</v>
      </c>
      <c r="D65" s="6" t="s">
        <v>143</v>
      </c>
      <c r="E65" s="7">
        <v>1</v>
      </c>
      <c r="F65" s="7" t="s">
        <v>14</v>
      </c>
      <c r="G65" s="10">
        <v>1840</v>
      </c>
      <c r="H65" s="9">
        <f t="shared" si="2"/>
        <v>1840</v>
      </c>
    </row>
    <row r="66" spans="1:8" ht="331.2" x14ac:dyDescent="0.3">
      <c r="A66" s="6" t="s">
        <v>144</v>
      </c>
      <c r="B66" s="6" t="s">
        <v>11</v>
      </c>
      <c r="C66" s="6" t="s">
        <v>145</v>
      </c>
      <c r="D66" s="6" t="s">
        <v>146</v>
      </c>
      <c r="E66" s="7">
        <v>1</v>
      </c>
      <c r="F66" s="7" t="s">
        <v>14</v>
      </c>
      <c r="G66" s="10">
        <v>3520</v>
      </c>
      <c r="H66" s="9">
        <f t="shared" si="2"/>
        <v>3520</v>
      </c>
    </row>
    <row r="67" spans="1:8" ht="216" x14ac:dyDescent="0.3">
      <c r="A67" s="6" t="s">
        <v>147</v>
      </c>
      <c r="B67" s="6" t="s">
        <v>11</v>
      </c>
      <c r="C67" s="6" t="s">
        <v>148</v>
      </c>
      <c r="D67" s="6" t="s">
        <v>149</v>
      </c>
      <c r="E67" s="7">
        <v>1</v>
      </c>
      <c r="F67" s="7" t="s">
        <v>14</v>
      </c>
      <c r="G67" s="10">
        <v>1340</v>
      </c>
      <c r="H67" s="9">
        <f t="shared" si="2"/>
        <v>1340</v>
      </c>
    </row>
    <row r="68" spans="1:8" ht="216" x14ac:dyDescent="0.3">
      <c r="A68" s="6">
        <v>1240</v>
      </c>
      <c r="B68" s="6" t="s">
        <v>11</v>
      </c>
      <c r="C68" s="6" t="s">
        <v>150</v>
      </c>
      <c r="D68" s="6" t="s">
        <v>151</v>
      </c>
      <c r="E68" s="7">
        <v>1</v>
      </c>
      <c r="F68" s="7" t="s">
        <v>14</v>
      </c>
      <c r="G68" s="10">
        <v>1340</v>
      </c>
      <c r="H68" s="9">
        <f t="shared" si="2"/>
        <v>1340</v>
      </c>
    </row>
    <row r="69" spans="1:8" ht="230.4" x14ac:dyDescent="0.3">
      <c r="A69" s="6" t="s">
        <v>152</v>
      </c>
      <c r="B69" s="6" t="s">
        <v>11</v>
      </c>
      <c r="C69" s="6" t="s">
        <v>153</v>
      </c>
      <c r="D69" s="6" t="s">
        <v>154</v>
      </c>
      <c r="E69" s="7">
        <v>1</v>
      </c>
      <c r="F69" s="7" t="s">
        <v>14</v>
      </c>
      <c r="G69" s="10">
        <v>1650</v>
      </c>
      <c r="H69" s="9">
        <f t="shared" si="2"/>
        <v>1650</v>
      </c>
    </row>
    <row r="70" spans="1:8" ht="216" x14ac:dyDescent="0.3">
      <c r="A70" s="6" t="s">
        <v>155</v>
      </c>
      <c r="B70" s="6" t="s">
        <v>11</v>
      </c>
      <c r="C70" s="6" t="s">
        <v>156</v>
      </c>
      <c r="D70" s="6" t="s">
        <v>157</v>
      </c>
      <c r="E70" s="7">
        <v>1</v>
      </c>
      <c r="F70" s="7" t="s">
        <v>14</v>
      </c>
      <c r="G70" s="10">
        <v>1250</v>
      </c>
      <c r="H70" s="9">
        <f t="shared" si="2"/>
        <v>1250</v>
      </c>
    </row>
    <row r="71" spans="1:8" ht="302.39999999999998" x14ac:dyDescent="0.3">
      <c r="A71" s="6" t="s">
        <v>158</v>
      </c>
      <c r="B71" s="6" t="s">
        <v>11</v>
      </c>
      <c r="C71" s="6" t="s">
        <v>159</v>
      </c>
      <c r="D71" s="6" t="s">
        <v>160</v>
      </c>
      <c r="E71" s="7">
        <v>1</v>
      </c>
      <c r="F71" s="7" t="s">
        <v>14</v>
      </c>
      <c r="G71" s="10">
        <v>2390</v>
      </c>
      <c r="H71" s="9">
        <f t="shared" si="2"/>
        <v>2390</v>
      </c>
    </row>
    <row r="72" spans="1:8" ht="216" x14ac:dyDescent="0.3">
      <c r="A72" s="6" t="s">
        <v>161</v>
      </c>
      <c r="B72" s="6" t="s">
        <v>11</v>
      </c>
      <c r="C72" s="6" t="s">
        <v>162</v>
      </c>
      <c r="D72" s="6" t="s">
        <v>163</v>
      </c>
      <c r="E72" s="7">
        <v>1</v>
      </c>
      <c r="F72" s="7" t="s">
        <v>14</v>
      </c>
      <c r="G72" s="10">
        <v>1320</v>
      </c>
      <c r="H72" s="9">
        <f t="shared" si="2"/>
        <v>1320</v>
      </c>
    </row>
    <row r="73" spans="1:8" ht="216" x14ac:dyDescent="0.3">
      <c r="A73" s="6" t="s">
        <v>164</v>
      </c>
      <c r="B73" s="6" t="s">
        <v>11</v>
      </c>
      <c r="C73" s="6" t="s">
        <v>165</v>
      </c>
      <c r="D73" s="6" t="s">
        <v>166</v>
      </c>
      <c r="E73" s="7">
        <v>1</v>
      </c>
      <c r="F73" s="7" t="s">
        <v>14</v>
      </c>
      <c r="G73" s="10">
        <v>1390</v>
      </c>
      <c r="H73" s="9">
        <f t="shared" si="2"/>
        <v>1390</v>
      </c>
    </row>
    <row r="74" spans="1:8" ht="216" x14ac:dyDescent="0.3">
      <c r="A74" s="6" t="s">
        <v>167</v>
      </c>
      <c r="B74" s="6" t="s">
        <v>11</v>
      </c>
      <c r="C74" s="6" t="s">
        <v>165</v>
      </c>
      <c r="D74" s="6" t="s">
        <v>168</v>
      </c>
      <c r="E74" s="7">
        <v>1</v>
      </c>
      <c r="F74" s="7" t="s">
        <v>14</v>
      </c>
      <c r="G74" s="10">
        <v>1590</v>
      </c>
      <c r="H74" s="9">
        <f t="shared" si="2"/>
        <v>1590</v>
      </c>
    </row>
    <row r="75" spans="1:8" ht="216" x14ac:dyDescent="0.3">
      <c r="A75" s="6" t="s">
        <v>169</v>
      </c>
      <c r="B75" s="6" t="s">
        <v>11</v>
      </c>
      <c r="C75" s="6" t="s">
        <v>165</v>
      </c>
      <c r="D75" s="6" t="s">
        <v>170</v>
      </c>
      <c r="E75" s="7">
        <v>1</v>
      </c>
      <c r="F75" s="7" t="s">
        <v>14</v>
      </c>
      <c r="G75" s="10">
        <v>1380</v>
      </c>
      <c r="H75" s="9">
        <f t="shared" si="2"/>
        <v>1380</v>
      </c>
    </row>
    <row r="76" spans="1:8" ht="230.4" x14ac:dyDescent="0.3">
      <c r="A76" s="6" t="s">
        <v>171</v>
      </c>
      <c r="B76" s="6" t="s">
        <v>11</v>
      </c>
      <c r="C76" s="6" t="s">
        <v>172</v>
      </c>
      <c r="D76" s="6" t="s">
        <v>173</v>
      </c>
      <c r="E76" s="7">
        <v>1</v>
      </c>
      <c r="F76" s="7" t="s">
        <v>14</v>
      </c>
      <c r="G76" s="10">
        <v>1590</v>
      </c>
      <c r="H76" s="9">
        <f t="shared" si="2"/>
        <v>1590</v>
      </c>
    </row>
    <row r="77" spans="1:8" ht="288" x14ac:dyDescent="0.3">
      <c r="A77" s="6" t="s">
        <v>174</v>
      </c>
      <c r="B77" s="6" t="s">
        <v>11</v>
      </c>
      <c r="C77" s="6" t="s">
        <v>175</v>
      </c>
      <c r="D77" s="6" t="s">
        <v>176</v>
      </c>
      <c r="E77" s="7">
        <v>1</v>
      </c>
      <c r="F77" s="7" t="s">
        <v>14</v>
      </c>
      <c r="G77" s="10">
        <v>3890</v>
      </c>
      <c r="H77" s="9">
        <f t="shared" si="2"/>
        <v>3890</v>
      </c>
    </row>
    <row r="78" spans="1:8" ht="302.39999999999998" x14ac:dyDescent="0.3">
      <c r="A78" s="6" t="s">
        <v>177</v>
      </c>
      <c r="B78" s="6" t="s">
        <v>11</v>
      </c>
      <c r="C78" s="6" t="s">
        <v>178</v>
      </c>
      <c r="D78" s="6" t="s">
        <v>179</v>
      </c>
      <c r="E78" s="7">
        <v>3</v>
      </c>
      <c r="F78" s="7" t="s">
        <v>14</v>
      </c>
      <c r="G78" s="10">
        <v>4250</v>
      </c>
      <c r="H78" s="9">
        <f t="shared" si="2"/>
        <v>12750</v>
      </c>
    </row>
    <row r="79" spans="1:8" x14ac:dyDescent="0.3">
      <c r="A79" s="1" t="s">
        <v>180</v>
      </c>
      <c r="B79" s="1"/>
      <c r="C79" s="1" t="s">
        <v>181</v>
      </c>
      <c r="D79" s="1"/>
      <c r="E79" s="2"/>
      <c r="F79" s="2"/>
      <c r="G79" s="3"/>
      <c r="H79" s="5"/>
    </row>
    <row r="80" spans="1:8" ht="288" x14ac:dyDescent="0.3">
      <c r="A80" s="6" t="s">
        <v>182</v>
      </c>
      <c r="B80" s="6" t="s">
        <v>11</v>
      </c>
      <c r="C80" s="6" t="s">
        <v>183</v>
      </c>
      <c r="D80" s="6" t="s">
        <v>184</v>
      </c>
      <c r="E80" s="7">
        <v>2</v>
      </c>
      <c r="F80" s="7" t="s">
        <v>14</v>
      </c>
      <c r="G80" s="10">
        <v>5850</v>
      </c>
      <c r="H80" s="9">
        <f t="shared" ref="H80:H86" si="3">$E80*G80</f>
        <v>11700</v>
      </c>
    </row>
    <row r="81" spans="1:8" ht="273.60000000000002" x14ac:dyDescent="0.3">
      <c r="A81" s="6" t="s">
        <v>185</v>
      </c>
      <c r="B81" s="6" t="s">
        <v>11</v>
      </c>
      <c r="C81" s="6" t="s">
        <v>186</v>
      </c>
      <c r="D81" s="6" t="s">
        <v>187</v>
      </c>
      <c r="E81" s="7">
        <v>1</v>
      </c>
      <c r="F81" s="7" t="s">
        <v>14</v>
      </c>
      <c r="G81" s="10">
        <v>3280</v>
      </c>
      <c r="H81" s="9">
        <f t="shared" si="3"/>
        <v>3280</v>
      </c>
    </row>
    <row r="82" spans="1:8" ht="316.8" x14ac:dyDescent="0.3">
      <c r="A82" s="6" t="s">
        <v>188</v>
      </c>
      <c r="B82" s="6" t="s">
        <v>11</v>
      </c>
      <c r="C82" s="6" t="s">
        <v>189</v>
      </c>
      <c r="D82" s="6" t="s">
        <v>190</v>
      </c>
      <c r="E82" s="7">
        <v>1</v>
      </c>
      <c r="F82" s="7" t="s">
        <v>14</v>
      </c>
      <c r="G82" s="10">
        <v>3280</v>
      </c>
      <c r="H82" s="9">
        <f t="shared" si="3"/>
        <v>3280</v>
      </c>
    </row>
    <row r="83" spans="1:8" ht="273.60000000000002" x14ac:dyDescent="0.3">
      <c r="A83" s="6" t="s">
        <v>191</v>
      </c>
      <c r="B83" s="6" t="s">
        <v>11</v>
      </c>
      <c r="C83" s="6" t="s">
        <v>192</v>
      </c>
      <c r="D83" s="6" t="s">
        <v>193</v>
      </c>
      <c r="E83" s="7">
        <v>1</v>
      </c>
      <c r="F83" s="7" t="s">
        <v>14</v>
      </c>
      <c r="G83" s="10">
        <v>1780</v>
      </c>
      <c r="H83" s="9">
        <f t="shared" si="3"/>
        <v>1780</v>
      </c>
    </row>
    <row r="84" spans="1:8" ht="302.39999999999998" x14ac:dyDescent="0.3">
      <c r="A84" s="6" t="s">
        <v>194</v>
      </c>
      <c r="B84" s="6" t="s">
        <v>11</v>
      </c>
      <c r="C84" s="6" t="s">
        <v>195</v>
      </c>
      <c r="D84" s="6" t="s">
        <v>196</v>
      </c>
      <c r="E84" s="7">
        <v>2</v>
      </c>
      <c r="F84" s="7" t="s">
        <v>14</v>
      </c>
      <c r="G84" s="10">
        <v>1780</v>
      </c>
      <c r="H84" s="9">
        <f t="shared" si="3"/>
        <v>3560</v>
      </c>
    </row>
    <row r="85" spans="1:8" ht="288" x14ac:dyDescent="0.3">
      <c r="A85" s="6" t="s">
        <v>197</v>
      </c>
      <c r="B85" s="6" t="s">
        <v>11</v>
      </c>
      <c r="C85" s="6" t="s">
        <v>198</v>
      </c>
      <c r="D85" s="6" t="s">
        <v>199</v>
      </c>
      <c r="E85" s="7">
        <v>1</v>
      </c>
      <c r="F85" s="7" t="s">
        <v>14</v>
      </c>
      <c r="G85" s="10">
        <v>1780</v>
      </c>
      <c r="H85" s="9">
        <f t="shared" si="3"/>
        <v>1780</v>
      </c>
    </row>
    <row r="86" spans="1:8" ht="259.2" x14ac:dyDescent="0.3">
      <c r="A86" s="6" t="s">
        <v>200</v>
      </c>
      <c r="B86" s="6" t="s">
        <v>11</v>
      </c>
      <c r="C86" s="6" t="s">
        <v>201</v>
      </c>
      <c r="D86" s="6" t="s">
        <v>202</v>
      </c>
      <c r="E86" s="7">
        <v>1</v>
      </c>
      <c r="F86" s="7" t="s">
        <v>14</v>
      </c>
      <c r="G86" s="10">
        <v>1150</v>
      </c>
      <c r="H86" s="9">
        <f t="shared" si="3"/>
        <v>1150</v>
      </c>
    </row>
    <row r="87" spans="1:8" x14ac:dyDescent="0.3">
      <c r="A87" s="1" t="s">
        <v>203</v>
      </c>
      <c r="B87" s="1"/>
      <c r="C87" s="1" t="s">
        <v>204</v>
      </c>
      <c r="D87" s="1"/>
      <c r="E87" s="2"/>
      <c r="F87" s="2"/>
      <c r="G87" s="3"/>
      <c r="H87" s="5"/>
    </row>
    <row r="88" spans="1:8" ht="86.4" x14ac:dyDescent="0.3">
      <c r="A88" s="6" t="s">
        <v>205</v>
      </c>
      <c r="B88" s="6" t="s">
        <v>11</v>
      </c>
      <c r="C88" s="6" t="s">
        <v>206</v>
      </c>
      <c r="D88" s="6" t="s">
        <v>207</v>
      </c>
      <c r="E88" s="7">
        <v>2</v>
      </c>
      <c r="F88" s="7" t="s">
        <v>14</v>
      </c>
      <c r="G88" s="10">
        <v>1050</v>
      </c>
      <c r="H88" s="9">
        <f>$E88*G88</f>
        <v>2100</v>
      </c>
    </row>
    <row r="89" spans="1:8" x14ac:dyDescent="0.3">
      <c r="A89" s="1" t="s">
        <v>208</v>
      </c>
      <c r="B89" s="1"/>
      <c r="C89" s="1" t="s">
        <v>209</v>
      </c>
      <c r="D89" s="1"/>
      <c r="E89" s="2"/>
      <c r="F89" s="2"/>
      <c r="G89" s="3"/>
      <c r="H89" s="5">
        <f>SUM(H90,H91)</f>
        <v>0</v>
      </c>
    </row>
    <row r="90" spans="1:8" ht="28.8" x14ac:dyDescent="0.3">
      <c r="A90" s="6" t="s">
        <v>210</v>
      </c>
      <c r="B90" s="6" t="s">
        <v>11</v>
      </c>
      <c r="C90" s="6" t="s">
        <v>211</v>
      </c>
      <c r="D90" s="6" t="s">
        <v>212</v>
      </c>
      <c r="E90" s="7">
        <v>7</v>
      </c>
      <c r="F90" s="7" t="s">
        <v>14</v>
      </c>
      <c r="G90" s="10"/>
      <c r="H90" s="9">
        <f>$E90*G90</f>
        <v>0</v>
      </c>
    </row>
    <row r="91" spans="1:8" ht="28.8" x14ac:dyDescent="0.3">
      <c r="A91" s="6" t="s">
        <v>213</v>
      </c>
      <c r="B91" s="6" t="s">
        <v>11</v>
      </c>
      <c r="C91" s="6" t="s">
        <v>214</v>
      </c>
      <c r="D91" s="6" t="s">
        <v>215</v>
      </c>
      <c r="E91" s="7">
        <v>7</v>
      </c>
      <c r="F91" s="7" t="s">
        <v>14</v>
      </c>
      <c r="G91" s="10"/>
      <c r="H91" s="9">
        <f>$E91*G91</f>
        <v>0</v>
      </c>
    </row>
    <row r="92" spans="1:8" x14ac:dyDescent="0.3">
      <c r="A92" s="1" t="s">
        <v>216</v>
      </c>
      <c r="B92" s="1"/>
      <c r="C92" s="1" t="s">
        <v>217</v>
      </c>
      <c r="D92" s="1"/>
      <c r="E92" s="2"/>
      <c r="F92" s="2"/>
      <c r="G92" s="3"/>
      <c r="H92" s="5">
        <f>SUM(H93,H94)</f>
        <v>0</v>
      </c>
    </row>
    <row r="93" spans="1:8" ht="28.8" x14ac:dyDescent="0.3">
      <c r="A93" s="6" t="s">
        <v>218</v>
      </c>
      <c r="B93" s="6" t="s">
        <v>11</v>
      </c>
      <c r="C93" s="6" t="s">
        <v>219</v>
      </c>
      <c r="D93" s="6" t="s">
        <v>220</v>
      </c>
      <c r="E93" s="7">
        <v>1</v>
      </c>
      <c r="F93" s="7" t="s">
        <v>221</v>
      </c>
      <c r="G93" s="10"/>
      <c r="H93" s="9">
        <f>$E93*G93</f>
        <v>0</v>
      </c>
    </row>
    <row r="94" spans="1:8" ht="43.2" x14ac:dyDescent="0.3">
      <c r="A94" s="6" t="s">
        <v>222</v>
      </c>
      <c r="B94" s="6" t="s">
        <v>11</v>
      </c>
      <c r="C94" s="6" t="s">
        <v>223</v>
      </c>
      <c r="D94" s="6" t="s">
        <v>224</v>
      </c>
      <c r="E94" s="7">
        <v>1</v>
      </c>
      <c r="F94" s="7" t="s">
        <v>221</v>
      </c>
      <c r="G94" s="10"/>
      <c r="H94" s="9">
        <f>$E94*G94</f>
        <v>0</v>
      </c>
    </row>
    <row r="95" spans="1:8" x14ac:dyDescent="0.3">
      <c r="A95" s="1" t="s">
        <v>225</v>
      </c>
      <c r="B95" s="1"/>
      <c r="C95" s="1" t="s">
        <v>226</v>
      </c>
      <c r="D95" s="1"/>
      <c r="E95" s="2"/>
      <c r="F95" s="2"/>
      <c r="G95" s="3"/>
      <c r="H95" s="5">
        <f>SUM(H96)</f>
        <v>0</v>
      </c>
    </row>
    <row r="96" spans="1:8" ht="28.8" x14ac:dyDescent="0.3">
      <c r="A96" s="6" t="s">
        <v>227</v>
      </c>
      <c r="B96" s="6" t="s">
        <v>11</v>
      </c>
      <c r="C96" s="6" t="s">
        <v>228</v>
      </c>
      <c r="D96" s="6" t="s">
        <v>229</v>
      </c>
      <c r="E96" s="7">
        <v>1</v>
      </c>
      <c r="F96" s="7" t="s">
        <v>221</v>
      </c>
      <c r="G96" s="10"/>
      <c r="H96" s="9">
        <f>$E96*G96</f>
        <v>0</v>
      </c>
    </row>
    <row r="97" spans="1:8" x14ac:dyDescent="0.3">
      <c r="A97" s="1" t="s">
        <v>230</v>
      </c>
      <c r="B97" s="1"/>
      <c r="C97" s="1" t="s">
        <v>231</v>
      </c>
      <c r="D97" s="1"/>
      <c r="E97" s="2"/>
      <c r="F97" s="2"/>
      <c r="G97" s="3"/>
      <c r="H97" s="4">
        <f>SUM(H98,H101,H109)</f>
        <v>0</v>
      </c>
    </row>
    <row r="98" spans="1:8" x14ac:dyDescent="0.3">
      <c r="A98" s="1" t="s">
        <v>232</v>
      </c>
      <c r="B98" s="1"/>
      <c r="C98" s="1" t="s">
        <v>3</v>
      </c>
      <c r="D98" s="1"/>
      <c r="E98" s="2"/>
      <c r="F98" s="2"/>
      <c r="G98" s="3"/>
      <c r="H98" s="5">
        <v>0</v>
      </c>
    </row>
    <row r="99" spans="1:8" ht="409.6" x14ac:dyDescent="0.3">
      <c r="A99" s="6"/>
      <c r="B99" s="6"/>
      <c r="C99" s="6" t="s">
        <v>4</v>
      </c>
      <c r="D99" s="6" t="s">
        <v>5</v>
      </c>
      <c r="E99" s="7"/>
      <c r="F99" s="7"/>
      <c r="G99" s="8"/>
      <c r="H99" s="9"/>
    </row>
    <row r="100" spans="1:8" ht="72" x14ac:dyDescent="0.3">
      <c r="A100" s="6"/>
      <c r="B100" s="6"/>
      <c r="C100" s="6" t="s">
        <v>233</v>
      </c>
      <c r="D100" s="6" t="s">
        <v>234</v>
      </c>
      <c r="E100" s="7"/>
      <c r="F100" s="7"/>
      <c r="G100" s="8"/>
      <c r="H100" s="9"/>
    </row>
    <row r="101" spans="1:8" x14ac:dyDescent="0.3">
      <c r="A101" s="1" t="s">
        <v>235</v>
      </c>
      <c r="B101" s="1"/>
      <c r="C101" s="1" t="s">
        <v>137</v>
      </c>
      <c r="D101" s="1"/>
      <c r="E101" s="2"/>
      <c r="F101" s="2"/>
      <c r="G101" s="3"/>
      <c r="H101" s="5">
        <f>SUM(H102,H103,H104,H105,H106,H107,H108)</f>
        <v>0</v>
      </c>
    </row>
    <row r="102" spans="1:8" ht="187.2" x14ac:dyDescent="0.3">
      <c r="A102" s="6" t="s">
        <v>236</v>
      </c>
      <c r="B102" s="6" t="s">
        <v>11</v>
      </c>
      <c r="C102" s="6" t="s">
        <v>237</v>
      </c>
      <c r="D102" s="6" t="s">
        <v>238</v>
      </c>
      <c r="E102" s="7">
        <v>2</v>
      </c>
      <c r="F102" s="7" t="s">
        <v>14</v>
      </c>
      <c r="G102" s="10"/>
      <c r="H102" s="9">
        <f t="shared" ref="H102:H108" si="4">$E102*G102</f>
        <v>0</v>
      </c>
    </row>
    <row r="103" spans="1:8" ht="187.2" x14ac:dyDescent="0.3">
      <c r="A103" s="6" t="s">
        <v>239</v>
      </c>
      <c r="B103" s="6" t="s">
        <v>11</v>
      </c>
      <c r="C103" s="6" t="s">
        <v>240</v>
      </c>
      <c r="D103" s="6" t="s">
        <v>241</v>
      </c>
      <c r="E103" s="7">
        <v>4</v>
      </c>
      <c r="F103" s="7" t="s">
        <v>14</v>
      </c>
      <c r="G103" s="10"/>
      <c r="H103" s="9">
        <f t="shared" si="4"/>
        <v>0</v>
      </c>
    </row>
    <row r="104" spans="1:8" ht="187.2" x14ac:dyDescent="0.3">
      <c r="A104" s="6" t="s">
        <v>242</v>
      </c>
      <c r="B104" s="6" t="s">
        <v>11</v>
      </c>
      <c r="C104" s="6" t="s">
        <v>243</v>
      </c>
      <c r="D104" s="6" t="s">
        <v>244</v>
      </c>
      <c r="E104" s="7">
        <v>1</v>
      </c>
      <c r="F104" s="7" t="s">
        <v>14</v>
      </c>
      <c r="G104" s="10"/>
      <c r="H104" s="9">
        <f t="shared" si="4"/>
        <v>0</v>
      </c>
    </row>
    <row r="105" spans="1:8" ht="244.8" x14ac:dyDescent="0.3">
      <c r="A105" s="6" t="s">
        <v>245</v>
      </c>
      <c r="B105" s="6" t="s">
        <v>11</v>
      </c>
      <c r="C105" s="6" t="s">
        <v>246</v>
      </c>
      <c r="D105" s="6" t="s">
        <v>247</v>
      </c>
      <c r="E105" s="7">
        <v>1</v>
      </c>
      <c r="F105" s="7" t="s">
        <v>14</v>
      </c>
      <c r="G105" s="10"/>
      <c r="H105" s="9">
        <f t="shared" si="4"/>
        <v>0</v>
      </c>
    </row>
    <row r="106" spans="1:8" ht="230.4" x14ac:dyDescent="0.3">
      <c r="A106" s="6" t="s">
        <v>248</v>
      </c>
      <c r="B106" s="6" t="s">
        <v>11</v>
      </c>
      <c r="C106" s="6" t="s">
        <v>249</v>
      </c>
      <c r="D106" s="6" t="s">
        <v>250</v>
      </c>
      <c r="E106" s="7">
        <v>2</v>
      </c>
      <c r="F106" s="7" t="s">
        <v>14</v>
      </c>
      <c r="G106" s="10"/>
      <c r="H106" s="9">
        <f t="shared" si="4"/>
        <v>0</v>
      </c>
    </row>
    <row r="107" spans="1:8" ht="288" x14ac:dyDescent="0.3">
      <c r="A107" s="6" t="s">
        <v>251</v>
      </c>
      <c r="B107" s="6" t="s">
        <v>11</v>
      </c>
      <c r="C107" s="6" t="s">
        <v>252</v>
      </c>
      <c r="D107" s="6" t="s">
        <v>253</v>
      </c>
      <c r="E107" s="7">
        <v>2</v>
      </c>
      <c r="F107" s="7" t="s">
        <v>14</v>
      </c>
      <c r="G107" s="10"/>
      <c r="H107" s="9">
        <f t="shared" si="4"/>
        <v>0</v>
      </c>
    </row>
    <row r="108" spans="1:8" ht="273.60000000000002" x14ac:dyDescent="0.3">
      <c r="A108" s="6" t="s">
        <v>254</v>
      </c>
      <c r="B108" s="6" t="s">
        <v>11</v>
      </c>
      <c r="C108" s="6" t="s">
        <v>255</v>
      </c>
      <c r="D108" s="6" t="s">
        <v>256</v>
      </c>
      <c r="E108" s="7">
        <v>3</v>
      </c>
      <c r="F108" s="7" t="s">
        <v>14</v>
      </c>
      <c r="G108" s="10"/>
      <c r="H108" s="9">
        <f t="shared" si="4"/>
        <v>0</v>
      </c>
    </row>
    <row r="109" spans="1:8" x14ac:dyDescent="0.3">
      <c r="A109" s="1" t="s">
        <v>257</v>
      </c>
      <c r="B109" s="1"/>
      <c r="C109" s="1" t="s">
        <v>63</v>
      </c>
      <c r="D109" s="1"/>
      <c r="E109" s="2"/>
      <c r="F109" s="2"/>
      <c r="G109" s="3"/>
      <c r="H109" s="5">
        <f>SUM(H110,H111)</f>
        <v>0</v>
      </c>
    </row>
    <row r="110" spans="1:8" ht="28.8" x14ac:dyDescent="0.3">
      <c r="A110" s="6" t="s">
        <v>258</v>
      </c>
      <c r="B110" s="6" t="s">
        <v>11</v>
      </c>
      <c r="C110" s="6" t="s">
        <v>259</v>
      </c>
      <c r="D110" s="6" t="s">
        <v>212</v>
      </c>
      <c r="E110" s="7">
        <v>5</v>
      </c>
      <c r="F110" s="7" t="s">
        <v>14</v>
      </c>
      <c r="G110" s="10"/>
      <c r="H110" s="9">
        <f>$E110*G110</f>
        <v>0</v>
      </c>
    </row>
    <row r="111" spans="1:8" ht="28.8" x14ac:dyDescent="0.3">
      <c r="A111" s="6" t="s">
        <v>260</v>
      </c>
      <c r="B111" s="6" t="s">
        <v>11</v>
      </c>
      <c r="C111" s="6" t="s">
        <v>261</v>
      </c>
      <c r="D111" s="6" t="s">
        <v>215</v>
      </c>
      <c r="E111" s="7">
        <v>5</v>
      </c>
      <c r="F111" s="7" t="s">
        <v>14</v>
      </c>
      <c r="G111" s="10"/>
      <c r="H111" s="9">
        <f>$E111*G111</f>
        <v>0</v>
      </c>
    </row>
    <row r="112" spans="1:8" x14ac:dyDescent="0.3">
      <c r="A112" s="1" t="s">
        <v>262</v>
      </c>
      <c r="B112" s="1"/>
      <c r="C112" s="1" t="s">
        <v>104</v>
      </c>
      <c r="D112" s="1"/>
      <c r="E112" s="2"/>
      <c r="F112" s="2"/>
      <c r="G112" s="3"/>
      <c r="H112" s="4">
        <f>SUM(H113,H116,H124,H128,H129,H132,H135)</f>
        <v>0</v>
      </c>
    </row>
    <row r="113" spans="1:8" x14ac:dyDescent="0.3">
      <c r="A113" s="1" t="s">
        <v>263</v>
      </c>
      <c r="B113" s="1"/>
      <c r="C113" s="1" t="s">
        <v>3</v>
      </c>
      <c r="D113" s="1"/>
      <c r="E113" s="2"/>
      <c r="F113" s="2"/>
      <c r="G113" s="3"/>
      <c r="H113" s="5">
        <v>0</v>
      </c>
    </row>
    <row r="114" spans="1:8" ht="409.6" x14ac:dyDescent="0.3">
      <c r="A114" s="6"/>
      <c r="B114" s="6"/>
      <c r="C114" s="6" t="s">
        <v>4</v>
      </c>
      <c r="D114" s="6" t="s">
        <v>5</v>
      </c>
      <c r="E114" s="7"/>
      <c r="F114" s="7"/>
      <c r="G114" s="8"/>
      <c r="H114" s="9"/>
    </row>
    <row r="115" spans="1:8" ht="28.8" x14ac:dyDescent="0.3">
      <c r="A115" s="6"/>
      <c r="B115" s="6"/>
      <c r="C115" s="6" t="s">
        <v>264</v>
      </c>
      <c r="D115" s="6" t="s">
        <v>265</v>
      </c>
      <c r="E115" s="7"/>
      <c r="F115" s="7"/>
      <c r="G115" s="8"/>
      <c r="H115" s="9"/>
    </row>
    <row r="116" spans="1:8" x14ac:dyDescent="0.3">
      <c r="A116" s="1" t="s">
        <v>266</v>
      </c>
      <c r="B116" s="1"/>
      <c r="C116" s="1" t="s">
        <v>267</v>
      </c>
      <c r="D116" s="1"/>
      <c r="E116" s="2"/>
      <c r="F116" s="2"/>
      <c r="G116" s="3"/>
      <c r="H116" s="5">
        <f>SUM(H117,H118,H119,H120,H121,H122,H123)</f>
        <v>0</v>
      </c>
    </row>
    <row r="117" spans="1:8" ht="259.2" x14ac:dyDescent="0.3">
      <c r="A117" s="6" t="s">
        <v>268</v>
      </c>
      <c r="B117" s="6" t="s">
        <v>11</v>
      </c>
      <c r="C117" s="6" t="s">
        <v>269</v>
      </c>
      <c r="D117" s="6" t="s">
        <v>270</v>
      </c>
      <c r="E117" s="7">
        <v>1</v>
      </c>
      <c r="F117" s="7" t="s">
        <v>14</v>
      </c>
      <c r="G117" s="10"/>
      <c r="H117" s="9">
        <f t="shared" ref="H117:H123" si="5">$E117*G117</f>
        <v>0</v>
      </c>
    </row>
    <row r="118" spans="1:8" ht="259.2" x14ac:dyDescent="0.3">
      <c r="A118" s="6" t="s">
        <v>271</v>
      </c>
      <c r="B118" s="6" t="s">
        <v>11</v>
      </c>
      <c r="C118" s="6" t="s">
        <v>272</v>
      </c>
      <c r="D118" s="6" t="s">
        <v>273</v>
      </c>
      <c r="E118" s="7">
        <v>2</v>
      </c>
      <c r="F118" s="7" t="s">
        <v>14</v>
      </c>
      <c r="G118" s="10"/>
      <c r="H118" s="9">
        <f t="shared" si="5"/>
        <v>0</v>
      </c>
    </row>
    <row r="119" spans="1:8" ht="259.2" x14ac:dyDescent="0.3">
      <c r="A119" s="6" t="s">
        <v>274</v>
      </c>
      <c r="B119" s="6" t="s">
        <v>11</v>
      </c>
      <c r="C119" s="6" t="s">
        <v>275</v>
      </c>
      <c r="D119" s="6" t="s">
        <v>276</v>
      </c>
      <c r="E119" s="7">
        <v>1</v>
      </c>
      <c r="F119" s="7" t="s">
        <v>14</v>
      </c>
      <c r="G119" s="10"/>
      <c r="H119" s="9">
        <f t="shared" si="5"/>
        <v>0</v>
      </c>
    </row>
    <row r="120" spans="1:8" ht="43.2" x14ac:dyDescent="0.3">
      <c r="A120" s="6" t="s">
        <v>277</v>
      </c>
      <c r="B120" s="6" t="s">
        <v>11</v>
      </c>
      <c r="C120" s="6" t="s">
        <v>278</v>
      </c>
      <c r="D120" s="6" t="s">
        <v>279</v>
      </c>
      <c r="E120" s="7">
        <v>4</v>
      </c>
      <c r="F120" s="7" t="s">
        <v>14</v>
      </c>
      <c r="G120" s="10"/>
      <c r="H120" s="9">
        <f t="shared" si="5"/>
        <v>0</v>
      </c>
    </row>
    <row r="121" spans="1:8" ht="43.2" x14ac:dyDescent="0.3">
      <c r="A121" s="6" t="s">
        <v>280</v>
      </c>
      <c r="B121" s="6" t="s">
        <v>11</v>
      </c>
      <c r="C121" s="6" t="s">
        <v>281</v>
      </c>
      <c r="D121" s="6" t="s">
        <v>282</v>
      </c>
      <c r="E121" s="7">
        <v>4</v>
      </c>
      <c r="F121" s="7" t="s">
        <v>14</v>
      </c>
      <c r="G121" s="10"/>
      <c r="H121" s="9">
        <f t="shared" si="5"/>
        <v>0</v>
      </c>
    </row>
    <row r="122" spans="1:8" ht="28.8" x14ac:dyDescent="0.3">
      <c r="A122" s="6" t="s">
        <v>283</v>
      </c>
      <c r="B122" s="6" t="s">
        <v>11</v>
      </c>
      <c r="C122" s="6" t="s">
        <v>284</v>
      </c>
      <c r="D122" s="6" t="s">
        <v>285</v>
      </c>
      <c r="E122" s="7">
        <v>4</v>
      </c>
      <c r="F122" s="7" t="s">
        <v>14</v>
      </c>
      <c r="G122" s="10"/>
      <c r="H122" s="9">
        <f t="shared" si="5"/>
        <v>0</v>
      </c>
    </row>
    <row r="123" spans="1:8" ht="28.8" x14ac:dyDescent="0.3">
      <c r="A123" s="6" t="s">
        <v>286</v>
      </c>
      <c r="B123" s="6" t="s">
        <v>11</v>
      </c>
      <c r="C123" s="6" t="s">
        <v>287</v>
      </c>
      <c r="D123" s="6" t="s">
        <v>288</v>
      </c>
      <c r="E123" s="7">
        <v>4</v>
      </c>
      <c r="F123" s="7" t="s">
        <v>14</v>
      </c>
      <c r="G123" s="10"/>
      <c r="H123" s="9">
        <f t="shared" si="5"/>
        <v>0</v>
      </c>
    </row>
    <row r="124" spans="1:8" x14ac:dyDescent="0.3">
      <c r="A124" s="1" t="s">
        <v>289</v>
      </c>
      <c r="B124" s="1"/>
      <c r="C124" s="1" t="s">
        <v>290</v>
      </c>
      <c r="D124" s="1"/>
      <c r="E124" s="2"/>
      <c r="F124" s="2"/>
      <c r="G124" s="3"/>
      <c r="H124" s="5">
        <f>SUM(H125,H126,H127)</f>
        <v>0</v>
      </c>
    </row>
    <row r="125" spans="1:8" ht="201.6" x14ac:dyDescent="0.3">
      <c r="A125" s="6" t="s">
        <v>291</v>
      </c>
      <c r="B125" s="6" t="s">
        <v>11</v>
      </c>
      <c r="C125" s="6" t="s">
        <v>292</v>
      </c>
      <c r="D125" s="6" t="s">
        <v>293</v>
      </c>
      <c r="E125" s="7">
        <v>1</v>
      </c>
      <c r="F125" s="7" t="s">
        <v>14</v>
      </c>
      <c r="G125" s="10"/>
      <c r="H125" s="9">
        <f>$E125*G125</f>
        <v>0</v>
      </c>
    </row>
    <row r="126" spans="1:8" ht="259.2" x14ac:dyDescent="0.3">
      <c r="A126" s="6" t="s">
        <v>294</v>
      </c>
      <c r="B126" s="6" t="s">
        <v>11</v>
      </c>
      <c r="C126" s="6" t="s">
        <v>295</v>
      </c>
      <c r="D126" s="6" t="s">
        <v>296</v>
      </c>
      <c r="E126" s="7">
        <v>1</v>
      </c>
      <c r="F126" s="7" t="s">
        <v>14</v>
      </c>
      <c r="G126" s="10"/>
      <c r="H126" s="9">
        <f>$E126*G126</f>
        <v>0</v>
      </c>
    </row>
    <row r="127" spans="1:8" ht="57.6" x14ac:dyDescent="0.3">
      <c r="A127" s="6" t="s">
        <v>297</v>
      </c>
      <c r="B127" s="6" t="s">
        <v>11</v>
      </c>
      <c r="C127" s="6" t="s">
        <v>298</v>
      </c>
      <c r="D127" s="6" t="s">
        <v>299</v>
      </c>
      <c r="E127" s="7">
        <v>1</v>
      </c>
      <c r="F127" s="7" t="s">
        <v>14</v>
      </c>
      <c r="G127" s="10"/>
      <c r="H127" s="9">
        <f>$E127*G127</f>
        <v>0</v>
      </c>
    </row>
    <row r="128" spans="1:8" x14ac:dyDescent="0.3">
      <c r="A128" s="1" t="s">
        <v>300</v>
      </c>
      <c r="B128" s="1"/>
      <c r="C128" s="1" t="s">
        <v>301</v>
      </c>
      <c r="D128" s="1"/>
      <c r="E128" s="2"/>
      <c r="F128" s="2"/>
      <c r="G128" s="3"/>
      <c r="H128" s="5">
        <v>0</v>
      </c>
    </row>
    <row r="129" spans="1:8" x14ac:dyDescent="0.3">
      <c r="A129" s="1" t="s">
        <v>302</v>
      </c>
      <c r="B129" s="1"/>
      <c r="C129" s="1" t="s">
        <v>63</v>
      </c>
      <c r="D129" s="1"/>
      <c r="E129" s="2"/>
      <c r="F129" s="2"/>
      <c r="G129" s="3"/>
      <c r="H129" s="5">
        <f>SUM(H130,H131)</f>
        <v>0</v>
      </c>
    </row>
    <row r="130" spans="1:8" ht="316.8" x14ac:dyDescent="0.3">
      <c r="A130" s="6" t="s">
        <v>303</v>
      </c>
      <c r="B130" s="6" t="s">
        <v>11</v>
      </c>
      <c r="C130" s="6" t="s">
        <v>304</v>
      </c>
      <c r="D130" s="6" t="s">
        <v>305</v>
      </c>
      <c r="E130" s="7">
        <v>1</v>
      </c>
      <c r="F130" s="7" t="s">
        <v>14</v>
      </c>
      <c r="G130" s="10"/>
      <c r="H130" s="9">
        <f>$E130*G130</f>
        <v>0</v>
      </c>
    </row>
    <row r="131" spans="1:8" ht="259.2" x14ac:dyDescent="0.3">
      <c r="A131" s="6" t="s">
        <v>306</v>
      </c>
      <c r="B131" s="6" t="s">
        <v>11</v>
      </c>
      <c r="C131" s="6" t="s">
        <v>307</v>
      </c>
      <c r="D131" s="6" t="s">
        <v>308</v>
      </c>
      <c r="E131" s="7">
        <v>1</v>
      </c>
      <c r="F131" s="7" t="s">
        <v>14</v>
      </c>
      <c r="G131" s="10"/>
      <c r="H131" s="9">
        <f>$E131*G131</f>
        <v>0</v>
      </c>
    </row>
    <row r="132" spans="1:8" x14ac:dyDescent="0.3">
      <c r="A132" s="1" t="s">
        <v>309</v>
      </c>
      <c r="B132" s="1"/>
      <c r="C132" s="1" t="s">
        <v>217</v>
      </c>
      <c r="D132" s="1"/>
      <c r="E132" s="2"/>
      <c r="F132" s="2"/>
      <c r="G132" s="3"/>
      <c r="H132" s="5">
        <f>SUM(H133,H134)</f>
        <v>0</v>
      </c>
    </row>
    <row r="133" spans="1:8" x14ac:dyDescent="0.3">
      <c r="A133" s="6" t="s">
        <v>310</v>
      </c>
      <c r="B133" s="6" t="s">
        <v>11</v>
      </c>
      <c r="C133" s="6" t="s">
        <v>219</v>
      </c>
      <c r="D133" s="6" t="s">
        <v>311</v>
      </c>
      <c r="E133" s="7">
        <v>1</v>
      </c>
      <c r="F133" s="7" t="s">
        <v>221</v>
      </c>
      <c r="G133" s="10"/>
      <c r="H133" s="9">
        <f>$E133*G133</f>
        <v>0</v>
      </c>
    </row>
    <row r="134" spans="1:8" ht="43.2" x14ac:dyDescent="0.3">
      <c r="A134" s="6" t="s">
        <v>312</v>
      </c>
      <c r="B134" s="6" t="s">
        <v>11</v>
      </c>
      <c r="C134" s="6" t="s">
        <v>313</v>
      </c>
      <c r="D134" s="6" t="s">
        <v>314</v>
      </c>
      <c r="E134" s="7">
        <v>1</v>
      </c>
      <c r="F134" s="7" t="s">
        <v>221</v>
      </c>
      <c r="G134" s="10"/>
      <c r="H134" s="9">
        <f>$E134*G134</f>
        <v>0</v>
      </c>
    </row>
    <row r="135" spans="1:8" x14ac:dyDescent="0.3">
      <c r="A135" s="1" t="s">
        <v>315</v>
      </c>
      <c r="B135" s="1"/>
      <c r="C135" s="1" t="s">
        <v>226</v>
      </c>
      <c r="D135" s="1"/>
      <c r="E135" s="2"/>
      <c r="F135" s="2"/>
      <c r="G135" s="3"/>
      <c r="H135" s="5">
        <f>SUM(H136)</f>
        <v>0</v>
      </c>
    </row>
    <row r="136" spans="1:8" ht="28.8" x14ac:dyDescent="0.3">
      <c r="A136" s="6" t="s">
        <v>316</v>
      </c>
      <c r="B136" s="6" t="s">
        <v>11</v>
      </c>
      <c r="C136" s="6" t="s">
        <v>228</v>
      </c>
      <c r="D136" s="6" t="s">
        <v>229</v>
      </c>
      <c r="E136" s="7">
        <v>1</v>
      </c>
      <c r="F136" s="7" t="s">
        <v>221</v>
      </c>
      <c r="G136" s="10"/>
      <c r="H136" s="9">
        <f>$E136*G136</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E2DB19A4-C70C-43FB-A77A-7AAB01E861CF}"/>
</file>

<file path=customXml/itemProps2.xml><?xml version="1.0" encoding="utf-8"?>
<ds:datastoreItem xmlns:ds="http://schemas.openxmlformats.org/officeDocument/2006/customXml" ds:itemID="{390C80CC-D299-45F2-BECA-F9CFE0515F37}"/>
</file>

<file path=customXml/itemProps3.xml><?xml version="1.0" encoding="utf-8"?>
<ds:datastoreItem xmlns:ds="http://schemas.openxmlformats.org/officeDocument/2006/customXml" ds:itemID="{6D326AF9-C6D5-488E-ACCC-C14D32FD46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Tomislav Olić</dc:creator>
  <cp:lastModifiedBy>Mate Saric</cp:lastModifiedBy>
  <dcterms:created xsi:type="dcterms:W3CDTF">2025-01-08T09:39:01Z</dcterms:created>
  <dcterms:modified xsi:type="dcterms:W3CDTF">2025-04-03T13:58:36Z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
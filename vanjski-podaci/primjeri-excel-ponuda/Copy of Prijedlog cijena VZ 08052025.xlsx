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filterPrivacy="1"/>
  <xr:revisionPtr revIDLastSave="5" documentId="8_{D872AF5F-D5C0-4CE6-BC73-51977C97956F}" xr6:coauthVersionLast="47" xr6:coauthVersionMax="47" xr10:uidLastSave="{592DC520-982B-4456-9A12-ACEA19808240}"/>
  <bookViews>
    <workbookView xWindow="28680" yWindow="-120" windowWidth="29040" windowHeight="15720" xr2:uid="{00000000-000D-0000-FFFF-FFFF00000000}"/>
  </bookViews>
  <sheets>
    <sheet name="sheet1" sheetId="1" r:id="rId1"/>
  </sheets>
  <definedNames>
    <definedName name="_xlnm._FilterDatabase" localSheetId="0" hidden="1">sheet1!$A$23:$L$313</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03" i="1" l="1"/>
  <c r="H303" i="1"/>
  <c r="J115" i="1"/>
  <c r="H115" i="1"/>
  <c r="H108" i="1" l="1"/>
  <c r="J108" i="1" l="1"/>
  <c r="J106" i="1" l="1"/>
  <c r="H46" i="1"/>
  <c r="J46" i="1" s="1"/>
  <c r="H313" i="1"/>
  <c r="J313" i="1" s="1"/>
  <c r="H312" i="1"/>
  <c r="J312" i="1" s="1"/>
  <c r="H311" i="1"/>
  <c r="J311" i="1" s="1"/>
  <c r="H309" i="1"/>
  <c r="J309" i="1" s="1"/>
  <c r="H308" i="1"/>
  <c r="H302" i="1"/>
  <c r="J302" i="1" s="1"/>
  <c r="H301" i="1"/>
  <c r="J301" i="1" s="1"/>
  <c r="H300" i="1"/>
  <c r="H299" i="1"/>
  <c r="J299" i="1" s="1"/>
  <c r="H296" i="1"/>
  <c r="J296" i="1" s="1"/>
  <c r="H295" i="1"/>
  <c r="H289" i="1"/>
  <c r="J289" i="1" s="1"/>
  <c r="H288" i="1"/>
  <c r="J288" i="1" s="1"/>
  <c r="H287" i="1"/>
  <c r="J287" i="1" s="1"/>
  <c r="H286" i="1"/>
  <c r="J286" i="1" s="1"/>
  <c r="H285" i="1"/>
  <c r="J285" i="1" s="1"/>
  <c r="H284" i="1"/>
  <c r="J284" i="1" s="1"/>
  <c r="H283" i="1"/>
  <c r="J283" i="1" s="1"/>
  <c r="H282" i="1"/>
  <c r="J282" i="1" s="1"/>
  <c r="H281" i="1"/>
  <c r="J281" i="1" s="1"/>
  <c r="H280" i="1"/>
  <c r="J280" i="1" s="1"/>
  <c r="H279" i="1"/>
  <c r="J279" i="1" s="1"/>
  <c r="H278" i="1"/>
  <c r="J278" i="1" s="1"/>
  <c r="H277" i="1"/>
  <c r="J277" i="1" s="1"/>
  <c r="H276" i="1"/>
  <c r="H275" i="1"/>
  <c r="J275" i="1" s="1"/>
  <c r="H271" i="1"/>
  <c r="J271" i="1" s="1"/>
  <c r="H270" i="1"/>
  <c r="J270" i="1" s="1"/>
  <c r="H269" i="1"/>
  <c r="J269" i="1" s="1"/>
  <c r="H268" i="1"/>
  <c r="J268" i="1" s="1"/>
  <c r="H267" i="1"/>
  <c r="J267" i="1" s="1"/>
  <c r="H266" i="1"/>
  <c r="J266" i="1" s="1"/>
  <c r="H265" i="1"/>
  <c r="J265" i="1" s="1"/>
  <c r="H264" i="1"/>
  <c r="J264" i="1" s="1"/>
  <c r="H263" i="1"/>
  <c r="J263" i="1" s="1"/>
  <c r="H262" i="1"/>
  <c r="H260" i="1"/>
  <c r="J260" i="1" s="1"/>
  <c r="J259" i="1" s="1"/>
  <c r="H258" i="1"/>
  <c r="J258" i="1" s="1"/>
  <c r="H257" i="1"/>
  <c r="J257" i="1" s="1"/>
  <c r="H256" i="1"/>
  <c r="J256" i="1" s="1"/>
  <c r="H255" i="1"/>
  <c r="J255" i="1" s="1"/>
  <c r="H254" i="1"/>
  <c r="J254" i="1" s="1"/>
  <c r="H253" i="1"/>
  <c r="J253" i="1" s="1"/>
  <c r="H252" i="1"/>
  <c r="J252" i="1" s="1"/>
  <c r="H251" i="1"/>
  <c r="J251" i="1" s="1"/>
  <c r="H250" i="1"/>
  <c r="J250" i="1" s="1"/>
  <c r="H249" i="1"/>
  <c r="J249" i="1" s="1"/>
  <c r="H248" i="1"/>
  <c r="J248" i="1" s="1"/>
  <c r="H246" i="1"/>
  <c r="J246" i="1" s="1"/>
  <c r="H245" i="1"/>
  <c r="J245" i="1" s="1"/>
  <c r="H244" i="1"/>
  <c r="J244" i="1" s="1"/>
  <c r="H243" i="1"/>
  <c r="J243" i="1" s="1"/>
  <c r="H242" i="1"/>
  <c r="J242" i="1" s="1"/>
  <c r="H241" i="1"/>
  <c r="J241" i="1" s="1"/>
  <c r="H240" i="1"/>
  <c r="J240" i="1" s="1"/>
  <c r="H239" i="1"/>
  <c r="J239" i="1" s="1"/>
  <c r="H238" i="1"/>
  <c r="J238" i="1" s="1"/>
  <c r="H237" i="1"/>
  <c r="J237" i="1" s="1"/>
  <c r="H236" i="1"/>
  <c r="J236" i="1" s="1"/>
  <c r="H235" i="1"/>
  <c r="J235" i="1" s="1"/>
  <c r="H234" i="1"/>
  <c r="J234" i="1" s="1"/>
  <c r="H233" i="1"/>
  <c r="J233" i="1" s="1"/>
  <c r="H232" i="1"/>
  <c r="J232" i="1" s="1"/>
  <c r="H231" i="1"/>
  <c r="J231" i="1" s="1"/>
  <c r="H230" i="1"/>
  <c r="J230" i="1" s="1"/>
  <c r="H229" i="1"/>
  <c r="J229" i="1" s="1"/>
  <c r="H228" i="1"/>
  <c r="J228" i="1" s="1"/>
  <c r="H227" i="1"/>
  <c r="J227" i="1" s="1"/>
  <c r="H226" i="1"/>
  <c r="J226" i="1" s="1"/>
  <c r="H225" i="1"/>
  <c r="J225" i="1" s="1"/>
  <c r="H224" i="1"/>
  <c r="J224" i="1" s="1"/>
  <c r="H223" i="1"/>
  <c r="J223" i="1" s="1"/>
  <c r="H222" i="1"/>
  <c r="J222" i="1" s="1"/>
  <c r="H221" i="1"/>
  <c r="J221" i="1" s="1"/>
  <c r="H220" i="1"/>
  <c r="J220" i="1" s="1"/>
  <c r="H219" i="1"/>
  <c r="J219" i="1" s="1"/>
  <c r="H218" i="1"/>
  <c r="J218" i="1" s="1"/>
  <c r="H217" i="1"/>
  <c r="J217" i="1" s="1"/>
  <c r="H216" i="1"/>
  <c r="J216" i="1" s="1"/>
  <c r="H215" i="1"/>
  <c r="J215" i="1" s="1"/>
  <c r="H214" i="1"/>
  <c r="J214" i="1" s="1"/>
  <c r="H213" i="1"/>
  <c r="H212" i="1"/>
  <c r="J212" i="1" s="1"/>
  <c r="H211" i="1"/>
  <c r="J211" i="1" s="1"/>
  <c r="H210" i="1"/>
  <c r="J210" i="1" s="1"/>
  <c r="H209" i="1"/>
  <c r="J209" i="1" s="1"/>
  <c r="H208" i="1"/>
  <c r="J208" i="1" s="1"/>
  <c r="H207" i="1"/>
  <c r="J207" i="1" s="1"/>
  <c r="H205" i="1"/>
  <c r="J205" i="1" s="1"/>
  <c r="H204" i="1"/>
  <c r="J204" i="1" s="1"/>
  <c r="H203" i="1"/>
  <c r="J203" i="1" s="1"/>
  <c r="H202" i="1"/>
  <c r="J202" i="1" s="1"/>
  <c r="H201" i="1"/>
  <c r="J201" i="1" s="1"/>
  <c r="H200" i="1"/>
  <c r="J200" i="1" s="1"/>
  <c r="H199" i="1"/>
  <c r="J199" i="1" s="1"/>
  <c r="H198" i="1"/>
  <c r="J198" i="1" s="1"/>
  <c r="H197" i="1"/>
  <c r="J197" i="1" s="1"/>
  <c r="H196" i="1"/>
  <c r="J196" i="1" s="1"/>
  <c r="H195" i="1"/>
  <c r="J195" i="1" s="1"/>
  <c r="H194" i="1"/>
  <c r="J194" i="1" s="1"/>
  <c r="H193" i="1"/>
  <c r="J193" i="1" s="1"/>
  <c r="H192" i="1"/>
  <c r="J192" i="1" s="1"/>
  <c r="H191" i="1"/>
  <c r="J191" i="1" s="1"/>
  <c r="H190" i="1"/>
  <c r="J190" i="1" s="1"/>
  <c r="H189" i="1"/>
  <c r="J189" i="1" s="1"/>
  <c r="H188" i="1"/>
  <c r="J188" i="1" s="1"/>
  <c r="H187" i="1"/>
  <c r="J187" i="1" s="1"/>
  <c r="H186" i="1"/>
  <c r="J186" i="1" s="1"/>
  <c r="H185" i="1"/>
  <c r="J185" i="1" s="1"/>
  <c r="H184" i="1"/>
  <c r="J184" i="1" s="1"/>
  <c r="H183" i="1"/>
  <c r="J183" i="1" s="1"/>
  <c r="H182" i="1"/>
  <c r="J182" i="1" s="1"/>
  <c r="H181" i="1"/>
  <c r="J181" i="1" s="1"/>
  <c r="H180" i="1"/>
  <c r="J180" i="1" s="1"/>
  <c r="H179" i="1"/>
  <c r="J179" i="1" s="1"/>
  <c r="H178" i="1"/>
  <c r="J178" i="1" s="1"/>
  <c r="H177" i="1"/>
  <c r="J177" i="1" s="1"/>
  <c r="H176" i="1"/>
  <c r="J176" i="1" s="1"/>
  <c r="H175" i="1"/>
  <c r="J175" i="1" s="1"/>
  <c r="H174" i="1"/>
  <c r="J174" i="1" s="1"/>
  <c r="H173" i="1"/>
  <c r="J173" i="1" s="1"/>
  <c r="H172" i="1"/>
  <c r="J172" i="1" s="1"/>
  <c r="H171" i="1"/>
  <c r="J171" i="1" s="1"/>
  <c r="H170" i="1"/>
  <c r="J170" i="1" s="1"/>
  <c r="H169" i="1"/>
  <c r="J169" i="1" s="1"/>
  <c r="H168" i="1"/>
  <c r="J168" i="1" s="1"/>
  <c r="H167" i="1"/>
  <c r="J167" i="1" s="1"/>
  <c r="H166" i="1"/>
  <c r="J166" i="1" s="1"/>
  <c r="H165" i="1"/>
  <c r="J165" i="1" s="1"/>
  <c r="H164" i="1"/>
  <c r="J164" i="1" s="1"/>
  <c r="H163" i="1"/>
  <c r="J163" i="1" s="1"/>
  <c r="H162" i="1"/>
  <c r="J162" i="1" s="1"/>
  <c r="H161" i="1"/>
  <c r="J161" i="1" s="1"/>
  <c r="H155" i="1"/>
  <c r="H149" i="1"/>
  <c r="H143" i="1"/>
  <c r="J143" i="1" s="1"/>
  <c r="H142" i="1"/>
  <c r="J142" i="1" s="1"/>
  <c r="H141" i="1"/>
  <c r="J141" i="1" s="1"/>
  <c r="H140" i="1"/>
  <c r="J140" i="1" s="1"/>
  <c r="H139" i="1"/>
  <c r="J139" i="1" s="1"/>
  <c r="H138" i="1"/>
  <c r="J138" i="1" s="1"/>
  <c r="H137" i="1"/>
  <c r="J137" i="1" s="1"/>
  <c r="H136" i="1"/>
  <c r="J136" i="1" s="1"/>
  <c r="H135" i="1"/>
  <c r="J135" i="1" s="1"/>
  <c r="H134" i="1"/>
  <c r="J134" i="1" s="1"/>
  <c r="H133" i="1"/>
  <c r="J133" i="1" s="1"/>
  <c r="H132" i="1"/>
  <c r="J132" i="1" s="1"/>
  <c r="H131" i="1"/>
  <c r="J131" i="1" s="1"/>
  <c r="H130" i="1"/>
  <c r="J130" i="1" s="1"/>
  <c r="H129" i="1"/>
  <c r="J129" i="1" s="1"/>
  <c r="H128" i="1"/>
  <c r="J128" i="1" s="1"/>
  <c r="H127" i="1"/>
  <c r="J127" i="1" s="1"/>
  <c r="H126" i="1"/>
  <c r="J126" i="1" s="1"/>
  <c r="H124" i="1"/>
  <c r="J124" i="1" s="1"/>
  <c r="H123" i="1"/>
  <c r="J123" i="1" s="1"/>
  <c r="H122" i="1"/>
  <c r="J122" i="1" s="1"/>
  <c r="H121" i="1"/>
  <c r="J121" i="1" s="1"/>
  <c r="H114" i="1"/>
  <c r="J114" i="1" s="1"/>
  <c r="H113" i="1"/>
  <c r="J113" i="1" s="1"/>
  <c r="H111" i="1"/>
  <c r="J111" i="1" s="1"/>
  <c r="H110" i="1"/>
  <c r="J110" i="1" s="1"/>
  <c r="H109" i="1"/>
  <c r="H102" i="1"/>
  <c r="J102" i="1" s="1"/>
  <c r="H101" i="1"/>
  <c r="J101" i="1" s="1"/>
  <c r="H98" i="1"/>
  <c r="J98" i="1" s="1"/>
  <c r="H97" i="1"/>
  <c r="J97" i="1" s="1"/>
  <c r="H96" i="1"/>
  <c r="J96" i="1" s="1"/>
  <c r="H95" i="1"/>
  <c r="J95" i="1" s="1"/>
  <c r="H94" i="1"/>
  <c r="J94" i="1" s="1"/>
  <c r="H93" i="1"/>
  <c r="J93" i="1" s="1"/>
  <c r="H92" i="1"/>
  <c r="J92" i="1" s="1"/>
  <c r="H91" i="1"/>
  <c r="J91" i="1" s="1"/>
  <c r="H90" i="1"/>
  <c r="H85" i="1"/>
  <c r="J85" i="1" s="1"/>
  <c r="H84" i="1"/>
  <c r="J84" i="1" s="1"/>
  <c r="H83" i="1"/>
  <c r="J83" i="1" s="1"/>
  <c r="H82" i="1"/>
  <c r="J82" i="1" s="1"/>
  <c r="H81" i="1"/>
  <c r="J81" i="1" s="1"/>
  <c r="H80" i="1"/>
  <c r="J80" i="1" s="1"/>
  <c r="H77" i="1"/>
  <c r="J77" i="1" s="1"/>
  <c r="H76" i="1"/>
  <c r="J76" i="1" s="1"/>
  <c r="H75" i="1"/>
  <c r="J75" i="1" s="1"/>
  <c r="J61" i="1"/>
  <c r="H61" i="1"/>
  <c r="J49" i="1"/>
  <c r="H49" i="1"/>
  <c r="H48" i="1"/>
  <c r="J48" i="1" s="1"/>
  <c r="H47" i="1"/>
  <c r="J47" i="1" s="1"/>
  <c r="H34" i="1"/>
  <c r="J34" i="1" s="1"/>
  <c r="H33" i="1"/>
  <c r="J33" i="1" s="1"/>
  <c r="H31" i="1"/>
  <c r="J31" i="1" s="1"/>
  <c r="J30" i="1" s="1"/>
  <c r="J149" i="1" l="1"/>
  <c r="J148" i="1" s="1"/>
  <c r="J144" i="1" s="1"/>
  <c r="H148" i="1"/>
  <c r="H144" i="1" s="1"/>
  <c r="J109" i="1"/>
  <c r="J107" i="1" s="1"/>
  <c r="H107" i="1"/>
  <c r="J26" i="1"/>
  <c r="J308" i="1"/>
  <c r="J307" i="1" s="1"/>
  <c r="H307" i="1"/>
  <c r="J155" i="1"/>
  <c r="J154" i="1" s="1"/>
  <c r="J150" i="1" s="1"/>
  <c r="H154" i="1"/>
  <c r="H150" i="1" s="1"/>
  <c r="H294" i="1"/>
  <c r="H291" i="1" s="1"/>
  <c r="J310" i="1"/>
  <c r="J104" i="1"/>
  <c r="H310" i="1"/>
  <c r="J112" i="1"/>
  <c r="H104" i="1"/>
  <c r="H112" i="1"/>
  <c r="H74" i="1"/>
  <c r="J74" i="1"/>
  <c r="H89" i="1"/>
  <c r="J32" i="1"/>
  <c r="J79" i="1"/>
  <c r="J90" i="1"/>
  <c r="J89" i="1" s="1"/>
  <c r="J45" i="1"/>
  <c r="J35" i="1" s="1"/>
  <c r="H100" i="1"/>
  <c r="H259" i="1"/>
  <c r="J100" i="1"/>
  <c r="H32" i="1"/>
  <c r="H26" i="1" s="1"/>
  <c r="H45" i="1"/>
  <c r="H35" i="1" s="1"/>
  <c r="H120" i="1"/>
  <c r="H79" i="1"/>
  <c r="J120" i="1"/>
  <c r="H125" i="1"/>
  <c r="J213" i="1"/>
  <c r="J206" i="1" s="1"/>
  <c r="H206" i="1"/>
  <c r="J125" i="1"/>
  <c r="H30" i="1"/>
  <c r="H298" i="1"/>
  <c r="J300" i="1"/>
  <c r="J298" i="1" s="1"/>
  <c r="H160" i="1"/>
  <c r="J160" i="1"/>
  <c r="H274" i="1"/>
  <c r="H247" i="1"/>
  <c r="J276" i="1"/>
  <c r="J274" i="1" s="1"/>
  <c r="J247" i="1"/>
  <c r="H261" i="1"/>
  <c r="J262" i="1"/>
  <c r="J261" i="1" s="1"/>
  <c r="J295" i="1"/>
  <c r="J294" i="1" s="1"/>
  <c r="J291" i="1" s="1"/>
  <c r="H70" i="1" l="1"/>
  <c r="J70" i="1"/>
  <c r="J156" i="1"/>
  <c r="H156" i="1"/>
  <c r="J14" i="1" s="1"/>
  <c r="J16" i="1" l="1"/>
  <c r="J17" i="1" s="1"/>
  <c r="J18" i="1" s="1"/>
  <c r="J20" i="1" s="1"/>
  <c r="J19" i="1" s="1"/>
  <c r="J1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46" authorId="0" shapeId="0" xr:uid="{F79CB6CE-E08B-465E-A129-A4F21D1F98B9}">
      <text>
        <r>
          <rPr>
            <b/>
            <sz val="9"/>
            <color indexed="81"/>
            <rFont val="Tahoma"/>
            <family val="2"/>
            <charset val="238"/>
          </rPr>
          <t>Author:</t>
        </r>
        <r>
          <rPr>
            <sz val="9"/>
            <color indexed="81"/>
            <rFont val="Tahoma"/>
            <family val="2"/>
            <charset val="238"/>
          </rPr>
          <t xml:space="preserve">
Prethodno određena jedinična cijena </t>
        </r>
      </text>
    </comment>
    <comment ref="M90" authorId="0" shapeId="0" xr:uid="{2ED5840F-8B0F-4785-A798-1A70C5CE816D}">
      <text>
        <r>
          <rPr>
            <b/>
            <sz val="9"/>
            <color indexed="81"/>
            <rFont val="Tahoma"/>
            <family val="2"/>
            <charset val="238"/>
          </rPr>
          <t>Author:</t>
        </r>
        <r>
          <rPr>
            <sz val="9"/>
            <color indexed="81"/>
            <rFont val="Tahoma"/>
            <family val="2"/>
            <charset val="238"/>
          </rPr>
          <t xml:space="preserve">
Prethodno određena jedinična cijena </t>
        </r>
      </text>
    </comment>
    <comment ref="M94" authorId="0" shapeId="0" xr:uid="{5EF532CB-C3D7-4065-8E1B-1D6035DFAA70}">
      <text>
        <r>
          <rPr>
            <b/>
            <sz val="9"/>
            <color indexed="81"/>
            <rFont val="Tahoma"/>
            <family val="2"/>
            <charset val="238"/>
          </rPr>
          <t>Author:</t>
        </r>
        <r>
          <rPr>
            <sz val="9"/>
            <color indexed="81"/>
            <rFont val="Tahoma"/>
            <family val="2"/>
            <charset val="238"/>
          </rPr>
          <t xml:space="preserve">
Prethodno određena jedinična cijena </t>
        </r>
      </text>
    </comment>
  </commentList>
</comments>
</file>

<file path=xl/sharedStrings.xml><?xml version="1.0" encoding="utf-8"?>
<sst xmlns="http://schemas.openxmlformats.org/spreadsheetml/2006/main" count="1386" uniqueCount="727">
  <si>
    <t>Kaufland Hrvatska k.d.</t>
  </si>
  <si>
    <t>Donje svetice 14 10000 Zagreb, Hrvatska</t>
  </si>
  <si>
    <t>Broj telefona: 0994344287</t>
  </si>
  <si>
    <t>Projekt: Osijek-Retfala</t>
  </si>
  <si>
    <t>Gradilište: Svilajska ul., 31000 Osijek</t>
  </si>
  <si>
    <t>Ukupni neto iznos</t>
  </si>
  <si>
    <t>Popust</t>
  </si>
  <si>
    <t>Ukupni iznos s popustom</t>
  </si>
  <si>
    <t>Zakonska stopa PDV-a</t>
  </si>
  <si>
    <t>Ukupni bruto iznos</t>
  </si>
  <si>
    <t>Gotovinski popust/Rok u danima</t>
  </si>
  <si>
    <t>Ukupni bruto iznos (s gotovinskim popustom)</t>
  </si>
  <si>
    <t>Kod</t>
  </si>
  <si>
    <t>Vrsta</t>
  </si>
  <si>
    <t>Kratki opis</t>
  </si>
  <si>
    <t>Dugi opis</t>
  </si>
  <si>
    <t>Količina</t>
  </si>
  <si>
    <t>Jedinica</t>
  </si>
  <si>
    <t>Jedinična cijena</t>
  </si>
  <si>
    <t>Ukupno</t>
  </si>
  <si>
    <t>Stopa PDV-a</t>
  </si>
  <si>
    <t>bidderInputLabels</t>
  </si>
  <si>
    <t>200</t>
  </si>
  <si>
    <t>Građevinski i niskogradnja</t>
  </si>
  <si>
    <t>201</t>
  </si>
  <si>
    <t>Oprema gradilišta</t>
  </si>
  <si>
    <t>201.000</t>
  </si>
  <si>
    <t>Opći uvjeti i napomene</t>
  </si>
  <si>
    <t>ZTV - Dodatni tehnički uvjeti ugovora</t>
  </si>
  <si>
    <t>1.) Dodatni ugovoreni tehnički uvjeti dio su troškovnika te u slučaju ugovaranja postaju dio ugovora. Izvođač radova se dakle obavezuje na sve radove i primjene koje proizlaze iz ovih uvjeta te su one uračunate u cijenu, ukoliko nisu zasebno ponuđene.
2.) Cijene stavki se prikazuju kao neto iznos u državnoj valuti. Važeći zakonski propisani porez na dodanu vrijednost obračunava se zasebno.
3.) U slučaju proturječnosti dodatnih ugovorenih tehničkih uvjeta vrijede prvenstveno podaci iz troškovnika. U slučaju proturječnosti između troškovnika i tehničke dokumentacije koja se predaje prilikom natječaja, vrijedi tehnička dokumentacija.
4.) Prije početka davanja ponude, ponuditelj je dužan pažljivo pročitati kompletan tekst općih uvjeta uz troškovnik, općih i posebnih uvjeta uz svaku grupu radova, tekst samog troškovnika i ostale dijelove tehničke dokumentacije. Ako opis bilo koje stavke u troškovniku dovodi do sumnje o načinu izvedbe ili upotrebu gradiva zahtijevane kvalitete, treba prije predaje ponude zatražiti pojašnjenje od ovlaštene osobe Investitora. Naknadno pozivanje na manjkavost ili nepoznavanje projektno-tehničke dokumentacije ili opisa u troškovniku neće se uzeti u obzir, niti smatrati razlogom za produženje roka izvedbe, a niti će se priznati bilo kakva razlika u cijeni s tog naslova.
5.) Tehnička dokumentacija koja se predaje prilikom natječaja informativnog je karaktera, a ponuđač je dužan u svom trošku izvršiti kontrolu projektno tehničke dokumentacije u smislu točnosti, tehničke ispravnosti, izvedivosti i međusobne usklađenosti. Sve eventualne primjedbe ponuditelj/izvoditelj dužan je pravovremeno uz ponudu, a u svakom slučaju prije izvedbe u pisanom obliku dostaviti Nadzoru i Naručitelju
6.) Ponuditelj je dužan provesti i kontrolu lokacije na licu mjesta prije davanja ponude. Jedinične cijene za pojedine vrste radova sadrže i sve one posredne troškove koji nisu iskazani u troškovniku, ali su neminovni za izvršenje radova predviđenih projektom.
7.) Organizacija gradilišta uračunata je u cijenu, ukoliko nije ponuđena kao zasebna stavka.
8.) Dizalice za podizanje, skele, strojevi, alati, pomoćna sredstva i konstrukcije uzeti su u obzir te su uračunati u jediničnu cijenu.
9.) Skele za radove na fasadi i radove na krovu predmet su ovog natječaja. Ponuditelj smije koristiti postojeće skele uz poštivanje sigurnosnih uvjeta i na vlastitu odgovornost. Preinake na skelama nisu dozvoljene te se one moraju predati u ispravnom stanju u kojem su i preuzete.
10.) Kompletnu režiju gradilišta usigurava i rješava ponuditelj/izvođač i i uključena je u jediničnu cijenu.
11.) Ponuditelj je obvezan redovno prikupljati i ,pravilno skladištiti i odvoziti na ovlašteni deponij sve otpadne materijale, ostatke, krhotine, građevinski otpad, ambalaže, obični otpad i slično o vlastitom trošku. Kod odlaganja otpada potrebno je pridržavati se svih javnopravnih uputa i propisa.
12.) Onečišćenja koja uslijed radova nastaju na susjednim terenima, zgradama, putovima, cestama, trgovima i slično, izvođač radova treba svakodnevno čistiti.
13.) Izvođač preuzima odgovornost za osiguravanje, skladištenje i spremanje vlastite građevinske opreme, strojeva, uređaja, alata i slično. Jednako vrijedi i za građevinske materijale, elemente i za ugradnju određenih uređaja i objekata sve do primopredaje obavljenih građevinskih radova.
14.) Prilikom izvođenja radova, izvoditelj treba zaštititi sve susjedne plohe, dijelove konstrukcije i prethodno izvedene radove na prikladan način a u skladu sa pravilima zaštite na radu, tako da ne dođe do oštećenja istih. Troškove zaštite treba izvoditelj ukalkulirati u ponudbenu cijenu izvođenja radova. Ukoliko ipak dođe do oštećenja prethodno izvedenih radova za koje je odgovoran izvoditelj ili njegov kooperant, dužan je iste o svom trošku dovesti u stanje prije oštećenja ili naručiti iste radove kod drugog izvoditelja na svoj teret.
15.) Sve potrebne mjere prema javnopravnim uputama i propisima za sigurnost i zaštitu zdravlja trebaju se uzeti u obzir te ih se treba pridržavati prilikom izvođenja radova.
16.) Prilikom davanja ponude i izvođenja radova treba se uzeti u obzir, uračunati i pridržavati se
- svih državnih i javnopravnih zakona, smjernica i propisa
- svih odgovarajućih tehničkih standarda, pravila i smjernica
- općeprihvaćenih pravila tehnike
- uputa, propisa i napomena proizvođača za ugradnju i obradu
- Kauflandovih građevinskih opisa, ugovorenih uvjeta i ostalih Kauflandovih dokumenata i planova.
17.) Stavke troškovnika obuhvačaju konačno dovršenje radova definiranih po količini i kvaliteti, onosno podrazumijevaju se kao gotove, potpune i funkcionirajuće, uklj. sve potrebne male dijelove i sredstva za pričvršćivanje, pomoćne materijale i sredstva, podkonstrukcije itd., kao i sve dodatne i posebne usluge - čak i kada one nisu detaljno opisane.
18.) Ako su treće stranke uključene u izvođenje predradnji, izvođač radova ih treba provjeravati. U slučaju nepravilnosti ili prigovora pravovremeno treba informirati naručitelja, tako da može tehnički i organizacijski dovršiti poslove.
19.) Obavezno se treba pridržavati svih Kauflandovih proizvodnih uputa, osim ako postoje opravdani razlozi za odstupanje (npr. dostupnost). U tom slučaju izvođač treba ponuditi istovjetni proizvod ili sustav te potvrditi istovjetnost. O njoj odlučuje naručitelj.
20.) Sustavi se izvode isključivo pomoću komponenata koje su predviđene od strane proizvođača sustava.
21.) Svi materijali, građevinski elementi i uređaji koji neposredno utječu na izgled i funkcionalnost prije ugradnje se trebaju provjeriti. Ugrađuju se tek nakon što naručitelj ili ovlaštena osoba odobri ugradnju na gradilištu. O vrsti i obliku uzorka odlučuje naručitelj.
22.) Ako nije drukčije propisano, izmjene postojećih projektnih rješenja od strane ponuditelja/izvođača a koje utječu na mehaničku stabilnost, ponuditelj/izvođač je dužan u svom trošku ishoditi sve suglasnosti, dozvole i sl.
Projekt izvedenog stanja ukalkulirati u jedničnu cijenu te dostaviti Kauflandu u pisanom i digitalnom obliku.
23.) Svi radovi na objektu te primjenjeni sistemi gradnje moraju biti izvedeni prema pravilu struke, odnosnu u granicama dopuštenih tolerancija.
24.) Ukoliko je ugovoreni termin izvršenja objekta uključen i zimski odnosno ljetni period, to se neće posebno izvođaču priznavati na ime naknade za rad pri niskoj temperaturi, zaštita konstrukcija od hladnoće i vrućine, te atmosferskih nepogoda, sve mora biti uključeno u jediničnu cijenu. Za vrijeme zime objekat se mora zaštititi. Svi eventualni smrznuti dijelovi moraju se ukloniti i izvesti ponovo bez bilo kakve naplate. Ukoliko je temperatura niža od temperature pri kojoj je dozvoljen dotični rad, a Investitor ipak traži da se radi, Izvođač si ima pravo zaračunati naknadu po normi 6,006 ali u tom slučaju Izvođač snosi punu odgovornost za ispravnost i kvalitetu rada. To isto vrijedi i za zaštitu radova tokom ljeta od prebrzog sušenja uslijed visoke temperature.
25.) U jediničnu cijenu rada izvođač treba obuhvatiti i slijedeće radove, koji se neće zasebno platiti kao naknadni rad, čak i ako nisu izričito navedenei u troškovniku:
- sve vrste transporta građevinskih materijala, elemenata, uređaja, objekata itd. do mjesta ugradnje
- potrebne i uobičajene pripreme i predobrade tla
- sve vrste bušenja, zavarivanja, lijepljenja, malih dijelova, sredstava za pričvršćivanje, međupoložaja, izolacije, brtvljenja, folija, spojeva itd. koje su potrebne za priključak, montažu i pričvršćivanje građevinskih dijelova i elemenata
- stručna priprema i priključak na sve okolne dijelove, ugradbene i nadgradne elemente i propuste
- sve izrade kutova, spojnih površina i elemenata, završnih elemenata, slobodnih krajeva itd.
- sve podloge za montažu, priključak i pričvršćivanje kao što su beton, zidani elementi, čelik, aluminij, limovi, gips karton, itd.
- potrebne spojne, kose i okrugle rezove te ostatke rezanja
- Izrada otvora i proreza za instalacije i ugradbene elemente drugih izvođača
- interno povezivanje kablovima i priključak objekata, dovod prema električnim trošilima na gradilištu od strane elektro izvođača</t>
  </si>
  <si>
    <t/>
  </si>
  <si>
    <t>Dodatne opće informacije</t>
  </si>
  <si>
    <t>Ukoliko unutar opisa stavke nije navedeno drukčije, jediničnom cijenom obuhvatiti i:
- Proizvodnju odnosno dostavu
- Sastavljanje odnosno montažu
- Priključak
- Pripravnost i održavanje tijekom cijelog perioda izvođenja radova ili tijekom trajanja pojedine mjere
- Rastavljanje nakon završetka građevinske ili pojedine mjere, nakon što više nema potrebe ili nakon naredbe naručitelja
- Odvoz odnosno odlaganje
- sanitarni kontejner</t>
  </si>
  <si>
    <t>201.010</t>
  </si>
  <si>
    <t>Opći objekt na gradilištu</t>
  </si>
  <si>
    <t>201.010.00100</t>
  </si>
  <si>
    <t>- Općenita organizacija gradilišta</t>
  </si>
  <si>
    <t>Općenita organizacija gradilišta za sve radove koje su navedene u ovom troškovniku ili samo za one koje se odnose na izvođača, tijekom cijelog trajanja građevinskih radova do primopredaje, sastoji se od:
- Pripreme i izrade potrebnih pristupnih puteva unutar gradilišta i na spoju sa postojećom infrastrukturom, skladišnih površina i površina za postavljanje kontejnera na gradilištu
- Osiguravanja pristupa i izlaza s gradilišta, ishođenja svih potrebnih javnopravnih dozvola i realizacije odgovarajućih mjera i propisa
- Uređaja, kranova, dizala, alata i pomoćnih sredstava, itd. koji su potrebni za izvođenje radova izvođača i podizvođača.
- Skela, dizalica, radnih platformi, itd. koji su potrebni za izvođenje radova izvođača i podizvođača - ukoliko nisu zasebno navedeni u opisu stavke
- Čišćenja prometnih putova na terenu, javnih prometnica i pješačkih putova na terenu od nečistoća odnosno onečišćenja koje proizlaze iz radova, svakodnevno ili po potrebi
- Sigurnosnih prometnih mjera, pogotovo na prometnim putovima na terenu, javnim prometnicama i pješačkim putovima na terenu, uklj. čišćenje snijega
- Dnevnih smještaja, sanitarnih čvorova, kontejnera za skladištenje radnog materijala i alata za izvođača i njegove podizvođače
- Uklanjanje oštećenja koje nastaje tijekom izvođenja radova na susjednim ili javnim terenima, cestama, pješačkim putovima, itd.
- pribavljanja i pripreme dodatnih površina za organizaciju gradilišta koje će se nakon završetka radova ponovo vratiti u prvotno stanje - ukoliko površine koje je pripremio naručitelj nisu dovoljne
- Svih sigurnosnih mjera koje su potrebne prema državnim zakonskim propisima, kao što su pregrade, zaštite od propadanja ili pada, kako bi se osigurala opasna područja
- Izrade stepenica za hitne slučajeve, platforma, itd., kako bi se osigurao siguran pristup svim područjima na gradilištu
- Imenovanja voditelja gradilišta i osobe odgovorne za sigurnost na radu u skladu s državnim zakonskim propisima za sve usluge naručitelja i njegovih podizvođača
- Mjera za sprječavanje nezgoda na terenu, susjednim terenima, javnim prometnicama i putovima za kupce
- Oprema za prvu pomoć u skladu s javnopravnim propisima za naručitelja i sve njegove podizvođače te za treće stranke i naručitelja
- dodatne usluge i mjere koje su potrebne prema državnim zakonskim propisima i javnopravnim uputama
- Planiranje i provedba mogućih potrebnih mjera za sprječavanje buke</t>
  </si>
  <si>
    <t>paušal</t>
  </si>
  <si>
    <t>201.020</t>
  </si>
  <si>
    <t>Opskrba strujom i vodom na gradilištu</t>
  </si>
  <si>
    <t>201.020.00100</t>
  </si>
  <si>
    <t>- mrežno napajanje</t>
  </si>
  <si>
    <t>Potpuno spreman sustav opskrbe struje na gradilištu koji se sastoji od:
- Priključni ormar
- Ormara s brojilom
- Razvodi struje za gradilište (minimalno 6 x 16A/230V, 2 x 16A/400V, 1 x 32A/400V)
- Priključnih vodova
uklj. usklađivanje s distributerima, mrežne i priključne troškove, potrošnju i redovne tehničke provjere.
Izvedba u vanjskim prostorima s 2 komada, u unutarnjim prostorima na svakom katu na maksimalnoj udaljenosti od 50 m na vanjskom zidu te za opskrbu kontejnera.
Priključak na javnu mrežu s maksimalnim razmakom od 50 m počevši od granice terena.</t>
  </si>
  <si>
    <t>201.020.00110</t>
  </si>
  <si>
    <t>- gradilišna vodoopskrba</t>
  </si>
  <si>
    <t>Potpuno spreman sustav opskrbe vode na gradilištu koji se sastoji od:
- Brojila za vodu
- Mjesta za crpljenje
- Priključnih vodova
uklj. usklađivanje s distributerima, mrežne i priključne troškove te potrošnju.
Izvedba u vanjskim i unutarnjim prostorima s po 2 komada kao i za opskrbu kontejnera.
Priključak na javnu mrežu s maksimalnim razmakom od 10 m počevši od granice terena.</t>
  </si>
  <si>
    <t>kom</t>
  </si>
  <si>
    <t>m</t>
  </si>
  <si>
    <t>Ostali</t>
  </si>
  <si>
    <t>Prethodne napomene</t>
  </si>
  <si>
    <t>1.) Dodatni ugovoreni tehnički uvjeti su dio opisa usluga te u slučaju narudžbe postaju dio ugovora. Izvođač radova se dakle obavezuje na sve usluge i primjene koje proizlaze iz ovih uvjeta te su one uračunate u cijenu, ukoliko nisu zasebno ponuđene.
2.) Usluge se prikazuju kao neto iznos u državnoj valuti. Važeći zakonski propisani porez na dodanu vrijednost obračunava se zasebno.
3.) U slučaju proturječnosti dodatnih ugovorenih tehničkih uvjeta vrijede prvenstveno podaci iz popisa usluga. U slučaju proturječnosti između popisa usluga i planske dokumentacije koja se predaje prilikom natječaja, vrijedi planska dokumentacija.
4.) Ponuditelj se prije izdavanja ponude detaljno informirao o građevinskim zadaćama koje treba izvesti, ukoliko su povezane s ponuđenim i planiranim uslugama, tako da na temelju popisa usluga nema nikakvih nejasnoća kod obračuna. Naknadne reklamacije koje proizlaze iz nepoznavanja natječajne dokumentacije neće se uvažavati.
5.) Planovi i u njima navedeni objekti koji se izdaju prilikom natječaja služe za informaciju. Ta dokumentacija ponuditelja ne oslobađa od obveze za vlastitim pribavljanjem svih potrebnih informacija za određivanje cijene detaljnim pregledavanjem planskih dokumenata.
6.) Ponuditelj je posjetio lokacije kako bi procijenio sve potrebne usluge. Svi vidljivi uvjeti koji utječu na formiranje cijene uzeti su u obzir prilikom određivanja jedinične cijene.
7.) Organizacija gradilišta za vlastite potrebe uračunata je u cijenu, ukoliko nije ponuđena kao zasebna stavka.
8.) Sve potrebne naprave za podizanje, skele, strojevi, alati, pomoćna sredstva i konstrukcije uzeti su u obzir te su uračunati u cijenu.
9.) Skele za radove na fasadi i radove na krovu predmet su ovog natječaja. Ponuditelj smije koristiti postojeće skele uz poštivanje sigurnosnih uvjeta i na vlastitu odgovornost. Preinake na skelama nisu dozvoljene te se one moraju predati u ispravnom stanju u kojem su i preuzete.
10.) Struju i vodu na gradilištu osigurava odjeljak za organizaciju gradilišta od mjesta distribucije odnosno crpljenja za sve ostale usluge i radove.
11.) Ponuditelj je obvezan redovno prikupljati i pravilno odložiti sve otpadne materijale, ostatke, krhotine, građevinski otpad, ambalaže, obični otpad i slično o vlastitom trošku. Kod odlaganja otpada potrebno je pridržavati se svih javnopravnih uputa i propisa.
12.) Onečišćenja koja uslijed radova nastaju na susjednim terenima, zgradama, putovima, cestama, trgovima i slično, izvođač radova svakodnevno treba očistiti.
13.) Izvođač preuzima odgovornost za osiguravanje, skladištenje i spremanje vlastitih građevinskih naprava, strojeva, uređaja, alata i slično. Jednako vrijedi i za građevinske materijale, elemente i za ugradnju određenih uređaja i objekata sve do primopredaje obavljenih građevinskih usluga.
14.) Građevinski i konstrukcijski elementi se prilikom izvođenja radova odgovarajućim mjerama trebaju zaštititi od onečišćenja i oštećenja. Jednako tako i izvođač treba zaštititi vlastite usluge sve do primopredaje obavljenih građevinskih usluga.
15.) Sve potrebne mjere prema javnopravnim uputama i propisima za sigurnost i zaštitu zdravlja trebaju se uzeti u obzir te ih se treba pridržavati prilikom izvođenja radova.
16.) Prilikom izdavanja ponude i izvođenja radova treba se uzeti u obzir, uračunati i pridržavati se
- svih državnih i javnopravnih zakona, smjernica i propisa
- svih odgovarajućih tehničkih standarda, pravila i smjernica
- općeprihvaćenih pravila tehnike
- uputa, propisa i napomena proizvođača za ugradnju i obradu
- Kauflandovih građevinskih opisa, ugovorenih uvjeta i ostalih Kauflandovih dokumenata i planova
.
17.) Navedene usluge podrazumijevaju se kao gotove, potpune i funkcionirajuće, uklj. sve potrebne male dijelove i sredstva za pričvršćivanje, pomoćne materijale i sredstva, podkonstrukcije itd., kao i sve dodatne i posebne usluge - čak i kada one nisu detaljno opisane.
18.) Ako su treće stranke uključene u izvođenje predradnji, izvođač radova ih treba provjeravati. U slučaju nepravilnosti ili prigovora pravovremeno treba informirati naručitelja, tako da može tehnički i organizacijski dovršiti poslove.
19.) Obavezno se treba pridržavati svih Kauflandovih proizvodnih uputa, osim ako postoje opravdani razlozi za odstupanje (npr. dostupnost). U tom slučaju izvođač treba ponuditi istovjetni proizvod ili sustav te potvrditi istovjetnost. O njoj odlučuje naručitelj.
20.) Sustavi se izvode isključivo pomoću komponenata koje su predviđene od strane proizvođača sustava.
21.) Svi materijali, građevinski elementi i uređaji koji neposredno utječu na izgled i funkcionalnost prije ugradnje se trebaju provjeriti. Ugrađuju se tek nakon što naručitelj ili ovlaštena osoba odobri ugradnju na gradilištu. O vrsti i obliku predloška odlučuje naručitelj.
22.) Ukoliko nisu ponuđene kao posebne stavke, troškovi za projektiranje usluga trebaju se uračunati u cijene pojedinih radova. Opseg projektiranja ovisno o radnji i potrebi može uključivati lokalno mjerenje, statičke proračune, planiranje radova, proizvodnje, detalja i montaže na temelju Kauflandovih podataka i izradu revizijskih dokumenata.
23.) Sve konstrukcije, načini gradnje i sustavi moraju biti izvedeni tako da mogu prihvatiti odnosno kompenzirati uobičajene i dozvoljene tolerancije u pripremnim radovima odnosno u tlu.
24.) Otežane okolnosti koje su uvjetovane godišnjim dobom ili vremenskim uvjetima i koje se u normalnim uvjetima trebaju uzeti u obzir, ne predstavljaju opravdan razlog za dodatne troškove ili produženje rokova izvođenja. U slučaju dvojbe izvođač mora dokazati prisutnost izvanrednih okolnosti.
25.) Ovisno o gradilištu i uslugama potrebno je uzeti u obzir i uračunati sljedeće primjene i usluge, čak i ako nisu izričito navedene u popisu usluga:
- sve vrste transporta građevinskih materijala, elemenata, uređaja, objekata itd. do mjesta ugradnje
- potrebne i uobičajene pripreme i predobrade tla
- sve vrste bušenja, zavarivanja, lijepljenja, malih dijelova, sredstava za pričvršćivanje, međupoložaja, izolacije, brtvljenja, folija, spojeva itd. koje su potrebne za priključak, montažu i pričvršćivanje građevinskih dijelova i elemenata
- stručna priprema i priključak na sve okolne dijelove, ugradbene i nadgradne elemente i propuste
- sve izrade kutova, spojnih površina i elemenata, završnih elemenata, slobodnih krajeva itd.
- sve podloge za montažu, priključak i pričvršćivanje kao što su beton, zidani elementi, čelik, aluminij, limovi, gips karton, itd.
- potrebne spojne, kose i okrugle rezove te ostatke rezanja
- Izrada otvora i proreza za instalacije i ugradbene elemente drugih izvođača
- interno povezivanje kablovima i priključak objekata, dovod prema električnim trošilima na gradilištu od strane elektro izvođača</t>
  </si>
  <si>
    <t>m2</t>
  </si>
  <si>
    <t>m3</t>
  </si>
  <si>
    <t>204</t>
  </si>
  <si>
    <t>Posebni temelj</t>
  </si>
  <si>
    <t>204.000</t>
  </si>
  <si>
    <t>Razredi tla</t>
  </si>
  <si>
    <t>Razredi tla koji se navode u pozicijama definiraju se na sljedeći način:
Razred tla 1: Gornji pod
Razred tla 2: Tekuće vrste poda
Razred tla 3: Lako odvojive podne obloge
Razred tla 4: Srednje topljive vrste poda
Razred tla 5: Teško topljive vrste poda
Razred tla 6: Lako odvojivi kamen i slične vrste poda
Razred tla 7: Teško topljivi kamen
Vrijednosti štetnih tvari u tlu koje se navode u pozicijama definiraju se na sljedeći način:
Z0: neopterećen pod, ugradnja je moguća bez ograničenja
Z1: Mogućnost ugradnje je ograničena
Z2: Mogućnost ugradnje je vrlo ograničena
Razredi deponija za otpad koji se navode u pozicijama definiraju se na sljedeći način:
DK0: Deponij za mineralni otpad s niskim udjelom štetnih tvari. Radi se o redovnom deponiju za neopterećeni iskopni materijal i eventualni građevinski otpad ili usporedivi mineralni industrijski ili komercijalni otpad.
DKI: Deponij za srednje opterećeni (bezopasni) otpad. Radi se o redovnom deponiju za srednje opterećni iskopni materijal i građevinski otpad te usporedivi mineralni komercijalni otpad.
DKII: Deponij za opterećeni, ali bezopasni otpad. Radi se o redovnom deponiju za odlaganje predobrađenog kućnog otpada i usporedivog mineralnog komercijalnog otpada.</t>
  </si>
  <si>
    <t>Podaci i informacije o građevinskom terenu</t>
  </si>
  <si>
    <t>U sljedećim pozicijama potrebno je uzeti u obzir i uračunati sljedeće usluge, čak i ako nisu izričito navedene:
- sve podatke i informacije o građevinskom terenu i podzemnim vodama koji su navedeni u procjeni građevinskog terena
- Utvrđivanje stanja okolnih terena, objekata, putova, cesta, trgova i slično, uključujući protokoliranje
- Uklanjanje oštećenja okolnih terena, objekata, putova, cesta, trgova i slično koji nastaju uslijed radova
- Zaštitu postojećih stabala i grmlja
- Utvrđivanje i razmatranje potrebnih mjera za zaštitu (podzemnih) voda
- Utvrđivanje i razmatranje potrebnih mjera za zaštitu od buke
- lokalizaciju i po potrebi osiguravanje postojećih vodova i kanala u radnom području izvođača
- lokalizaciju i po potrebi osiguravanje građevinskih objekata u radnom području izvođača
- lokalizaciju i po potrebi osiguravanje iskolčenja, graničnih kamenja, referentnih točaka, visinskih oznaka, itd. u radnom području izvođača
- ishođenje potrebnih dozvola za iskop kod nadležnih tijela
- Međutransporte i skladištenja radnog materijala izvođača, npr. za stvaranje slobodnog prostora za druge radove
- Ručne radove ukoliko nije moguće koristiti strojeve
- Ishođenje potrebnih javnopravnih dozvola za postavljanje posebnih temelja
- Mjerenje i niveliranje usluga od zadanih mjernih točaka odnosno osi
- Vađenje ili rezanje pilota do planirane visine, uklj. spojnu armaturu
- Prihvat i odlaganje ostataka od bušenja
- Prihvat i odlaganje prekomjernog betona i žbuke
- Prihvat i odlaganje dodataka za bušenje i ispiranje
- stručna provedba svih potrebnih naknadnih obrada
- Zaštite na rubovima, zaštite od pada i propadanja u sklopu usluga, i nakon završetka provedbe</t>
  </si>
  <si>
    <t>204.010</t>
  </si>
  <si>
    <t>Bušenje pilota</t>
  </si>
  <si>
    <t>204.020</t>
  </si>
  <si>
    <t>Mikropiloti</t>
  </si>
  <si>
    <t>204.030</t>
  </si>
  <si>
    <t>Nodularni piloti od lijevanog željeza</t>
  </si>
  <si>
    <t>204.040</t>
  </si>
  <si>
    <t>Pa temelji</t>
  </si>
  <si>
    <t>204.050</t>
  </si>
  <si>
    <t>Šljunčani piloti</t>
  </si>
  <si>
    <t>204.060</t>
  </si>
  <si>
    <t>204.060.00100</t>
  </si>
  <si>
    <t>Retencija</t>
  </si>
  <si>
    <t>Dobava i ugradnja modularnog sustava za RETENCIJU oborinskih voda iz polipropilenskih skladišnih elemenata. Sustav se sastoji od jediničnog modula dimenzija: Š×V×D=60x91x120cm.
Korišteni sustav svojim karakteristikama mora osiguravati da montirana infiltracijska građevina:
- ima najmanje 97% ukupnog korisnog volumena;
- ima inspekcijski tunel min. pop. presjeka Š×V=100×500mm kako bi se omogućio slobodno kretanje inspekcijskim kamerama i opremi za čiščenje kroz sustav po dvijema osima (po uzdužnoj i poprečnoj osi montirane infiltracijske građevine);
- omogućava vizualnu kontrolu kroz jedan sloj sustava bez zapreka (pregrada) za jednostavniju kontrolu kamerom i smanjenje potrebnog broja inspekcijskih priključaka;
- bude sastavljena međusobnim spajanjem osnovnih elemenata metodom zidarskog preklopa čijim se korištenjem dobiva čvrsta i stabilna veza među jediničnim elementima (blokovima) istog sloja i koji osigurava bolju horizontalnu distribuciju vertikalnih opterečenja koja djeluju na sustav time povečavajuči stabilnost i trajsnost sustava.
- bude sastavljena od jediničnih elemenata koji imaju minimalnu tlačnu čvrstoću od 350 kN/m2.
Dimenzije sustava trebaju biti Š×V×D= 9,06×0,91×33,82 m, a minimalna korisna zapremnina 270 m3.
Projektom predviđena upotreba 4 inspekcijska okna integriranih u sustav (minimalni svijetli promjer okna 30cm), te detaljom definirana količina inspekcijskih priključaka za pristup u sustav njegovu kontrolu i održavanje (minimalni svijetli promjer 15cm).
Sve kao ACO STORMBRIXX SD900 ili jednakovrijedan.
Stavka NE UKLJUČUJE potreban materijal za BRTVLJENJE OVOJNICE RETENCIJE, te cijevi za povišenje inspekcijskih okana i priključaka od vrha spremnika do kote terena.</t>
  </si>
  <si>
    <t>204.060.00105</t>
  </si>
  <si>
    <t>Vodonepropusno brtvljenje retencije</t>
  </si>
  <si>
    <t>VODONEPROPUSNO BRTVLJENJE RETENCIJE
Dobava i ugradnja brtvenog sustav retencije, koji se sastoji iz:
unutarnjeg sloja geotekstila položenog na blokove, hidroizolacijske mebrane te vanjskog sloja geotekstila za osiguranje membrane od mehaničkog oštečenja.
Geotekstili se polažu s preklopom od min. 30 do 50 cm u podložnom i pokrovnom sloju geomembrane.
Geomembrana se spaja prikladnom metodom za ostvariravanje vodonepropusnog sloja (npr. s preklopom min. 8 cm metodom vrućeg spajanja dvostrukim varom za što izvoditelj mora imati obučene i ovlaštene zavarivače od proizvođača membrane.
Obračun po m2 razvijne površine, a količina, tip i oblik spojeva za varenje geomembrane prema detaljima iz projekta.</t>
  </si>
  <si>
    <t>204.060.00110</t>
  </si>
  <si>
    <t>Pregled retencije</t>
  </si>
  <si>
    <t>Pregled završene retencijske građevine CCTV kamerama s predajom pisanog izvještaja i snimke u digitalnom formatu nadzornom inženjeru. Pregled mora bit obavljen po završetku svih radova na cjelokupnoj odvodnoj instalaciji spojenoj na infiltracijsku građevinu. Pregled mora obuhvatiti bočne stranice sustava (kontrola oštečenja vanjske ovojnice) i podnicu sustava (kontrola nakupljanja/taloženja mulja u sustavu, te kontrola ravnosti podloge - pokretljivosti kamere) najmanje uzduž osi svih cijevnih priključaka.</t>
  </si>
  <si>
    <t>205</t>
  </si>
  <si>
    <t>Postavljanje listova</t>
  </si>
  <si>
    <t>205.000</t>
  </si>
  <si>
    <t>Opseg usluga</t>
  </si>
  <si>
    <t>U sljedećim pozicijama potrebno je uzeti u obzir i uračunati sljedeće usluge, čak i ako nisu izričito navedene:
- sve podatke i informacije o građevinskom terenu i podzemnim vodama koji su navedeni u procjeni građevinskog terena
- Utvrđivanje stanja okolnih terena, objekata, putova, cesta, trgova i slično, uključujući protokoliranje
- Uklanjanje oštećenja okolnih terena, objekata, putova, cesta, trgova i slično koji nastaju uslijed radova
- Zaštitu postojećih stabala i grmlja
- Utvrđivanje i razmatranje potrebnih mjera za zaštitu (podzemnih) voda
- Utvrđivanje i razmatranje potrebnih mjera za zaštitu od buke
- lokalizaciju i po potrebi osiguravanje postojećih vodova i kanala u radnom području izvođača
- lokalizaciju i po potrebi osiguravanje građevinskih objekata u radnom području izvođača
- lokalizaciju i po potrebi osiguravanje iskolčenja, graničnih kamenja, referentnih točaka, visinskih oznaka, itd. u radnom području izvođača
- ishođenje potrebnih dozvola za iskop kod nadležnih tijela
- ishođenje potrebnih dozvola kod postavljanja sidra na susjednim terenima
- Međutransporte i skladištenja radnog materijala izvođača, npr. za stvaranje slobodnog prostora za druge radove
- Ručne radove ukoliko nije moguće koristiti strojeve
- Ishođenje potrebnih javnopravnih dozvola za radove ugradnje
- Mjerenje i niveliranje usluga od zadanih mjernih točaka odnosno osi
- Vađenje ili rezanje pilota do planirane visine, uklj. spojnu armaturu
- Prihvat i odlaganje ostataka od bušenja
- Prihvat i odlaganje prekomjernog betona i žbuke
- Prihvat i odlaganje dodataka za bušenje i ispiranje
- stručna provedba svih potrebnih naknadnih obrada
- Zaštite na rubovima, zaštite od pada i propadanja u sklopu usluga, i nakon završetka provedbe</t>
  </si>
  <si>
    <t>205.010</t>
  </si>
  <si>
    <t>Zidovi zaštitnih pregrada</t>
  </si>
  <si>
    <t>205.020</t>
  </si>
  <si>
    <t>Potporni zidovi</t>
  </si>
  <si>
    <t>205.030</t>
  </si>
  <si>
    <t>Zidovi od pilota</t>
  </si>
  <si>
    <t>205.040</t>
  </si>
  <si>
    <t>Žljebasti zidovi</t>
  </si>
  <si>
    <t>205.050</t>
  </si>
  <si>
    <t>Zidovi s klinovima</t>
  </si>
  <si>
    <t>205.060</t>
  </si>
  <si>
    <t>Podloge</t>
  </si>
  <si>
    <t>205.070</t>
  </si>
  <si>
    <t>206</t>
  </si>
  <si>
    <t>Drenaža</t>
  </si>
  <si>
    <t>206.000</t>
  </si>
  <si>
    <t>Razvrstavanje podova</t>
  </si>
  <si>
    <t>Razgraničenje usluga odvodnje</t>
  </si>
  <si>
    <t>U sljedećim pozicijama potrebno je uzeti u obzir i uračunati sljedeće usluge, čak i ako nisu izričito navedene:
- sve podatke i informacije o građevinskom terenu i podzemnim vodama koji su navedeni u procjeni građevinskog terena
- Utvrđivanje stanja okolnih terena, objekata, putova, cesta, trgova i slično, uključujući protokoliranje
- Uklanjanje oštećenja okolnih terena, objekata, putova, cesta, trgova i slično koji nastaju uslijed radova
- Zaštitu postojećih stabala i grmlja
- Utvrđivanje i razmatranje potrebnih mjera za zaštitu (podzemnih) voda
- lokalizaciju i po potrebi osiguravanje postojećih vodova i kanala u radnom području izvođača
- lokalizaciju i po potrebi osiguravanje građevinskih objekata u radnom području izvođača
- lokalizaciju i po potrebi osiguravanje iskolčenja, graničnih kamenja, referentnih točaka, visinskih oznaka, itd. u radnom području izvođača
- ishođenje potrebnih dozvola za iskop kod nadležnih tijela
- Međutransporte i skladištenja radnog materijala izvođača, npr. za stvaranje slobodnog prostora za druge radove
- Ručne radove ukoliko nije moguće koristiti strojeve
- Ishođenje potrebnih javnopravnih dozvola za odvođenje vode</t>
  </si>
  <si>
    <t>206.010</t>
  </si>
  <si>
    <t>Otvorena drenaža</t>
  </si>
  <si>
    <t>206.020</t>
  </si>
  <si>
    <t>Zatvorena drenaža</t>
  </si>
  <si>
    <t>206.030</t>
  </si>
  <si>
    <t>Prijenosi kanalizacije</t>
  </si>
  <si>
    <t>206.040</t>
  </si>
  <si>
    <t>207</t>
  </si>
  <si>
    <t>Drenažni / dovodni vodovi</t>
  </si>
  <si>
    <t>207.000</t>
  </si>
  <si>
    <t>Razgraničenje odvodnih / opskrbnih vodova usluga</t>
  </si>
  <si>
    <t>U sljedećim pozicijama potrebno je uzeti u obzir i uračunati sljedeće usluge, čak i ako nisu izričito navedene:
- Mjerenje i niveliranje usluga od zadanih mjernih točaka odnosno osi
- Izrada odnosno zatvaranje fugama uključuje nanošenje žbuke i trajno elastično brtvljenje pomoću konopa ili PU mase za fugiranje.
- Zaštite na rubovima, zaštite od pada i propadanja u sklopu usluga, i nakon završetka montaže
- Iskop jarka za cijev i polaganje cijevi uključeni su u zemljane radove</t>
  </si>
  <si>
    <t>207.010</t>
  </si>
  <si>
    <t>PVC cijevi</t>
  </si>
  <si>
    <t>207.010.00100</t>
  </si>
  <si>
    <t>Nabava, doprema i montaža kanalizacijskih cijevi (KG) od PVC-a prema DIN EN 13476 s ojačanom spojnicom i integriranom brtvom te ugraditi vodonepropusno i spojiti u jednoj liniji i na ispravnoj visini na pripremljenu posteljicu u nagibu, uključujući dijelove za spajanje, priključke i sve fazonske komade kao što su koljena, račve, redukcije, itd.
Primjena: Otpadne i oborinske vode
Nazivni promjer: DN100</t>
  </si>
  <si>
    <t>207.010.00105</t>
  </si>
  <si>
    <t>x..EW3..x - kanalizacijske cijevi PVC, DN150</t>
  </si>
  <si>
    <t>Nabava, doprema i montaža kanalizacijskih cijevi (KG) od PVC-a prema DIN EN 13476 s ojačanom spojnicom i integriranom brtvom te ugraditi vodonepropusno i spojiti u jednoj liniji i na ispravnoj visini na pripremljenu posteljicu u nagibu, uključujući dijelove za spajanje, priključke i sve fazonske komade kao što su koljena, račve, redukcije, itd.
Primjena: Otpadne i oborinske vode
Nazivni promjer: DN150</t>
  </si>
  <si>
    <t>207.010.00110</t>
  </si>
  <si>
    <t>x..EW3..x - kanalizacijske cijevi PVC, DN200 za slivničke priključke</t>
  </si>
  <si>
    <t>Nabava, doprema i montaža kanalizacijskih cijevi (KG) od PVC-a prema DIN EN 13476 s ojačanom spojnicom i integriranom brtvom te ugraditi vodonepropusno i spojiti u jednoj liniji i na ispravnoj visini na pripremljenu posteljicu u nagibu, uključujući dijelove za spajanje, priključke i sve fazonske komade kao što su koljena, račve, redukcije, itd.
Primjena: Otpadne i oborinske vode
Nazivni promjer: DN200</t>
  </si>
  <si>
    <t>207.020</t>
  </si>
  <si>
    <t>PP cijevi</t>
  </si>
  <si>
    <t>207.030</t>
  </si>
  <si>
    <t>Linije izrađene od PP kompozitnih cijevi</t>
  </si>
  <si>
    <t>207.030.00100</t>
  </si>
  <si>
    <t>- Kanalizacijske cijevi PP kompozitna cijev, SN 8, DN150</t>
  </si>
  <si>
    <t>Nabava, doprema i montaža kanalizacijskih cijevi kao i spojnih komada od PP-a s profiliranim vanjskim rubovima i glatkom unutarnjom površinom prema DIN EN 13476 s dvostrukim spojnicama i brtvenim prstenima nepropusno spojiti i postaviti u jednoj liniji i na ispravnoj visini na pripremljenu posteljicu u nagibu, uklj. dijelove za spajanje, priključke i sve fazonske komade kao što su koljena, račve, redukcije, itd.
Primjena: Otpadne i oborinske vode
Nazivni promjer: DN150
Krutost prstena: SN 8</t>
  </si>
  <si>
    <t>207.030.00105</t>
  </si>
  <si>
    <t>- Kanalizacijske cijevi PP kompozitna cijev, SN 8, DN200</t>
  </si>
  <si>
    <t>Nabava, doprema i montaža kanalizacijskih cijevi kao i spojnih komada od PP-a s profiliranim vanjskim rubovima i glatkom unutarnjom površinom prema DIN EN 13476 s dvostrukim spojnicama i brtvenim prstenima nepropusno spojiti i postaviti u jednoj liniji i na ispravnoj visini na pripremljenu posteljicu u nagibu, uklj. dijelove za spajanje, priključke i sve fazonske komade kao što su koljena, račve, redukcije, itd.
Primjena: Otpadne i oborinske vode
Nazivni promjer: DN200
Krutost prstena: SN 8</t>
  </si>
  <si>
    <t>207.030.00110</t>
  </si>
  <si>
    <t>- Kanalizacijske cijevi PP kompozitna cijev, SN 8, DN250</t>
  </si>
  <si>
    <t>Nabava, doprema i montaža kanalizacijskih cijevi kao i spojnih komada od PP-a s profiliranim vanjskim rubovima i glatkom unutarnjom površinom prema DIN EN 13476 s dvostrukim spojnicama i brtvenim prstenima nepropusno spojiti i postaviti u jednoj liniji i na ispravnoj visini na pripremljenu posteljicu u nagibu, uklj. dijelove za spajanje, priključke i sve fazonske komade kao što su koljena, račve, redukcije, itd.
Primjena: Otpadne i oborinske vode
Nazivni promjer: DN250
Krutost prstena: SN 8</t>
  </si>
  <si>
    <t>207.030.00115</t>
  </si>
  <si>
    <t>- Kanalizacijske cijevi PP kompozitna cijev, SN 8, DN300</t>
  </si>
  <si>
    <t>Nabava, doprema i montaža kanalizacijskih cijevi kao i spojnih komada od PP-a s profiliranim vanjskim rubovima i glatkom unutarnjom površinom prema DIN EN 13476 s dvostrukim spojnicama i brtvenim prstenima nepropusno spojiti i postaviti u jednoj liniji i na ispravnoj visini na pripremljenu posteljicu u nagibu, uklj. dijelove za spajanje, priključke i sve fazonske komade kao što su koljena, račve, redukcije, itd.
Primjena: Otpadne i oborinske vode
Nazivni promjer: DN300
Krutost prstena: SN 8</t>
  </si>
  <si>
    <t>207.030.00120</t>
  </si>
  <si>
    <t>- Kanalizacijske cijevi PP kompozitna cijev, SN 16, DN300 za cestovnu oborinsku odvodnju</t>
  </si>
  <si>
    <t>Kanalizacijske cijevi kao spojne cijevi od PP-a s profiliranim vanjskim rubovima i glatkom unutarnjom površinom prema DIN EN 13476 s dvostrukim spojnicama i brtvenim prstenima nepropusno spojiti i postaviti u jednoj liniji i na ispravnoj visini na postelju od pijeska, kamenja ili finog šljunka u nagibu, uklj. dijelove za spajanje, priključke i sve oblikovane komade kao što su lukovi, grananja, redukcije, itd.
Primjena: Otpadne i oborinske vode
Nazivni promjer: DN300
Krutost prstena: SN 16</t>
  </si>
  <si>
    <t>207.030.00125</t>
  </si>
  <si>
    <t>- Kanalizacijske cijevi PP kompozitna cijev, SN 16, DN400 za cestovnu oborinsku odvodnju</t>
  </si>
  <si>
    <t>Kanalizacijske cijevi kao spojne cijevi od PP-a s profiliranim vanjskim rubovima i glatkom unutarnjom površinom prema DIN EN 13476 s dvostrukim spojnicama i brtvenim prstenima nepropusno spojiti i postaviti u jednoj liniji i na ispravnoj visini na postelju od pijeska, kamenja ili finog šljunka u nagibu, uklj. dijelove za spajanje, priključke i sve oblikovane komade kao što su lukovi, grananja, redukcije, itd.
Primjena: Otpadne i oborinske vode
Nazivni promjer: DN400
Krutost prstena: SN 16</t>
  </si>
  <si>
    <t>207.040</t>
  </si>
  <si>
    <t>Linije od PE-HD kompozitnih cijevi</t>
  </si>
  <si>
    <t>207.050</t>
  </si>
  <si>
    <t>SML cijevi</t>
  </si>
  <si>
    <t>207.060</t>
  </si>
  <si>
    <t>Betonske cijevi</t>
  </si>
  <si>
    <t>207.070</t>
  </si>
  <si>
    <t>PE-HD tlačne cijevi</t>
  </si>
  <si>
    <t>207.070.00100</t>
  </si>
  <si>
    <t>- Tlačne cijevi PE-HD, DN40</t>
  </si>
  <si>
    <t>Tlačne cijevi od PE-HD-a prema DIN EN 12201 isporučiti kao pojedinačne komade ili spojene u prsten, pomoću zavarenih spojnica nepropusno spojiti i postaviti u jednoj liniji i na ispravnoj visini na pripremljenu posteljicu u nagibu, uklj. dijelove za spajanje, priključke i sve oblikovane komade kao što su koljena, račve, redukcije, itd.
Primjena: Opskrba plinom, pitkom vodom ili vodom za gašenje požara
Boja: sukladno primjeni
Razina tlaka: PN 16
Nazivni promjer: DN40</t>
  </si>
  <si>
    <t>207.070.00105</t>
  </si>
  <si>
    <t>- Tlačne cijevi PE-HD, DN100</t>
  </si>
  <si>
    <t>Tlačne cijevi od PE-HD-a prema DIN EN 12201 isporučiti kao pojedinačne komade ili spojene u prsten, pomoću zavarenih spojnica nepropusno spojiti i postaviti u jednoj liniji i na ispravnoj visini na pripremljenu posteljicu u nagibu, uklj. dijelove za spajanje, priključke i sve oblikovane komade kao što su koljena, račve, redukcije, itd.
Primjena: Opskrba plinom, pitkom vodom ili vodom za gašenje požara
Boja: sukladno primjeni
Razina tlaka: PN 16
Nazivni promjer: DN100</t>
  </si>
  <si>
    <t>207.070.00110</t>
  </si>
  <si>
    <t>- Tlačne cijevi PE-HD, DN150</t>
  </si>
  <si>
    <t>Tlačne cijevi od PE-HD-a prema DIN EN 12201 isporučiti kao pojedinačne komade ili spojene u prsten, pomoću zavarenih spojnica nepropusno spojiti i postaviti u jednoj liniji i na ispravnoj visini na pripremljenu posteljicu u nagibu, uklj. dijelove za spajanje, priključke i sve oblikovane komade kao što su koljena, račve, redukcije, itd.
Primjena: Opskrba plinom, pitkom vodom ili vodom za gašenje požara
Boja: sukladno primjeni
Razina tlaka: PN 16
Nazivni promjer: DN150</t>
  </si>
  <si>
    <t>207.070.00115</t>
  </si>
  <si>
    <t>- Tlačne cijevi PE-HD, DN200</t>
  </si>
  <si>
    <t>Tlačne cijevi od PE-HD-a prema DIN EN 12201 isporučiti kao pojedinačne komade ili spojene u prsten, pomoću zavarenih spojnica nepropusno spojiti i postaviti u jednoj liniji i na ispravnoj visini na pripremljenu posteljicu u nagibu, uklj. dijelove za spajanje, priključke i sve oblikovane komade kao što su koljena, račve, redukcije, itd.
Primjena: Opskrba plinom, pitkom vodom ili vodom za gašenje požara
Boja: sukladno primjeni
Razina tlaka: PN 16
Nazivni promjer: DN200</t>
  </si>
  <si>
    <t>207.070.00300</t>
  </si>
  <si>
    <t>207.070.00600</t>
  </si>
  <si>
    <t>- Tlačne cijevi PE-HD, DN80</t>
  </si>
  <si>
    <t>Tlačne cijevi od PE-HD-a prema DIN EN 12201 isporučiti kao pojedinačne komade ili spojene u prsten, pomoću zavarenih spojnica nepropusno spojiti i postaviti u jednoj liniji i na ispravnoj visini na pripremljenu posteljicu u nagibu, uklj. dijelove za spajanje, priključke i sve oblikovane komade kao što su koljena, račve, redukcije, itd.
Primjena: Opskrba plinom, pitkom vodom ili vodom za gašenje požara
Boja: sukladno primjeni
Razina tlaka: PN 16
Nazivni promjer: DN80</t>
  </si>
  <si>
    <t>207.070.00700</t>
  </si>
  <si>
    <t>207.070.00900</t>
  </si>
  <si>
    <t>207.070.01000</t>
  </si>
  <si>
    <t>207.080</t>
  </si>
  <si>
    <t>Kabelski kanali</t>
  </si>
  <si>
    <t>207.090</t>
  </si>
  <si>
    <t>šahtovi</t>
  </si>
  <si>
    <t>207.090.00100</t>
  </si>
  <si>
    <t>- Betonski šaht</t>
  </si>
  <si>
    <t>Nabava, doprema i motaža okruglog tipskog betonskog okna (kao tip KBS 12, Samoborka ili jednako vrijedno) koji se sastoji od: Baza montažnog okna je donji element okna unutarnjeg promjera 1000 mm, sa ugrađenim penjalicama i po potrebi i svim projektiranim otvorima za uljeve i odvod. Baze montažnog okna izrađene su postupkom vibroprešanja od betona C 30/37. Za ubetoniravanje spojnog elementa u stjenci okna se izbuši otvor čiji promjer ovisi o promjeru priključne cijevi. Odgovarajuća spojnica se postavi u otvor i ubetonira (C 30/37 S2; Cl 0,20; Dmax=16; VDP3) u stjenku (zid) baze okna. Priključke je moguće izvoditi pod svim zahtjevanim kutevima. Uvodnice (spojnice) se ugrađuju na zahtjev izvođača koji je iste dužan i dostaviti. Prsteni montažnog okna su elementi okna unutarnjeg promjera 1200 mm , a proizvode se u tri različite visine: 250 mm (KBS P/25), 500 mm (KBS P/50), i 1000 mm (KBS P/100), a služe za svladavanje visinske razlike (kao međuelementi između baze okna i završetka).
Svi elementi imaju ugrađene penjalice.Prsteni montažnog okna izrađeni su postupkom vibroprešanja od betona C 30/37. Završetak montažog revizijskog okna smanjuje promjer sa 1200 mm na 625 mm – promjer ljevano-željeznog poklopca (nosivost za teški promet xy). Konusni je završetak (KBS Z konusni) visine 68 cm, dok je ravni završetak (KBS Z ravni) visine 31 cm. Oba su elementa izrađena od betona C 30/37. Revizijsko okno uz obaveznu upotrebu gumenih brtvi za vertikalno spajanje elemenata (baza, prsten, završetak) osigurava potpuno vodonepropusan kanalizacijski sustav. Udovoljava uvjetima norme HRN EN 1917:2005. Obračun po komadu gotovog okna. Obračun se vrši po komadu kompletno izvedenog revizionog okna, uključivo ugradnju RDS prstena za prolaz PVC cijevi kroz betonski zid okna, oplatu zidova i ploča sa podupiranjem, te sve prenose.
Dimenzije: 1000
Dubina kanala: do 2,5 m
Priključci za cijevi: od DN150 do DN400
Razred opterećenja: prema mjestu ugradnje</t>
  </si>
  <si>
    <t>207.090.00105</t>
  </si>
  <si>
    <t>- Lijevano željezni poklopac di600, nosivosti D400</t>
  </si>
  <si>
    <t>Nabava, doprema i montaža okruglih ljevano željeznih poklopaca svijetlog otvora Ø 563 mm sa okvirom za pješačku zonu nosivosti D400 kN (HRN-EN 124). Obračun se vrši po komadu kompletno montiranog poklopca sa okvirom.</t>
  </si>
  <si>
    <t>kom.</t>
  </si>
  <si>
    <t>207.100</t>
  </si>
  <si>
    <t>207.110</t>
  </si>
  <si>
    <t>Sustavi za razdvajanje</t>
  </si>
  <si>
    <t>207.110.00100</t>
  </si>
  <si>
    <t>x... SKA1 - koalescentni separator NS 10/100</t>
  </si>
  <si>
    <t>Separator lakih tekućina s mimotokom 100. Dobava i ugradnja separatora lakih tekućina s bypassom. Separator mora biti konstruiran, izrađen i testiran prema HRN EN 858, što se dokazuje izjavom o svojstvima i pripadajućim izvještajem laboratorijskog ispitivanja učinkovitosti (za dani protok separatora). Separator nazivne veličine NS10 (protok kroz separator 10 l/s) dok je ukupni protok Qmax=100 l/s. Separator mora imati učinkovitosti izdvajanja lakih tekućina klase I - lakih tekućina u izlaznoj vodi do 5mg/l.</t>
  </si>
  <si>
    <t>Stk.</t>
  </si>
  <si>
    <t>207.110.00101</t>
  </si>
  <si>
    <t>Separator masti - mastolov</t>
  </si>
  <si>
    <t>Nabava, dobava i ugradnja separatora masti biljnog i životinjskog porijekla iz centrifugalno lijevanog polietilena. Separator mora biti konstruiran, izrađen i testiran prema HRN EN 1825 nazivne veličine NSx. Separator treba biti siguran od djelovanja sila uzgona do visine podzemne vode do 1m ispod poklopca separatora. Unutarnji elementi separatora trebaju biti izrađeni iz PEHD-a (otpornos na masne kiseline). Separator mora imati Integriranu taložnicu zapremnine najmanje xy litara, dok ukupni volumen ne smije biti veći od xyz lit. Za ugradnju separatora nisu potrebni nikakvi radovi betoniranja. Sve kao ACO LIPUMAX P-B NSx STxyz. Kontrola i pražnjenje separatora se vrši preko poklopca. Pristup u separator treba biti u skladu s HRN EN 476. Priključak uljeva treba biti DN100 utični spoj s kliznom brtvom. Dubina uljevne cijevi, mjereno od kote poklopca do kote dna cijevi uljeva T= xyz m. Separator se treba isporučivati s plinotijesnim poklopcem klase nosivosti xzy, svijetlog otvora promjera 600mm s natpisom "SEPARATOR". Obračun se vrši po kompletno montiranom separatoru masti do pune funkcije.</t>
  </si>
  <si>
    <t>207.120</t>
  </si>
  <si>
    <t>Sustavi za podizanje</t>
  </si>
  <si>
    <t>207.120.00100</t>
  </si>
  <si>
    <t>Hidrostanica povišenje i održavanje tlaka - protupožarna hidrostanica</t>
  </si>
  <si>
    <t>Nabava, doprema i montaža hidrostanice za povišenje i održavanje tlaka za vanjsku i unutarnju hidrantsku mrežu. Hidrostanica se priključuje na spremnik vode. Protupožarna hidrostanica karakteristika:
Radna točka 1 :
Q=2,5 l/s, H= 43 m
Režim rada – 1 radna crpka
Radna točka 2 :
Q=30 l/s, H= 43 m
Režim rada – 3 radne crpke + 1 rezervna crpka
Protupožarna hidrostanica GRUNDFOS HYDRO MPC-E 4 CRIE32-2 LOW NPSH s četri paralelno spojene crpke tipa CRIE32-2 LOW NPSH sa pojačanom usisnom visinom montirane na zajednički okvir, ulaznim i izlaznim kolektorom DN150 (sve od nehrđajućeg čelika EN/DIN 1.4571/ AISI 316 TI), armaturom, ormarićem za upravljanje GRUNDFOS CONTROL MPC sa ugrađenom mikroprocesorom kontroliranom jedinicom GRUNDFOS CU352 s LCD zaslonom, mogućnošću automatske kaskadne kontrole crpki, frekventnom regulacijom, automatskom samokontrolom crpki te funkcijama zaštite i monitoringa crpki.
Ugrađene crpke su vertikalne, in line crpke s patronskim mehaničkim brtvama, frekventno reguliranim motorima klase energetske efikasnosti IE5 i ugrađenom termičkom zaštitom, izrađene iz nehrđajućeg čelika AISI 304.
Nepovratni ventili moraju biti ugrađeni na usisnim stranama crpki.
Indeks minimalne efikasnosti MEI ≥0,70.
Hidrostanica osim u reżimu konstantnog tlaka mora raditi i u reżimu proporcionalnog tlaka.
Sa hidrostanicom isporučiti i membranski spremnik kapaciteta 100 lit, PN10 bar te plovak za zaštitu od rada na suho.
Puštanje u pogon hidrostanice treba biti izvedeno od strane servisa ovlaštenog od proizvođača GRUNDFOS.
Obračun se vrši po kompletu kompletno montirane hidrostanice, ispitane sa pribavljenim Uvjerenjima do pune funkcije.</t>
  </si>
  <si>
    <t>207.120.00105</t>
  </si>
  <si>
    <t>Prepumpno okno - sanitarno fekalne kanalizacije</t>
  </si>
  <si>
    <t>Nabava, doprema i ugradnja potopne kanalizacijska crpka Grundfos SLV.65.65.11.2.50B
Radna točka :
Q = 4 [l/s]
H = 4,5 [m]
• Jedna radna + jedna rezervna crpka (1+1)
Uronjiva kanalizacijska crpka Grundfos tip SLV.65.65.11.2.50B u mokroj izvedbi. Sljedećih tehničkih karakteristika:
Tip impelera: Vortex
Maksimalna veličina čestica: 65 [mm]
Materijal kućišta crpke: Lijevano željezo EN-GJL-250
Materijal impelera: Lijevano željezo EN-GJS-400-15
Izlaz crpke: DN65
Frekvencija glavne mreže: 50 [Hz]
Nazivni napon: 3 x 400-415 [V]
Ulazna snaga (P1): 1,6 [kW]
Nazivna snaga (P2): 1,1 [kW]
Nazivna struja: 3,1 [A]
Nazivna brzina: 2830 [min-1]
Maks. broj pokretanja po satu: 30
Neto masa: 46,5 [kg]
S crpkom se isporučuje sljedeći prateći pribor:
- 10 [m] kabela
- lanac iz nehrđajućeg čelika
Uška za dizanje, spojni vijci i spona motora crpke su izrađeni od INOX materijala.
Brtvljenje je izvedeno dvostrukom osovinskom brtvom patronskog tipa u uljnoj komori.
Antikorozijska zaštita crpke: kataforetski premaz + epoxy premaz.
Crpka je opremljena termičkom zaštitom i zaštitom od prodora vlage.
Uz pumpe u stavci uključena i armatura te fazonski komadi kao i sav spojni i brtveni materijal prema detalju nacrta prepumpnog okna, te puštanje u pogon.</t>
  </si>
  <si>
    <t>207.120.00110</t>
  </si>
  <si>
    <t>Upravljački ormar prepumpne stanice</t>
  </si>
  <si>
    <t>Upravljački ormarić za unutarnju ugradnju Grundfos tip LC 231 za dvije crpke s regulacijskom jedinicom i sljedećim mogućnostima:
- mogućnost automatskog izmjeničnog rada crpki,
- regulacija rada dviju crpki na osnovi analognog signala (hidrostatska sonda; 0-5 V, 0.5-3.5 V, 0-10 V, 0-20 mA, 4-20 mA) ili digitalnog (plovka),
- podržava odabir do 5 kontrolnih razina pomoću analogne hidrostatske sonde ili plovka,
- omogućava i jednostavnu regulaciju preko samo jednog plovka,
- moguća konfiguracija ulazno/izlaznih signala na stezaljkama koji mogu biti digitalni ili analogni ( PT100/PT1000 ) prilagođeno potrebnoj aplikaciji,
- prevencija preopterećenja mreže kada se više crpnih stanica pokreće u isto vrijeme pomoću odgode pokretanja crpki,
- zaštita od hidrauličnog udara odgodom istodobnog pokretanja više crpki, te simultanog pokretanja jedne crpke,
- automatsko restartanje alarma,
- postavljanje odgode gašenja pumpe prema postavljenim uvjetima,
- prikaz razine tekućine,
- prikaz alarma sa zvučnim signalom,
- prikaz alarma za krivi redoslijed faza, preopterećenje, rad na suho, visoku razinu tekućine, pregrijavanje motora, detekciju vlage, kvara u opskrbi strujom, greške senzora, preveliki broj uključenja
Mogućnost nadogradnje kartice za upravljanje i nadzor preko CNUS-a.
Specifikacije ormarića Grundfos tip LC 231
Broj pumpi: 2
Materijal ormarića: Plastika
Raspon temperature okoline: -25 .. 40 °C
Postavljanje ormara: Zidno
Uzemljenje: N, PE
Frekvencija glavne mreže: 50 Hz
Nazivni napon: 3 x 200-460 V
Nazivna struja : 1-9 A
Metoda startanja: Direct-on-line (DOL)
Klasa zaštite (IEC 34-5): IP54</t>
  </si>
  <si>
    <t>207.120.00115</t>
  </si>
  <si>
    <t>Potopna pumpa</t>
  </si>
  <si>
    <t>Nabava, doprema i ugradnja pumpe za prepumpavanje vode iz vodomjernog okna.
Potrebna pumpa sa sljedećim karakteristikama:
Q= 1,00 lit/sek
H= 5,0 m
0,25 kW ( jednofazna)
U cijenu uključiti potrebne fazonse komade i potreban materijal do pune funkcije pumpe. Obračun po komadu montirane pumpe sa svim potrebnim za montažu i provjeru na nepropusnost spojeva.</t>
  </si>
  <si>
    <t>207.130</t>
  </si>
  <si>
    <t>207.130.00100</t>
  </si>
  <si>
    <t>- ispitivanje tlaka odvodnih cijevi</t>
  </si>
  <si>
    <t>Provedba ispitivanja tlaka u svim gore navedenim Odvodnim cijevima s različitim dimenzijama prema državnim tehničkim propisima u dijelovima, uklj. pripremu cijevi i pripadajuću dokumentaciju, za provjeru nepropusnosti.</t>
  </si>
  <si>
    <t>psch</t>
  </si>
  <si>
    <t>207.130.000105</t>
  </si>
  <si>
    <t>- tlačno ispitivanje tlačnih vodova</t>
  </si>
  <si>
    <t>Provedba ispitivanja tlaka u svim gore navedenim Tlačnim cijevima s različitim dimenzijama prema državnim tehničkim propisima u dijelovima, uklj. pripremu cijevi i pripadajuću dokumentaciju, za provjeru nepropusnosti.</t>
  </si>
  <si>
    <t>208</t>
  </si>
  <si>
    <t>Betonski i armirano betonski radovi</t>
  </si>
  <si>
    <t>208.000</t>
  </si>
  <si>
    <t>Vidljive betonske površine</t>
  </si>
  <si>
    <t>Za vidljive betonske površine vrijede sljedeći uvjeti:
Razred vidljivog betona SB1:
- Betonske površine s niskim dizajnerskim zahtjevima
- Tektura: Većinski zatvorena površina od cementnog ljepila odnosno žbuke, dopušta se prodiranje cementnog ljepila/fine žbuke u oplate do širine od ca. 20 mm i dubine od ca. 10 mm, dopušten je otisak okvira oplate
- Poroznost: Udio od maks. 3.000 mm2 pora s promjerom unutar granica 2 mm &lt; d &lt; 15 mm (po ispitanoj površini veličine 500 mm x 500 mm)
- Jednolikost boje: Dozvoljene su svjetle/tamne mrlje, mrlje od rđe i prljavštine nisu dozvoljene
- Ravnost: Zahtjevi ravnosti površine prema DIN 18202, tablici 3, retku 5 (neobrađeni zidovi i donje strane grubih stropova)
- Fuge na radnim površinama i oplatama: Razmak između dvaju betonskih dijelova do ca. 10 mm je dopušten
- Razred oplata SHK1: Bušene rupe zatvoriti plastičnim čepovima, rupe od čavala i vijaka su dopuštene, oštećenja na oplatama od vibratora za beton su dopuštena, ogrebotine su dopuštene, ostaci betona u procjepima (rupama od čavala, udubinama, itd.) su dopušteni, bez zalijepljenih komada, tragovi cementa su dopušteni, savijanje oplate u području vijaka i čavala je dopušteno, popravci su dopušteni
Razred oplata SB2:
- Betonske površine s normalnim dizajnerskim zahtjevima
- Tektura: Zatvorena i većinski jednolika betonska površina, dopušta se prodiranje cementnog ljepila/fine žbuke u oplate do širine od ca. 10 mm i dubine od ca. 5 mm, pomak na mjestu spajanja elemenata dopušten je do ca. 5 mm, dopuštena je visina preostalog spoja do ca. 5 mm, otisak okvira oplate je dopušten
- Poroznost: Udio od maks. 2.250 mm2 pora s promjerom unutar granica 2 mm &lt; d &lt; 15 mm (po ispitanoj površini veličine 500 mm x 500 mm)
- Jednolikost boje: Jednolike, velike svijetle/tamne mrlje su dopuštene, korištenje različitih vrsta i načina predobrade oplata te materijala različitih vrsta i podrijetla nije dopušteno
- Ravnost: Zahtjevi ravnosti površine prema DIN 18202, tablici 3, retku 5 (neobrađeni zidovi i donje strane grubih stropova)
- Fuge na radnim površinama i oplatama: Razmak između dvaju betonskih dijelova do ca. 10 mm je dopušten, ostaci fine žbuke na prethodnom betonskom dijelu trebaju se pravovremeno ukloniti, preporučuje se trapezna letva ili slično
- Razred oplata SHK2: Bušene rupe su dopuštene kod popravka, rupe od čavala i vijaka bez oštećenja su dopuštene, oštećenja na oplatama od vibratora za beton nisu dopuštena, ogrebotine su dopuštene kod popravka, ostaci betona nisu dopušteni, tragovi cementa su dopušteni, savijanje oplate u području vijaka i čavala nije dopušteno, popravci su dopušteni
Razred vidljivog betona SB3:
- Betonske površine s visokim dizajnerskim zahtjevima
- Tektura: Zatvorena i većinski jednolika betonska površina, dopušta se prodiranje cementnog ljepila/fine žbuke u oplate do širine od ca. 10 mm i dubine od ca. 5 mm, pomak na mjestu spajanja elemenata dopušten je do ca. 5 mm, dopuštena je visina preostalog spoja do ca. 5 mm, otisak okvira oplate je dopušten
- Poroznost: Udio od maks. 1.500 mm2 pora s promjerom unutar granica 2 mm &lt; d &lt; 15 mm (po ispitanoj površini veličine 500 mm x 500 mm)
- Jednolikost boje: Jednolike, velike svijetle/tamne mrlje su dopuštene, korištenje različitih vrsta i načina predobrade oplata te materijala različitih vrsta i podrijetla nije dopušteno
- Ravnost: Zahtjevi ravnosti površine prema DIN 18202, tablici 3, retku 6 (obrađeni zidovi i donje strane stropova)
- Fuge na radnim površinama i oplatama: Razmak između dvaju betonskih dijelova do ca. 5 mm je dopušten, ostaci fine žbuke na prethodnom betonskom dijelu trebaju se pravovremeno ukloniti, preporučuje se trapezna letva ili slično
- Razred oplata SHK2: Bušene rupe su dopuštene kod popravka, rupe od čavala i vijaka bez oštećenja su dopuštene, oštećenja na oplatama od vibratora za beton nisu dopuštena, ogrebotine su dopuštene kod popravka, ostaci betona nisu dopušteni, tragovi cementa su dopušteni, savijanje oplate u području vijaka i čavala nije dopušteno, popravci su dopušteni</t>
  </si>
  <si>
    <t>Razlikovanje betonskih i armiranobetonskih radova</t>
  </si>
  <si>
    <t>U sljedećim pozicijama potrebno je uzeti u obzir i uračunati sljedeće usluge, čak i ako nisu izričito navedene:
- Mjerenje i niveliranje usluga od zadanih mjernih točaka odnosno osi
- Sve ugradbene dijelove, sitne dijelove, međuslojeve i sredstva za pričvršćivanje koja su potrebna za spajanje i pričvršćivanje elemenata od armiranog betona. Jednako vrijedi i za sve komponente koje su potrebne za montažu.
- Ugradbeni dijelovi koji su potrebni za druge radove, opisani su u poglavlju Pojačanja i ugradbeni elementi.
- Fuge kod oplata na vidljivim betonskim površinama trebaju se uskladiti s naručiteljem. Po potrebi treba predvidjeti prividne fuge.
- Izrada odnosno zatvaranje fugama uključuje nanošenje žbuke i trajno elastično brtvljenje pomoću konopa ili PU mase za fugiranje.
- stručna provedba svih potrebnih naknadnih obrada
- eventualna oštećenja na površini i / ili oštećenja betonske konstrukcije treba poravnati i brusiti za ličenje
- Izrada primjernih uzoraka za procjenu površine (od SB3)
- Zaštite na rubovima, zaštite od pada i propadanja u sklopu usluga, i nakon završetka montaže</t>
  </si>
  <si>
    <t>208.090</t>
  </si>
  <si>
    <t>šahtovi i okna</t>
  </si>
  <si>
    <t>208.090.00100</t>
  </si>
  <si>
    <t>- Prepumpno okno</t>
  </si>
  <si>
    <t>Betoniranje prepumpnog okna svijetlog otvora vel. 220x150 cm, svijetle visine 280cm.
Betoniranje izvesti C 25/30 s dodatkom sredstva za vodonepropusnost 4,2 betacementola, izvedba u dvostranoj glatkoj oplati dubine prema potrebnoj koti dna okna.
Dno i stijenke okna su 30 cm. Unutarnje stijenke i dno ožbukati cem. mortom 1:2 do crnog sjaja. Okno je pokriveno arm. bet. pločom debljine 20 cm.
Ulaz je izveden preko ulaznog okna.
U okna se ugrađuju ljevano-željezne penjalice težine 3,5 kg na razmaku od 30 cm i ljevano-željezni poklopci sa pripadajućim okvirom dim. 600/600 mm x3 za teški promet klase C250 (250 kN).
Potrebno izvesti kinetu u prepumpnom oknu betonom C 25/30 i armiranu rabic mrežom.
Obračun se vrši po komadu kompletno izvedenog prepumpnog okna (prema detalju).</t>
  </si>
  <si>
    <t>komplet</t>
  </si>
  <si>
    <t>208.090.00105</t>
  </si>
  <si>
    <t>- revizijski šaht cestovne oborinske odvodnje DN 800</t>
  </si>
  <si>
    <t>Dobava, doprema, raznošenje duž rovova i ugradba prefabriciranih PE montažnih revizijskih okna profila DN 800. Okna mogu biti jednodjelna ili sastavljena od više dijelova, industrijski proizvedena, uključujući sidreni betonski prsten, tvornički ugrađene stube, te poklopac. Visina okana prema uzdužnom profilu. Profili kanala su DN ,300,400, a kineta, u dnu je bez kaskade. Obračun po komadu kompletno isporučenog PEHD montažnog revizijskog okna, uključujući konstrukciju gornje ploče (betonski sidreni i kompenzacijski prsteni), brtvljenja i okrugli poklopac nosivosti 400 kN.</t>
  </si>
  <si>
    <t>208.090.00110</t>
  </si>
  <si>
    <t>- revizijski šaht cestovne oborinske odvodnje DN 1000</t>
  </si>
  <si>
    <t>Dobava, doprema, raznošenje duž rovova i ugradba prefabriciranih PE montažnih revizijskih okna profila DN 1000. Okna mogu biti jednodjelna ili sastavljena od više dijelova, industrijski proizvedena, uključujući sidreni betonski prsten, tvornički ugrađene stube, te poklopac. Visina okana prema uzdužnom profilu. Profili kanala su DN ,300,400, a kineta, u dnu je bez kaskade. Obračun po komadu kompletno isporučenog PEHD montažnog revizijskog okna, uključujući konstrukciju gornje ploče (betonski sidreni i kompenzacijski prsteni), brtvljenja i okrugli poklopac nosivosti 400 kN.</t>
  </si>
  <si>
    <t>208.090.00115</t>
  </si>
  <si>
    <t>- Vodomjerno okno</t>
  </si>
  <si>
    <t>Izrada vodomjernog okna svijetle veličine 550/200 cm i svijetle visine 180 cm, s otvorom za pumpu dimenzija 60x60x60 cm. Dno i stijenke okna debljine 20 cm, beton C 25/30. Monolitna armiranobetonska ploča debljine 20 cm, beton C 25/30. Konstruktivno armirati stijenke mrežom SQ257 dvostrano.
Prije betoniranja obavezno provjeriti dimenzije vodomjernog okna sa nadležnim komunalnim poduzećem (VIO).
Beton razreda čvstoće 25/30 s dodatkom aditiva za vodonepropusnost u svostranoj glatkoj oplati. Prodor cijevi kroz zidove izvesti vodonepropusno. Cijevi obložiti katraniziranim užetom od kudelje na mjestima prolaza kroz zidove. Unutarnje stijenke obraditi vodonepropusnim premazom kao SIKALASTIC-152. Prije betoniranja, a osobito za ljetnih vrućih dana, treba drvenu oplatu i tlo obilno politi vodom da ne upijaju vodu iz betona. Dobava i montaža lijevano-željezih poklopaca. Poklopci se veličine 60/60 cm, nosivosti D400 prema EN 124:1994. U vodomjerno okno ugraditi lijevano željezne stupaljke na razmacima 30 cm. Obračun se vrši po komadu kompletno izvedenog vodomjernog okna, uključivo i oplatu zidova i ploča, sa podupiranjem, te sve prenose.
U stavku je uključena priprema i montaža rasvjetnog mjesta sukladno KaBa 2024 sa potopnom pumpom i lijevano željeznom rešetokom 400x400m do potpune funkcionalnosti.</t>
  </si>
  <si>
    <t>208.110</t>
  </si>
  <si>
    <t>Spremnik vode za sprinkler</t>
  </si>
  <si>
    <t>208.110.00100</t>
  </si>
  <si>
    <t>x..WSP1..x - betonske podloge od nearmiranog betona, debljina [8] cm</t>
  </si>
  <si>
    <t>Izrada betonske podloge od nearmiranog betona ispod temeljne ploče. Zaglađivanje gornjeg sloja.
Debljina: 8 cm
Razred čvrstoće: C12/15</t>
  </si>
  <si>
    <t>208.110.00105</t>
  </si>
  <si>
    <t>x..WSP1..x - armiranobetonska podna ploča, debljina [50] cm</t>
  </si>
  <si>
    <t>Dobava i strojna ugradnja armiranog betona sa dodatkom za vodonepropusnost u temeljnu ploču sprinkler bazena. Svježi beton prema DIN EN 206-1.
Debljina: [50] cm
Razred čvrstoće: C30/37
Razredi izloženosti: XC2
Razredi izloženosti: [XC3, WU, WF]
WU razred uporabe: B (dopuštena su vlažna mjesta)
WU razred opterećenja: 2 (vlažnost tla, procjedna voda se ne zadržava na površini)
Zahtjevi za ravnoću: DIN 18202, tablica 3, stupac 2 (neobrađene površine s većim zahtjevima)
Armatura i oplata se obračunavaju u zasebnim pozicijama.</t>
  </si>
  <si>
    <t>208.110.00110</t>
  </si>
  <si>
    <t>x..WSP1..x - armiranobetonski zidovi, debljine [30] cm</t>
  </si>
  <si>
    <t>Dobava i strojna ugradnja armiranog betona sa dodatkom za vodonepropusnost u zidove sprinkler bazena. Svježi beton prema DIN EN 206-1.
Debljina: [30] cm
Razred čvrstoće: [C30/37]
Razredi izloženosti: [XC3, WU, WF]
WU razred uporabe: B (dopuštena su vlažna mjesta)
WU razred opterećenja: 2 (vlažnost tla, procjedna voda se ne zadržava na površini)
Površina: kvaliteta vidnog betona (SB1)
Armatura i oplata se obračunavaju u zasebnim pozicijama.</t>
  </si>
  <si>
    <t>208.110.00115</t>
  </si>
  <si>
    <t>x..WSP1..x - armiranobetonski stupovi, dimenzije [0,5 / 0,5] m</t>
  </si>
  <si>
    <t>Dobava i strojna ugradnja armiranog betona sa dodatkom za vodonepropusnost u stupove sprinkler bazena. Svježi beton prema DIN EN 206-1.
Dimenzije/presjek: [0,5/0,5] m
Razred čvrstoće: [C30/37]
Razredi izloženosti: [XC3, WU, WF]
WU razred uporabe: B (dopuštena su vlažna mjesta)
WU razred opterećenja: 2 (vlažnost tla, procjedna voda se ne zadržava na površini)
Površina: kvaliteta vidnog betona (SB1)
Armatura i oplata se obračunavaju u zasebnim pozicijama.</t>
  </si>
  <si>
    <t>208.110.00120</t>
  </si>
  <si>
    <t>x..WSP1..x - armiranobetonske grede, dimenzija [0,72 / 0,40] m</t>
  </si>
  <si>
    <t>Dobava i strojna ugradnja armiranog betona sa dodatkom za vodonepropusnost u grede sprinkler bazena. Svježi beton prema DIN EN 206-1.
Dimenzije/presjek: [0,72/0,40] m
Razred čvrstoće: [C30/37]
Razredi izloženosti: [XC3, WU, WF]
WU razred uporabe: B (dopuštena su vlažna mjesta)
WU razred opterećenja: 2 (vlažnost tla, procjedna voda se ne zadržava na površini)
Površina: kvaliteta vidnog betona (SB1)
Armatura i oplata se obračunavaju u zasebnim pozicijama.</t>
  </si>
  <si>
    <t>208.110.00125</t>
  </si>
  <si>
    <t>x..WSP1..x - armiranobetonski strop, debljina [30] cm</t>
  </si>
  <si>
    <t>Dobava i strojna ugradnja armiranog betona sa dodatkom za vodonepropusnost u strop sprinkler bazena. Svježi beton prema DIN EN 206-1.
Debljina: [30] cm
Razred čvrstoće: [C30/37]
Razredi izloženosti: [XC3, WU, WF]
WU razred uporabe: B (dopuštena su vlažna mjesta)
WU razred opterećenja: 2 (vlažnost tla, procjedna voda se ne zadržava na površini)
Površina: kvaliteta vidnog betona (SB1)
Armatura i oplata se obračunavaju u zasebnim pozicijama.</t>
  </si>
  <si>
    <t>208.110.00130</t>
  </si>
  <si>
    <t>x..WSP1..x - okno potopne pumpe</t>
  </si>
  <si>
    <t>Dobava materijala i izvedba armiranobetonskog okna potopne pumpe. Konstruktivni elementi od kojih se sastoji izvedba:
- podna temeljna ploča
- zidovi
Svijetle dimenzije okna: [1,50/3,70] m
Svijetla dubina okna: [0,90] m
Debljina zida: [0,30] m
Debljina temeljne ploče: [0,50] m
Površina: kvaliteta vidnog betona (SB1)
Armatura se obračunava u zasebnim pozicijama.
Radovi koje je potrebno obuhvatiti stavkom do gotove funkcionalnosti:
- beton: dobava i strojna ugradba prema DIN EN 206-1 sa dodatkom za vodonepropusnost (temeljna ploča; zidovi) V=[xxx] m3
Razred čvrstoće: [C30/37]
Razredi izloženosti: [XC2, WF]
- rubna oplata, rubovi nakošeni P= [6,0] m2
- dvostrana oplata zidova, rubovi nakošeni P=[11,0] m2</t>
  </si>
  <si>
    <t>208.110.00135</t>
  </si>
  <si>
    <t>x..WSP1..x - ulazna šahta</t>
  </si>
  <si>
    <t>Dobava materijala i izvedba ulaznog šahta u sprinkler bazen.
Svijetle dimenzije: [0,80/0,80] m
Svijetla visina: [0,55] m
Debljina zida: [0,15] m
Razred čvrstoće: [C30/37]
Razredi izloženosti: [XC3]
WU razred uporabe: B (dopuštena su vlažna mjesta)
WU razred opterećenja: 2 (vlažnost tla, procjedna voda se ne zadržava na površini)
Radovi koje je potrebno obuhvatiti stavkom do gotove funkcionalnosti:
- beton: dobava i strojna ugradba prema DIN EN 206-1 sa dodatkom za vodonepropusnost (zidovi) V=[xxx] m3
Razred čvrstoće: [C25/30]
Razredi izloženosti: [XC2, WF]
- dvostrana oplata zidova, rubovi nakošeni P=[4,50] m2
- poklopac 90x90cm, razred D, vodonepropusna izvedba: [2] kom</t>
  </si>
  <si>
    <t>208.110.00140</t>
  </si>
  <si>
    <t>x..WSP1..x - armiranobetonska temeljna ploča-oplata, debljina [50] cm</t>
  </si>
  <si>
    <t>Dobava, izrada i postava oplate temeljne ploče sprinkler bazena. Debljina ploče 30cm. U cijeni sav rad, materijal kako bi se stavka izvela do gotove funkcionalnosti.</t>
  </si>
  <si>
    <t>208.110.00145</t>
  </si>
  <si>
    <t>x..WSP1..x - armiranobetonski zidovi i stupovi-oplata, debljina [30] cm</t>
  </si>
  <si>
    <t>Dobava, izrada i postava oplate za zidove i stupova sprinkler bazena u glatkoj dvostranoj i četverostranoj oplati uključivo i zidove šahte ulaza. U cijeni sva razupiranja i podupiranja. U cijeni sav rad, materijal kako bi se stavka izvela do gotove funkcionalnosti.</t>
  </si>
  <si>
    <t>208.110.00150</t>
  </si>
  <si>
    <t>x..WSP1..x - armiranobetonske grede-oplata, debljina [40] cm</t>
  </si>
  <si>
    <t>Dobava, izrada i postava oplate greda sprinkler bazena Debljina ploče 30cm. U cijeni sav rad, materijal kako bi se stavka izvela do gotove funkcionalnosti.</t>
  </si>
  <si>
    <t>208.110.00155</t>
  </si>
  <si>
    <t>x..WSP1..x - armiranobetonska stropna ploča-oplata sa podupiranjem, debljina [30] cm</t>
  </si>
  <si>
    <t>Dobava, izrada i postava oplate stropne ploče sprinkler bazena. U cijeni sav rad, materijal kako bi se stavka izvela do gotove funkcionalnosti.
_oplata sa podupiranjem na visini do 2,50 m</t>
  </si>
  <si>
    <t>208.110.00160</t>
  </si>
  <si>
    <t>x..WSP1..x - beton za pad iznad ploče sprinkler bazena, debljina [5-10] cm</t>
  </si>
  <si>
    <t>Izvedba betona za pad debljine 5-10cm iznad ab ploče sprinkler bazena. U cijenu uključena oplata i sav materijal i rad da se stavka izvede do funkcionalne gotovosti.</t>
  </si>
  <si>
    <t>208.110.00165</t>
  </si>
  <si>
    <t>x... WSP1 - Ispitnivanje spremnika vode za sprinkler uz max punjenje 2 tjedna</t>
  </si>
  <si>
    <t>Ispitivanje nepropusnosti spremnika uz maksimalno punjenje tijekom 2 tjedna, uklj. prethodno čišćenje spremnika, dovod vode i prvo punjenje.</t>
  </si>
  <si>
    <t>208.110.00170</t>
  </si>
  <si>
    <t>x..WSP1..x - Provodi cijevi sprinkler bazena</t>
  </si>
  <si>
    <t>Provodi cijevi sprinkler bazena za sve potrebne priključke kroz zidove i stropove,uključujući potrebne mjere brtvljenja. NAPOMENA: u cijenu uključiti naknadno bušenje zida te brtvu ROXTEC brtveni elementi.
_PEHD Ø150</t>
  </si>
  <si>
    <t>208.110.00175</t>
  </si>
  <si>
    <t>Sve isto kao i stavka 208.110.00170 samo cijev Ø20 (kabelska cijev)</t>
  </si>
  <si>
    <t>208.110.00180</t>
  </si>
  <si>
    <t>Sve isto kao i stavka 208.110.00170 samo cijev Ø80</t>
  </si>
  <si>
    <t>208.110.00185</t>
  </si>
  <si>
    <t>Sve isto kao i stavka 208.110.00170 samo cijev Ø150</t>
  </si>
  <si>
    <t>m1</t>
  </si>
  <si>
    <t>Nadgrađe i uređaji</t>
  </si>
  <si>
    <t>Prijem / puštanje u rad</t>
  </si>
  <si>
    <t>održavanje</t>
  </si>
  <si>
    <t>304</t>
  </si>
  <si>
    <t>Hidroizolacija krova</t>
  </si>
  <si>
    <t>304.000</t>
  </si>
  <si>
    <t>Hidroizolacija krova za razgraničenje izvedbe</t>
  </si>
  <si>
    <t>U sljedećim pozicijama potrebno je uzeti u obzir i uračunati sljedeće usluge, čak i ako nisu izričito navedene:
- Projektiranje i dimenzioniranje naprava za pričvršćivanje krova, po potrebi izrada izolacijskih planova za nagibe
- potrebna zavarivanja i lijepljenja na šavovima, spojevima i priključcima
- potrebne mehaničke naprave za pričvršćivanje, uklj. sredstva za pričvršćivanje, spojne limove, itd.
- potrebne izrade fuga
- Izolaciju postaviti bez razmaka, sve otvore zatvoriti, dijelove zalijepiti s preklapanjem
- Provođenje brtvenog sustava preko spojeva, ugradbenih i nadgradnih elemenata i prolaza
- Mjere za preventivnu protupožarnu zaštitu kod otvora i prolaza u krovu koje sprječavaju širenje požara
- Izvedbu na nakošenim površinama ili površinama pod nagibom
- Izradu parnih brana kao brtveni sustav
- potrebne separacijske i zaštitne slojeve
- korištene drvene dijelove sa solnom impregnacijom protiv gljivica, truleži i insekata</t>
  </si>
  <si>
    <t>304.050</t>
  </si>
  <si>
    <t>304.050.00100</t>
  </si>
  <si>
    <t>x..NÜ1..x - Preljev</t>
  </si>
  <si>
    <t>Dobava i postava tipskog preljeva za slučajeve nužde (rigalica) od tvrde plastike, siva boja ili boja materijala fasade. Postava u fasadi(atici) iznad vanjskog sloja krova, pravokutnog oblika s neznatno nakošenim izljevom (5°), otporan na hladnoću do minimalno-40°C i otporan na ultraljubičasto zračenje, s prirubnicom od PVC-a ili polipropilena za priključivanje plastičnih krovnih traka od polivinilklorida (PVC) ili fleksibilnog poliolefina (FPO).
Dimenzije: do 100/300 mm
Dužina odvoda: do 600 mm
Brtvena traka za krov: [PVC]</t>
  </si>
  <si>
    <t>403</t>
  </si>
  <si>
    <t>Radovi na estrihu</t>
  </si>
  <si>
    <t>403.000</t>
  </si>
  <si>
    <t>Ograničenje izvedbe rada estriha</t>
  </si>
  <si>
    <t>U sljedećim pozicijama potrebno je uzeti u obzir i uračunati sljedeće usluge, čak i ako nisu izričito navedene:
- prijepis oznaka visine koje su potrebne za provedbu radova
- Provjeru planiranih visina ugradnje u odnosu na zadane visine i predviđene obloge
- Usko spojene izolacijske materijale, zatvaranje rupa, kod višeslojnih izolacija s pomaknutim fugama
- Rasute izolacijske materijale u području vodova kod izrade estriha
- potrebne izrade fuga, uklj. učvršćivanje fuga
- Izradu nagiba prema slivnicima u podu
- Površine prikladne za opisane slojeve
- stručnu naknadnu obradu
- Površine i područja na koja se nanosi estrih zatvoriti i osigurati
- Izradu oblata za otvore i prijelaze</t>
  </si>
  <si>
    <t>403.030</t>
  </si>
  <si>
    <t>403.030.00120</t>
  </si>
  <si>
    <t>- podni slivnik spojiti smolom</t>
  </si>
  <si>
    <t>Podni slivnik ispuniti i spojiti dvokomponentnom reakcijskom smolom, gornja strana ispune nakošena, dimenzije do ca. 30/30 cm.</t>
  </si>
  <si>
    <t>ZTV</t>
  </si>
  <si>
    <t>Građevinski radovi (proboj zida / bušenje jezgre)</t>
  </si>
  <si>
    <t>503</t>
  </si>
  <si>
    <t>Plin, radovi na instalaciji vode, cijevi</t>
  </si>
  <si>
    <t>503.000</t>
  </si>
  <si>
    <t>Dodatni tehnički uvjeti ugovora</t>
  </si>
  <si>
    <t>Dodatni ugovoreni tehnički uvjeti
1. OPĆENITE NAPOMENE
1.1.
Ove napomene spadaju pod DODATNE UGOVORENE
TEHNIČKE UVJETE.
Kao takve one su dio
opisa usluga te postaju važan dio
ugovora.
1.2.
Sljedeće definicije usluga određuju
ugovorene usluge izvođača.
1.3.
Ponuđač potvrđuje da su navedene stope plaća
utvrđene prema cjenovnim i zakonskim propisima
te da uključuju sva uobičajena
svojstva proračuna. Cijene vrijede
tijekom cijelog trajanja izvođenja radova. Sve navedene cijene su neto cijene. Važeći
porez na dodanu vrijednost se dodaje
naknadno.
1.4.
U slučaju proturječnosti dodatnih ugovorenih tehničkih uvjeta
vrijede prvenstveno podaci
iz popisa usluga.
U slučaju proturječnosti između popisa usluga i
crteža za izvođenje određenih radova
vrijede odgovarajući crteži odnosno planovi;
prava koja iz toga proizlaze za izvođača radova time se
ne ograničavaju.
1.5.
Izvedbeni dokumenti koje koristi izvođač radova
moraju nositi oznaku odobrenja od strane naručitelja ili
njegovog arhitekta, kako bi se izbjegli
nesporazumi kod izvođenja radova. Dokumenti koji nisu
odobreni ne smiju se ni koristiti. Međutim,
time se izvođač radova ne oslobađa obveze
vlastite provjere i napomene. Ona
i dalje vrijedi.
1.6.
Popunjavanje radnih prostora i zakopavanje materijala
nije dozvoljeno na gradilištu.
Odlaganje otpada, lomljenog materijala i
građevinskog otpada podrazumijeva korištenje u skladu
propisa odnosno potrebnih mjera
sakupljanja, transporta, obrade i skladištenja
u skladu s propisima i službenim
uputama.
2. POSEBNE NAPOMENE
2.1.
Osnova natječaja je
DIN 18299 - Općenite regulacije za građevinske radove svake
vrste
DIN 18381 - Sustavi za plin, vodu i odvodnju
unutar zgrada
2.2.
Izvođač radova preuzima odgovornost za potpunost
ponuđenih usluga, to znači da se usluge
i sporedne usluge odgovarajuće pozicije
trebaju uračunati, čak i ako nisu
izričito navedene u popisu usluga.
2.3.
Ponuditelj se prije izdavanja
ponude obvezuje da će se detaljno informirati o građevinskim zadaćama
koje treba izvesti, ukoliko su povezane s ponuđenim i planiranim
uslugama, tako da na temelju popisa
usluga nema nikakvih nejasnoća kod
obračuna. Naknadne reklamacije
koje proizlaze iz nepoznavanja planske dokumentacije
neće se uvažavati.
Samostalne izmjene u popisu usluga nisu dozvoljene.
2.4.
Naručitelj nije dužan ustupiti prostorije za boravak ili
sporedne prostorije. Troškovi za ove stavke trebaju se uračunati u
jedinične cijene ponude. Skele i
ostala pomoćna sredstva trebaju se uračunati u skladu s propisima
strukovnih udruga u jedinične cijene
ponude.
2.5.
Uređivanje gradilišta izvodi
se nakon obavještavanja
i u dogovoru s voditeljima gradilišta. Pri tome
izvođač radova preuzima isključivu odgovornost
za sigurno skladištenje i spremanje svojih
strojeva, uređaja, pomoćnih sredstava itd. te
svih materijala koji su predviđeni za ugradnju ili su već ugrađeni, građevinskih elemenata
itd. sve do primopredaje sveobuhvatnih građevinskih usluga, čak
i ako su već prije ugradnje predani
naručitelju.
2.6. Izvedba
Radne skele potrebne za izvođenje vlastitih usluga
trebaju se uračunati u jedinične cijene.
3. SPOREDNE USLUGE
Sve jedinične cijene podrazumijevaju isporuku
i obradu svih potrebnih materijala i sporednih
usluga, sredstva za pričvršćivanje,
transport i uređaje te troškove za:
- potrošnju struje, toplinske energije i vode,
struju obračunatu od strane naručitelja
- troškove za vlastito uređenje
gradilišta
- sigurno skladištenje materijala
- dostatne mjere protiv onečišćenja i
oštećenja
- osiguravanje usluga
- odlaganje građevinskog otpada
- osiguravanje zgrade tijekom radova
- zaštitu građevinskih i objektnih dijelova i njihovih pristupa
od oštećenja
- sigurnosne i mjere za potpornje
- isporuku i postavljanje odnosno montažu
3.1.
Pozicije koje su navedene u sljedećem popisu
usluga sadrže sve usluge
obavljenih radova koji su potrebni za pravilno
ispunjenje ugovornih obveza.
4. OBRAČUN
Usluge se općenito obračunavaju
prema planu otplate koji se dogovara s na naručiteljem.
Djelomične otplate se dogovaraju
prema napretku radova i
planu otplate.
5. OSTALO
Planovi i u njima navedeni objekti koji se izdaju prilikom
natječaja
služe za informaciju.
Ta dokumentacija ponuditelja ne
oslobađa od obveze za vlastitim pribavljanjem svih
potrebnih informacija za određivanje cijene detaljnim pregledavanjem
planskih dokumenata.</t>
  </si>
  <si>
    <t>Prilikom izvršavanja sustava, zahtjevi</t>
  </si>
  <si>
    <t>Prilikom izvođenja objekata treba uzeti u obzir sve zahtjeve
koje su navedene u aktualnoj KaBa-i i njenim dodacima
.
Osim toga treba voditi računa da razina buke
u večernjim i noćnim satima ne premašuje
zakonski propisane vrijednosti.
Ove usluge se ne obračunavaju zasebno već se trebaju
uračunati u jedinične cijene.
Za tehničko ispitivanje funkcionalnosti od strane naručitelja
treba osigurati sudjelovanje odgovarajućeg stručnog
osoblja. Prilikom te provjere ispituju se svi objekti koji
se odnose na pojedine odjeljke kao i opće funkcionalnosti
i upravljanja te se dokumentiraju
putem protokola. Takve provjere i
eventualna naknadna ispitivanja do potpunog uklanjanja svih nedostataka
su dio narudžbe i ne
naplaćuju se posebno.
Svi opisani proizvođači i proizvodi
odabiru se prema referentnoj listi proizvoda iz aktualne KaBa-e
te se kao takvi trebaju uzeti u obzir u obračunu.</t>
  </si>
  <si>
    <t>503.020</t>
  </si>
  <si>
    <t>Sanitarije</t>
  </si>
  <si>
    <t>503.020.00100</t>
  </si>
  <si>
    <t>- Umivaonik u  sanitarijama za kupce</t>
  </si>
  <si>
    <t>SWT1- nabava doprema i montaža umivaonika
- Umivaonik od sanitarnog porculana, pravokutni oblik, širina 60 cm, dubina 47 cm, boja bijela, s rupom za slavinu
- i s preljevom, donja strana izbrušena
- polustup umivaonika kao poklopac odvoda, prikladno za navedeni umivaonik, boja bijela,
- s prikladnim pričvrsnim setom
- stabilan element za montažu kao predzidni element za montažu navedenog umivaonika
- beskontaktna elektronička armatura s podžbuknim mrežnim uređajem 230 V, ugradbena kutija i
- i okvir za pločice, za hladnu i toplu vodu, vrijeme tečenja 7 sekundi, s miješalicom na armaturi
- perlator zaštićen od krađe
- odvodni ventil s poklopcem
- poklopac za sprječavanje neugodnih mirisa iz cijevi, od mjeda, kromirani
- kutni ventili s filtrom za prljavštinu
- kristalno ogledalo 60 x 60 cm, sa skrivenim držačem ogledala,
• Za svako mjesto pranja po 1 sušilo ruku i 2 dozatora sapuna
• Priprema tople vode preko malog el. bojelra od 10 litara, ugrađenog u međustrop sa šuko utikačem od 230 V, WC-područja treba osmisliti racionalno.</t>
  </si>
  <si>
    <t>503.020.00105</t>
  </si>
  <si>
    <t>- Ploča stola za prematanje</t>
  </si>
  <si>
    <t>SWT1.4- ploča stola za prematanje
ploča stola za prematanje od 12 mm HPL ploče (na primjer Fundermax interior FH) Bijela boja. Obrub prema naprijed i bočno
100 mm. Viseće zidno pričvršćenje konzolama od plemenitog čelika.
Bočni i stražnji spoj ploče stola za prematanje sa zidom brtvljenjem s uskom, elastičnom fugom od sanitarnog silikona.
Gornji rub: 850 mm iznad poda, dubina 730mm, dužina prema planu, boja: bijela.
Prag podloga za prematanje, visina 80 mm / dužina 630 mm, prednji rub zaobljen. Prag podloga za prematanje treba se
usmjeriti po sredini na ploči stola za prematanje i fiksirati u ravnini s prednjim rubom.</t>
  </si>
  <si>
    <t>503.020.00110</t>
  </si>
  <si>
    <t>- Umivaonik za osobe sa posebnim potrebama</t>
  </si>
  <si>
    <t>SWT2- nabava doprema i montaža invalidskog umivaonika
• Umivaonik za invalide, širina 60 cm, bijele boje, sa stabilnim stajaćim montažnim elementima. Visina montaže: Gornji rub
75 cm iznad gotovog poda
• Elektronička armatura umivaonika, za toplu i hladnu vodu radarska elektronika s podžbuknim mrežnim dijelom 230 V s ugradbenim ormarićem i okvirom od pločica
• perlator zaštićen od krađe
• odvodni ventil s poklopcem
• Sifon za ugradnju u zid
• Ploča za odlaganje stvari
• Kristalno ogledalo, nagib podesiv pomoću okretne ručice i sajle Visina montaže: Donji rub 135 cm iznad gotovog poda
• Ispusni ventil: s prozračivačem, nepovratnom zaklopkom i vijčanim spojem crijeva DN 15 - ½“ u kromiranoj izvedbi (SAV2)
• Priprema tople vode preko malog el. kotla od 5 litara, ugrađenog u međustrop sa šuko utikačem od 230 V
Obračun po komadu kompletno ugrađenog i u rad puštenog umivaonika.</t>
  </si>
  <si>
    <t>503.020.00115</t>
  </si>
  <si>
    <t>- Umivaonik u  sanitarijama lokala</t>
  </si>
  <si>
    <t>SWT4- nabava doprema i montaža umivaonika
• umivaonik, 60 cm, bijele boje sa stabilnim stajaćim montažnim elementima
• niskotlačna armatura umivaonika s jednom ručicom
• perlator zaštićen od krađe
• odvodni ventil s poklopcem
• sifon za sprečavanje prodora neugodnog mirisa iz cijevi s produženom cijevi
• kutni ventil s filtrom za prljavštinu
• kristalno ogledalo 60 x 40
• držač ogledala
• priprema vode s pomoću malog el. bojlera 10l, uređaj za ugradnju ispod stola sa šuko utikačem 230V
Obračun po komadu kompletno ugrađenog i u rad puštenog umivaonika.</t>
  </si>
  <si>
    <t>503.020.00120</t>
  </si>
  <si>
    <t>- Umivaonik u prodajnom prostoru</t>
  </si>
  <si>
    <t>SWT8- nabava doprema i montaža umivaonika
Umivaonik s pultom (broj prema planu uređenja), koji se vodi preko sepratora za masti, sadrži sljedeće dijelove:
• umivaonik od oplemenjenog čelika 55 cm,
• beskontaktna slavina na mjestu pranja DN 15 bez kontakta, 230 V s oplatom od plemenitog čelika, izljev, miješalica,
izvedba ispod žbuke (UP)
• odvodni ventil
• poklopac za sprječavanje neugodnih mirisa iz cijevi, kromirani.
Obračun po komadu kompletno ugrađenog i u rad puštenog umivaonika.</t>
  </si>
  <si>
    <t>503.020.00125</t>
  </si>
  <si>
    <t>- Umivaonik za osoblje u području uslužnih vitrina</t>
  </si>
  <si>
    <t>SWT9 - nabava doprema i montaža umivaonika
• umivaonik, 60 cm, bijele boje sa stabilnim stajaćim montažnim elementima
• radarska elektronička armatura za umivaonik u obliku stola s miješanjem
• dio strujne mreže za zidnu ugradnju s ugradbenim ormarom i okvirima za ploèice
• perlator zaštićen od krađe
• odvodni ventil
• sifon za sprečavanje prodora neugodnog mirisa iz cijevi
• kutni ventil s filtrom za prljavštinu
• 1 x kristalno ogledalo 60x40, držač ogledala
• ispušni ventil: s ventilatorom, protustrujnom zaklopkom i cijevnim priključkom DN 15-1/2” u kromiranoj izvedbi (SAV1)
Obračun po komadu kompletno ugrađenog i u rad puštenog umivaonika.</t>
  </si>
  <si>
    <t>503.020.00130</t>
  </si>
  <si>
    <t>- Umivaonik za osoblje u području pekarne</t>
  </si>
  <si>
    <t>SWT13 - nabava doprema i montaža umivaonika
Zagrijavanje vode preko SHW4. Umivaonik / sudoper i slavine dostavlja tvrtka, ali treba ih montirati tako da budu spremne
za uporabu. Dovod za hladnu vodu ½“, dovod za toplu vodu ½”, materijal plemeniti čelik V2A. Kanalizacijski priključak za
kombinirani umivaonik DN 50. Obračun po komadu kompletno ugrađenog i u rad puštenog umivaonika.</t>
  </si>
  <si>
    <t>503.020.00135</t>
  </si>
  <si>
    <t>Kutni ventil kao kombinirani kutni ventil DN 10</t>
  </si>
  <si>
    <t>Kutni ventil kao kombinirani kutni ventil DN 10 G 3/8 AG s brtvenim priključnim navojem,
s komfornom ručkom i komorom za mazivo u gornjem dijelu, s ventilom za priključak uređaja s nepovratnim zatvaračem (NZ, EN 1717: EG) i vijčanim spojem za crijevo, s čvrstim konusnim kompresijskim vijčanim spojem od mjedi, s izjednačavanjem dužine, s dugom bazom i okvirom d = 54 mm, od mjedi, kromirani, s DVGW oznakom isporučiti i montirati.</t>
  </si>
  <si>
    <t>St</t>
  </si>
  <si>
    <t>503.020.00140</t>
  </si>
  <si>
    <t>Ventil za regulaciju kuta DN 15 s DRV</t>
  </si>
  <si>
    <t>Kutni regulacijski ventil
kao DIN kutni regulacijski ventil s dvostrukim nepovratnim zatvaračem
Dimenzije: DN 15 G 1/2 AG x DN 10 G 3/8 AG
Površina: kromirana
Referentni proizvod: SCHELL / Br. artikla 052760699
ili istovjetni proizvod,
ponuđeni proizvod/tip:
.......................................................
........................
(ispunjava ponuđač)
Opseg isporuke:
- brtveni priključni navoj (ASAG easy)
- komforna ručka
- duga baza, okvir, promjera 54 mm
- čvrsti konusni kompresijski vijčani spoj od mjedi
s izjednačavanjem dužine
- dvostruki nepovratni zatvarač
Područje uporabe/tehnički podaci:
- sigurna uporaba sukladno EN 1717
- za armature s ručnom glavom na izvlačenje
- razred protočnosti A
Materijal: Mjed u skladu s odredbom o pitkoj vodi
S oznakom: DIN-DVGW certifikat, P-IX 212/IA,
isporučiti i montirati.</t>
  </si>
  <si>
    <t>503.020.00145</t>
  </si>
  <si>
    <t>Okretno ogledalo 600 x 540 mm</t>
  </si>
  <si>
    <t>Okretno ogledalo
kao pravokutno kristalno ogledalo s brušenim rubovima i ugrađenom zaštitnom folijom,
s podesivim nagibom, za zidnu montažu, pravokutno 600 x 540 mm
Element za držanje i ručica od sjajnog poliamida
Boja: bijela
s konopom za okretanje za postavljanje na zid.
Referentni proizvod: HEWI / Br. 801.01.100
ili istovjetni proizvod,
ponuđeni proizvod/tip:
.......................................................
........................
(ispunjava ponuđač)
isporučiti i montirati.</t>
  </si>
  <si>
    <t>503.020.00150</t>
  </si>
  <si>
    <t>- WC školjka u  sanitarijama za kupce</t>
  </si>
  <si>
    <t>SWC1- nabava doprema i montaža WC-a
- zidna WC školjka s dubinskim ispiranjem, bijela, odvod vodoravan, Visina montaže: gornji rub 43 cm iznad gotovog
poda
- stabilni stajaći montažni element s odvodnim koljenom za WC
- vodokotlić podžbukni 6-9 litara
- pokrovna ploča s tipkama za ispuštanje vode, s dvije količine, bijele boje
- WC daska bez poklopca, zaštićena od razbijanja, Duroplast, s protuprovalnim specijalnim zglobovima od nehrđajućeg
čelika
- WC garnitura za četke zaštićena od krađe, pričvršćena na zid
Obračun po komadu kompletno ugrađenog i u rad puštenog WC-a.</t>
  </si>
  <si>
    <t>503.020.00155</t>
  </si>
  <si>
    <t>- WC školjka u  sanitarijama za osobe sa posebnim potrebama</t>
  </si>
  <si>
    <t>SWC2- nabava doprema i montaža invalidskog WC-a
- zidna WC školjka s dubinskim ispiranjem, bijela, odvod vodoravan, Visina montaže uklj. sjedalo za zahod: gornji rub
46-48 cm iznad gotovog poda
- stabilni stajaći montažni element s odvodnim koljenom za WC
- vodokotlić podžbukni 6-9 litara
- poklopac s tipkom za puštanje vode - zaustavljanje istjecanja vode, bijele boje
- 2 preklopna rukohvata s oblogom za ruke i držačem papira i daljinsko aktiviranje (prema DIN 18040)m, visina
montaže: gornji rub preklopnog rukohvata s oblogom 85 cm iznad gotovog poda.
- WC daska bez poklopca, fleksibilna, sigurna od loma
- WC garnitura za četke zaštićena od krađe, pričvršćena na zid, Duroplast, s protuprovalnim specijalnim zglobovima od
nehrđajućeg čelika
- poziv u pomoć kao pritisni gumb ili potezno uže, priključeno na središnji sustav dojave ploča za dojavu i opsluživanje
Obračun po komadu kompletno ugrađenog i u rad puštenog WC-a.</t>
  </si>
  <si>
    <t>503.020.00160</t>
  </si>
  <si>
    <t>- WC školjka u  sanitarijama za osoblje</t>
  </si>
  <si>
    <t>SWC3- nabava doprema i montaža WC-a
- zidna WC školjka s dubinskim ispiranjem, bijela, odvod vodoravan, Visina montaže: gornji rub 43 cm iznad gotovog
poda
- stabilni stajaći montažni element s odvodnim koljenom za WC
- vodokotlić podžbukni 6-9 litara
- pokrovna ploča s tipkama za ispiranje s dvije količine vode, bijele boje
- WC daska bez poklopca, zaštićena od razbijanja, Duroplast, s protuprovalnim specijalnim zglobovima od
nehrđajućeg čelika
- WC garnitura za četke zaštićena od krađe, pričvršćena na zid
- WC držač za toaletni papir, osiguran od krađe
- držač rezervnog papira
- kuka na zidu
Obračun po komadu kompletno ugrađenog i u rad puštenog WC-a.</t>
  </si>
  <si>
    <t>503.020.00165</t>
  </si>
  <si>
    <t>Montažni element za WT 130 cm</t>
  </si>
  <si>
    <t>Montažni element za umivaonik, 112 cm,
za suhogradnju, za armaturu s jednim otvorom
Karakteristike:
- Razmak kod pričvršćivanja umivaonika 538 cm
- Pričvršćivanje priključnog luka visinski podesivo i sa zvučnom izolacijom
- Traverza armature visinski i dubinski podesiva
Tehnički podaci
- Širina (cm): 50 cm
- Visina (cm): 112 cm
- Dubina (cm): 7,5 cm
dodatni opseg isporuke
- 2 priključna kuta Rp 1/2" / R 1/2",
- 2 umetka za zvučnu izolaciju,
- 2 izolacijske čahure,
- Priključni luk od PE-HD, promjera 50 mm,
- Brtva promjera 44 / 32 mm,
- 2 navojne šipke M10,
- Materijal za pričvršćivanje
Referentni proizvod: Geberit / Duofix
Br. artikla: 111.430.00.1
ili istovjetni proizvod,
ponuđeni proizvod/tip:
.......................................................
.......................
(ispunjava ponuđač)</t>
  </si>
  <si>
    <t>503.020.00170</t>
  </si>
  <si>
    <t>Montažni element za WT 112 cm, BF</t>
  </si>
  <si>
    <t>Montažni element za umivaonik, 130 cm,
za suhogradnju, za nadžbuknu armaturu
Karakteristike
- Razmak kod pričvršćivanja umivaonika 538 cm
- Pričvršćivanje priključnog luka visinski
podesivo i sa zvučnom izolacijom
- Traverza armature visinski i dubinski podesiva
Tehnički podaci
- Širina (cm): 50 cm
- Visina (cm): 130 cm
- Dubina (cm): 7,5 cm
dodatni opseg isporuke
- 2 priključna kuta Rp 1/2" / R 1/2",
- 2 umetka za zvučnu izolaciju,
- 2 izolacijske čahure,
- Priključni luk od PE-HD, promjera 50 mm,
- Brtva promjera 44 / 32 mm,
- 2 navojne šipke M10,
- Materijal za pričvršćivanje,
Referentni proizvod: Geberit / Duofix
Br. artikla: 111.437.00.1
ili istovjetni proizvod,
ponuđeni proizvod/tip:
.......................................................
.......................
(ispunjava ponuđač)</t>
  </si>
  <si>
    <t>503.020.00175</t>
  </si>
  <si>
    <t>Montažni element za umivaonik 112 cm,</t>
  </si>
  <si>
    <t>Montažni element za umivaonik, 112 cm,
za suhogradnju za standardnu armaturu s podžbuknim sifonom za umivaonike prilagođene osobama s invaliditetom, bez barijera
Karakteristike
- Razmak kod pričvršćivanja umivaonika 538 cm
- Podžbukni sifon s optimalnim
strujanjem i dobrim mogućnostima samočišćenja
- Visinski podesivi podžbukni sifon
- Pričvršćivanje priključnog luka visinski
podesivo i sa zvučnom izolacijom
- Traverza armature visinski i dubinski podesiva
Tehnički podaci
- Širina (cm): 50 cm
- Visina (cm): 112 cm
- Dubina (cm): 7 cm
dodatni opseg isporuke
- 2 priključna kuta Rp 1/2" / R 1/2",
- 2 umetka za zvučnu izolaciju
- 2 izolacijske čahure
- Građevinska zaštita
- 2 navojne šipke M10
- Materijal za pričvršćivanje
uklj. završni set za podžbukni sifon,
od plastike, sjajno kromiran.
Referentni proizvod: Geberit / Duofix
Br. artikla: 111.480.00.1 i 115.416.21.1
ili istovjetni proizvod,
ponuđeni proizvod/tip:
.......................................................
.......................
(ispunjava ponuđač)</t>
  </si>
  <si>
    <t>503.020.00180</t>
  </si>
  <si>
    <t>Montažni element za držače i hvataljke 112 cm</t>
  </si>
  <si>
    <t>Montažni element za drške i ručke 112 cm
bez barijera, za suhogradnju,
Tehnički podaci
- Širina (cm): 36,5 cm
- Visina (cm): 112 cm
- Dubina (cm): 4 cm
dodatni opseg isporuke
- Materijal za pričvršćivanje
Referentni proizvod: Geberit / Duofix
Br. artikla: 111.790.00.1
ili istovjetni proizvod,
ponuđeni proizvod/tip:
.......................................................
.......................
(ispunjava ponuđač)</t>
  </si>
  <si>
    <t>503.020.00185</t>
  </si>
  <si>
    <t>Montažni element za AGB sa zidnom montažom</t>
  </si>
  <si>
    <t>Montažni element za izljevno korito
s nadžbuknom zidnom armaturom, 130 cm za suhogradnju,
Pričvršćivanje priključnog luka visinski podesivo i sa zvučnom izolacijom
Traverza armature visinski i dubinski podesiva
Tehnički podaci
- Širina (cm): 50 cm
- Visina (cm): 130 cm
- Dubina (cm): 8,3 cm
dodatni opseg isporuke
- 2 priključna kuta Rp 1/2" / R 1/2",
- 2 umetka za zvučnu izolaciju
- 2 izolacijske čahure
- Priključni luk od PE-HD, promjera 50 / 63 mm
- Brtva promjera 57 / 50 mm
- Brtva promjera 57 / 40 mm
- Materijal za pričvršćivanje
Referentni proizvod: Geberit / Duofix
Br. artikla: 111.450.00.1
ili istovjetni proizvod,
ponuđeni proizvod/tip:
.......................................................
.......................
(ispunjava ponuđač)</t>
  </si>
  <si>
    <t>503.020.00190</t>
  </si>
  <si>
    <t>Nosač, izbočina 850 mm</t>
  </si>
  <si>
    <t>Pomoćna ručka
kao stabilna, jednoručna drška, sa sigurnim prihvatom bez klizanja, s ergonomičnim i obrađenim dijelom za prihvat, s mogućnosti blagog pomicanja prema gore i dolje
Dubina 850 mm, širina 140 mm,
Zidna ploča visine 218 mm,
Dužina ručke naknadno podesiva 800 - 900 mm,
s prekrivenim materijalom za pričvršćivanje bez korozije, od aluminija
Boja: bijela
s kromiranim dizajn elementima,
s ručkom obloženom visokokvalitetnim PUR-om
s CE oznakom prema smjernici 93/42/EWG
opteretivost do 100 kg
Referentni proizvod: HEWI / 802.50.W0185
ili istovjetni proizvod,
ponuđeni proizvod/tip:
.......................................................
.......................
(ispunjava ponuđač)</t>
  </si>
  <si>
    <t>503.020.00195</t>
  </si>
  <si>
    <t>Nadogradite držač papira u kompletu</t>
  </si>
  <si>
    <t>Dodatni set za držač papira
kao držač rola za dodatno opremanje prethodno navedene pomoćne ručke 802.50.W0185, s kočnicom, širina 33 mm, visina 145 mm, dubina 117 mm, od aluminija,
Boja: bijela
Referentni proizvod: HEWI / 802.50.W010
ili istovjetni proizvod,
ponuđeni proizvod/tip:
.......................................................
.......................
(ispunjava ponuđač)</t>
  </si>
  <si>
    <t>503.020.00200</t>
  </si>
  <si>
    <t>Držač četke za WC</t>
  </si>
  <si>
    <t>Garnitura četke za zahod
Zamjenjiva ručka četke,
Posuda četke s udubljenim podom u obliku sfere, djelomično otvorenim gornjim dijelom s prstenastim držačem, s okretnim gornjim dijelom, spremnik zaštićen od krađe prekrivenim vijčanim spojevima,
širina 141 mm, visina 470 mm, dubina 140 mm od sjajnog poliamida,
Boja: bijela
Referentni proizvod: HEWI / 477.20.100
ili istovjetni proizvod,
ponuđeni proizvod/tip:
.......................................................
.......................
(ispunjava ponuđač)</t>
  </si>
  <si>
    <t>503.020.00205</t>
  </si>
  <si>
    <t>Držač toaletne role</t>
  </si>
  <si>
    <t>Držač za papir
s prekrivenim vijčanim spojem na držaču za papir za zaštitu od krađe,
Širina: 160 mm,
Visina: 120 m,
promjer šipke 20 mm
uključujući ključ za otključavanje zaštitu protiv krađe, od sjajnog poliamida
Boja: bijela
Referentni proizvod: HEWI / 477.21.150
ili istovjetni proizvod,
ponuđeni proizvod/tip:
.......................................................
.......................
(ispunjava ponuđač)</t>
  </si>
  <si>
    <t>503.020.00210</t>
  </si>
  <si>
    <t>Rezervni držač papira</t>
  </si>
  <si>
    <t>Držač rezervnog papira
kao cilindrični držač s okruglim okvirom, s prekrivenim vijčanim spojem za zaštitu od krađe,
Dužina 120 mm,
Promjer 33 mm,
Okvir promjera 70 mm
od sjajnog poliamida
Boja: bijela
Referentni proizvod: HEWI / 477.21.200
ili istovjetni proizvod,
ponuđeni proizvod/tip:
.......................................................
.......................
(ispunjava ponuđač)</t>
  </si>
  <si>
    <t>503.020.00215</t>
  </si>
  <si>
    <t>Zidna kuka</t>
  </si>
  <si>
    <t>Kukica za zid
kao pravokutna savijena, cilindrična kukica, s okvirom za pričvršćivanje i štitnikom za vrata, s prekrivenim vijčanim spojem za zaštitu od krađe, dubine 105 mm, s promjerom okvira od 70 mm, od sjajnog poliamida,
Boja: bijela
Referentni proizvod: HEWI / 477.90.035
ili istovjetni proizvod,
ponuđeni proizvod/tip:
.......................................................
.......................
(ispunjava ponuđač)</t>
  </si>
  <si>
    <t>503.020.00220</t>
  </si>
  <si>
    <t>- Pisoar za sanitarije kupaca</t>
  </si>
  <si>
    <t>SUR1 - nabava doprema i montaža pisoara
- pisoar, samousisavajući, bijele boje, dovod i odvod zakriveni
- montažni element za pisoar odgovara za niže navedeni vodokotlić za pisoar
- elektronsko upravljanje pisoara za zidnu montažu, prekriven, kao upravljanje pomoću senzora, sa podesivom podžbuknom elektronikom i magnetnim ventilom, sa podesivim vremenom ispiranja i zaštitom od preliva, kontrola razine punjenja i podžbukni mrežni uređaj.
- od 2 pisoara jedan pored drugog plastičnog pregradni zidovi bijele boje u potrebnoj količini. Pričvršćivanje pokriveno od sanitarne keramike sukladno popisu proizvoda.
Obračun po komadu kompletno ugrađenog i u rad puštenog pisoara.</t>
  </si>
  <si>
    <t>503.020.00225</t>
  </si>
  <si>
    <t>Sudoper čelik, emajliran na zid</t>
  </si>
  <si>
    <t>Izljevno korito,
Proizvođač /Tip 'ALAPE/AG.Stahlform 505',
od čelika, emajlirano, bijele boje,
Dimenzije širine/dubine:
ca. 55 x 33 cm
postavljeno na zid, s poluvisokom poleđinom, s podebljanim rubom i zaštitom za rubove, s preklopnom rešetkom. Za pričvršćivanje vijcima. Izljevni ventil za hladnu vodu, s odzračnikom, nepovratnim zatvaračem i priključkom za crijevo DN 15, kromiran.
Sifon s priborom uključujući sifon DIN EN 274 za izljevno korito, kompl. odvodna garnitura,
2 x DN 50, s brtvenim rubom od plastike, otporan na vruću vodu, S priključnim lukom.</t>
  </si>
  <si>
    <t>503.020.00230</t>
  </si>
  <si>
    <t>Elektr. Slavine miješalice. Za WB SWT8, SWT9, SWT13.2</t>
  </si>
  <si>
    <t>Miješalica u standardnoj izvedbi s jednim otvorom za umivaonike, sa senzorom za detekciju približavanja, od mjedi, kromirana, uključujući mrežni element za montažu u zid, s kutijom za montažu, uključujući perlator zaštićen od krađe.
električni priključak: 230 V, 50 Hz, 6 V
Radni napon: 6 V
uključujući transformator, osigurače, zaštitu od
prskanja. Mrežni element se treba vodonepropusno ugraditi ispod odgovarajućeg
umivaonika u ugradbenu kutiju
za pločice. Uključujući ugradbenu kutiju,
s okvirom od pločica.
Proizvod/tip: MEPA / Saniline Dolphin
Br. artikla: 718602 i br. artikla. 718645
ili istovjetni proizvod,
ponuđeni proizvod/tip:
.......................................................
.......................
(ispunjava ponuđač)</t>
  </si>
  <si>
    <t>503.020.00235</t>
  </si>
  <si>
    <t>Jednoručna baterija za sudoper, DN 15</t>
  </si>
  <si>
    <t>Jednoručna miješalica s jednim otvorom za sudopere, DN 15
za otvorene bojlere,
Proizvođač / tip HANSA / Hansamix br. 112 1183
ili istovjetni proizvod,
ponuđeni proizvod/tip:
.......................................................
.......................
(ispunjava ponuđač)
S oznakom:
od mjedi, kromirani, zvučna svojstva prema DIN EN 200 s okretnom cijevnom slavinom i perlatorom, s otvorom za spremanje lanca, lancem i čepom, uključujući perlator zaštićen od krađe za niskotlačne armature.</t>
  </si>
  <si>
    <t>503.020.00240</t>
  </si>
  <si>
    <t>Jednoručna baterija za umivaonik, DN 15</t>
  </si>
  <si>
    <t>Jednoručna miješalica s jednim otvorom za umivaonike, DN 15 za otvorene iz bojlere,
Proizvođač / tip HANSA / Hansamix br. 0113 1183
ili istovjetni proizvod,
ponuđeni proizvod/tip:
.......................................................
.......................
(ispunjava ponuđač)
S oznakom:
od mjedi, kromirani,
Zvučna svojstva prema DIN EN 200
s nepomičnom slavinom,
s perlatorom, zaštićen od krađe M24 x 1.AG
(Br. artikla 59905721)
s upravljačkom ručicom
Dubina do 141 mm.</t>
  </si>
  <si>
    <t>503.020.00245</t>
  </si>
  <si>
    <t>- Električni bojler 10 litara</t>
  </si>
  <si>
    <t>Dobava i montaža električnog bojlera kao tip Simens ili AEG za pripremu tople vode sa ventilima i svom sigurnosno-spojnom armaturom. Podešavanje temperature bez stupnjevanja do 85 ºC, ugrađen kombinirani regulator-limitator. Montaža iznad spuštenih stropova ili niskomontažni na zid. Obračun po komadu kompletno ugrađenog i u rad puštenog bojlera
EGV10 lit 2kW; 230V</t>
  </si>
  <si>
    <t>503.020.00250</t>
  </si>
  <si>
    <t>- Električni bojler 30 litara</t>
  </si>
  <si>
    <t>Dobava i montaža električnog bojlera kao tip Simens ili AEG za pripremu tople vode sa ventilima i svom sigurnosno-spojnom armaturom. Podešavanje temperature bez stupnjevanja do 85 ºC, ugrađen kombinirani regulator-limitator. Montaža iznad spuštenih stropova ili niskomontažni na zid. Obračun po komadu kompletno ugrađenog i u rad puštenog bojlera
EGV30 lit 2kW; 230V</t>
  </si>
  <si>
    <t>503.020.00255</t>
  </si>
  <si>
    <t>- Električni bojler 100 litara</t>
  </si>
  <si>
    <t>Dobava i montaža električnog bojlera kao tip Simens ili AEG za pripremu tople vode sa ventilima i svom sigurnosno-spojnom armaturom. Podešavanje temperature bez stupnjevanja do 85 ºC, ugrađen kombinirani regulator-limitator. Montaža iznad spuštenih stropova ili niskomontažni na zid. Obračun po komadu kompletno ugrađenog i u rad puštenog bojlera.
EGV100 lit; 2kW; 230V - horizontalna izvedba</t>
  </si>
  <si>
    <t>503.020.00260</t>
  </si>
  <si>
    <t>Priključak dvostrukog sudopera od nehrđajućeg čelika isporučen na licu mjesta</t>
  </si>
  <si>
    <t>Priključak isporučenog sudopera od nehrđajućeg čelika,
s izljevnim koritom, ručnom glavom i armaturom, na mrežu hladne, tople i otpadne vode,
uklj. sve potrebne materijale.
Za područje pripreme svježe robe/ribe, pekarnice</t>
  </si>
  <si>
    <t>503.020.00265</t>
  </si>
  <si>
    <t>Priključak sudopera od nehrđajućeg čelika isporučen na licu mjesta</t>
  </si>
  <si>
    <t>Priključak isporučenog sudopera od nehrđajućeg čelika,
i perilice posuđa na mrežu hladne, tople i otpadne vode, uklj. sve potrebne materijale.
Prostor za osoblje</t>
  </si>
  <si>
    <t>503.020.00270</t>
  </si>
  <si>
    <t>Spajanje automata na području osoblja</t>
  </si>
  <si>
    <t>Priključak automata za piće u području za osoblje (Kaufland) i u trgovačkom centru (ulazni prostor) na mrežu hladne vode uključujući sve potrebne materijale.</t>
  </si>
  <si>
    <t>503.020.00275</t>
  </si>
  <si>
    <t>Priključak na pećnicu u samoposlužnoj pekarnici</t>
  </si>
  <si>
    <t>Priključak pećnice u samoposlužnoj pekarnici na mrežu hladne vode uključujući sve potrebne materijale.</t>
  </si>
  <si>
    <t>503.020.00280</t>
  </si>
  <si>
    <t>Fugiranje</t>
  </si>
  <si>
    <t>Punjenje fuga s trajno elastičnom ispunom od silikona, bijele odnosno sive boje,
između sanitarnih elemenata i zida.</t>
  </si>
  <si>
    <t>503.020.00285</t>
  </si>
  <si>
    <t>- Limena vindabona</t>
  </si>
  <si>
    <t>SAG1 - nabava doprema i montaža slivnika (limena vindabona)
• slivnik sa stražnjom stijenkom
• čelični lim bijele boje 55 cm
• garnitura odvoda sa sifonom za sprečavanje prodora neugodnog mirisa
• perlator zaštićen od krađe
• preklopna rešetka
• sifon
• ispušni ventil za hladnu vodu s ventilatorom, protustrujnom zaklopkom i priključkom za cijev DN 15 – ½ u kromiranoj izvedbi (SAV1)
Obračun po komadu kompletno ugrađenog i u rad puštenog slivnika (limena vindabona)</t>
  </si>
  <si>
    <t>503.020.00290</t>
  </si>
  <si>
    <t>SAG2 - nabava doprema i montaža slivnika (limena vindabona)
• slivnik sa stražnjom stjenkom, čelični lim bijele boje, 55 cm
• garnitura odvoda sa sifonom za sprečavanje prodora neugodnog mirisa i priključak za perilicu
• zidna baterija ½” s okretnim ispustom, čvrsto pričvršćen, hladna i topla voda
• perlator zaštićen od krađe
• preklopna rešetka
• sifon
• ispušni ventil za hladnu vodu: s ventilatorom, protustrujnom zaklopkom i priključkom za cijev DN 15 – ½“ ukromiranoj
izvedbi (SAV1)
• ispušni ventil za hladnu vodu: s ventilatorom, protustrujnom zaklopkom i priključkom za cijev, DN 20 – ¾“ u kromiranoj
izvedbi, uz konstrukciju iznad slivnika. Dovod DN 20 (kod podžbuknih instalacija, kao ventil u zidnu bateriju može se
integrirati odvodni ventil)
• priprema tople vode za prostorije za strojeve za čišćenje: priključiti na uređaj za pripremu tople vode (SHW2) - ukoliko
se SHW2 ne nalazi u prostoriji sa strojevima za čišćenje, tada odvojeni bojler za toplu vodu 30 litara
Obračun po komadu kompletno ugrađenog i u rad slivnika (limena vindabona)</t>
  </si>
  <si>
    <t>503.020.00295</t>
  </si>
  <si>
    <t>SAG2.1 - nabava doprema i montaža slivnika (limena vindabona)
• slivnik sa stražnjom stjenkom, čelični lim bijele boje, 55 cm
• s preklopnom rešetkom
• ispusna garnitura sa zatvaračem za sprječavanje širenja neugodnih mirisa (sifon od plastike)
• dvoručna zidna miješalica ½“, nadžbuka, sa zakretnim ispustom, čvrsto priključena, hladna i topla voda
• perlator zaštićen od krađe
• Priprema tople vode spremnik tople vode kao otvoreni uređaj za gornju montažu, 10 litara
Obračun po komadu kompletno ugrađenog i u rad puštenog slivnika (limena vindabona).</t>
  </si>
  <si>
    <t>503.020.00300</t>
  </si>
  <si>
    <t>- Ispusni ventil</t>
  </si>
  <si>
    <t>SAV1 - nabava doprema i montaža ispusnog ventila (holedner slavina)
Ispusni ventil s ventilatorom, protustrujna zaklopka i navrtanj za crijevo, nazivni promjer 15 u kromiranoj izvedbi. Obračun po komadu kompletno montiranog ispusnog ventila.</t>
  </si>
  <si>
    <t>503.020.00305</t>
  </si>
  <si>
    <t>SAV4 - Priključak vode za uređaj za čišćenje
Ispusni ventil za hladnu vodu s ventilatorom, protustrujnom zaklopkom, navrtnjem za crijevo DN20-3/4 cola, kromirana izvedba
Visina otpr. 1,80 m iznad poda
Uređaji za čišćenje "ECOLAB Topmaster" ili "TANA-Chemie" smiju se koristiti samo s hladnom vodom.</t>
  </si>
  <si>
    <t>503.020.00310</t>
  </si>
  <si>
    <t>- Priljučak za hladnu vodu</t>
  </si>
  <si>
    <t>SWA1-Priključak vode za piće i priključak odvoda kanalizacije. Postaviti u kut stražnjeg zida koncensionarske površine, ne na bočne
zidove. Cjevovod vode za piće završava 15 cm iznad spuštenog stropa, s armaturom za zatvaranje i brojačem potrošnje vode
kao M-Bus brojač, propisno plombiran, baždaren i označen brojem. Odvod kanalizacije nazivnog promjera 100 mm mora se
postaviti direktno iznad gotovog poda. Dodatni cjevovodi su u nadležnosti najmoprimca.</t>
  </si>
  <si>
    <t>503.020.00315</t>
  </si>
  <si>
    <t>SWA5.1. - Priključak za vodu za piće: vod za hladnu vodu ispod žbuke ½“,za automat za vruće napitke s kutnim ventilom vanjski navoj3/8“. Položaj prema podacima dobavljača automata za vruće napitke.
Obračun po komadu kompletno montiranog ispusnog ventila.</t>
  </si>
  <si>
    <t>503.020.00320</t>
  </si>
  <si>
    <t>- Priključci za pećnicu</t>
  </si>
  <si>
    <t>Izvedba:
Priključci za pećnice:
- Dovodna voda sa 3x ispusnim ventilom sa smanjenim tlakom, maks. 3 bara, ¾'' regulator tlaka u području pećnice (dobava i montaža).
Visina iznad gotovog poda cca. 70 cm. Dovodne cijevi vode za pećnice (nadolaze odozgo) moraju se moći
pojedinačno blokirati.
- Priključak za odovd: cjevovod od plastičnih cijevi otpornih na visoke temperature (HT-cijev) DN50 za odvod
kondenzirane vode iz pećnica i ventilacijske haube.Na stražnjoj strani peći sa slobodnim izlazom preko podnog odvoda (SBE3).</t>
  </si>
  <si>
    <t>503.030</t>
  </si>
  <si>
    <t>Mreža za opskrbu pitkom vodom</t>
  </si>
  <si>
    <t>503.030.00110</t>
  </si>
  <si>
    <t>Plastična cijev 16 x 2.2</t>
  </si>
  <si>
    <t>Cjevovodi od stabilnih sivih
PE-Xc/Al/PE-Xc spojnih cijevi s više slojeva, za instalacije pitke vode prema DIN 1988 / EN 806, otporni na difuziju, kompresijski spoj od crvenog lijeva ili silicijske bronce kao sustav s optimiranim gubicima tlaka, bez O-prstena, s ispitanom sigurnošću i certifikatom, s lijevanim potpornjem i predmontiranom čahurom od nehrđajućeg čelika, nerazdvojnom, s certifikatom o ispitivanju, uklj. oblikovane i spojne elemente i brtveni materijal, uklj. pričvršćenja za cijevi, s izolacijom protiv vibracija u tijelu, s prikladnim tiplama koje su odobrene od strane građevinskog nadzora.
Vanjski promjer x debljina zida: 16 x 2,2 mm
isporučiti i montirati.</t>
  </si>
  <si>
    <t>503.030.00115</t>
  </si>
  <si>
    <t>Plastični cjevovod 20 x 2,8</t>
  </si>
  <si>
    <t>Cjevovodi od stabilnih sivih
PE-Xc/Al/PE-Xc spojnih cijevi s više slojeva, za instalacije pitke vode prema DIN 1988 / EN 806, otporni na difuziju, kompresijski spoj od crvenog lijeva ili silicijske bronce kao sustav s optimiranim gubicima tlaka, bez O-prstena, s ispitanom sigurnošću i certifikatom, s lijevanim potpornjem i predmontiranom čahurom od nehrđajućeg čelika, nerazdvojnom, s certifikatom o ispitivanju, uklj. oblikovane i spojne elemente i brtveni materijal, uklj. pričvršćenja za cijevi, s izolacijom protiv vibracija u tijelu, s prikladnim tiplama koje su odobrene od strane građevinskog nadzora.
Vanjski promjer x debljina zida: 20 x 2,8 mm
isporučiti i montirati.</t>
  </si>
  <si>
    <t>503.030.00120</t>
  </si>
  <si>
    <t>Plastični cjevovod 25 x 2,7</t>
  </si>
  <si>
    <t>Cjevovodi od stabilnih sivih
PE-Xc/Al/PE-Xc spojnih cijevi s više slojeva, za instalacije pitke vode prema DIN 1988 / EN 806, otporni na difuziju, kompresijski spoj od crvenog lijeva ili silicijske bronce kao sustav s optimiranim gubicima tlaka, bez O-prstena, s ispitanom sigurnošću i certifikatom, s lijevanim potpornjem i predmontiranom čahurom od nehrđajućeg čelika, nerazdvojnom, s certifikatom o ispitivanju, uklj. oblikovane i spojne elemente i brtveni materijal, uklj. pričvršćenja za cijevi, s izolacijom protiv vibracija u tijelu, s prikladnim tiplama koje su odobrene od strane građevinskog nadzora.
Vanjski promjer x debljina zida: 25 x 2,7 mm
isporučiti i montirati.</t>
  </si>
  <si>
    <t>503.030.00125</t>
  </si>
  <si>
    <t>Plastična cijev 32 x 3,2</t>
  </si>
  <si>
    <t>Cjevovodi od stabilnih sivih
PE-Xc/Al/PE-Xc spojnih cijevi s više slojeva, za instalacije pitke vode prema DIN 1988 / EN 806, otporni na difuziju, kompresijski spoj od crvenog lijeva ili silicijske bronce kao sustav s optimiranim gubicima tlaka, bez O-prstena, s ispitanom sigurnošću i certifikatom, s lijevanim potpornjem i predmontiranom čahurom od nehrđajućeg čelika, nerazdvojnom, s certifikatom o ispitivanju, uklj. oblikovane i spojne elemente i brtveni materijal, uklj. pričvršćenja za cijevi, s izolacijom protiv vibracija u tijelu, s prikladnim tiplama koje su odobrene od strane građevinskog nadzora.
Vanjski promjer x debljina zida: 32 x 3,2 mm
isporučiti i montirati.</t>
  </si>
  <si>
    <t>503.030.00130</t>
  </si>
  <si>
    <t>Plastična cijev 40 x 3,5</t>
  </si>
  <si>
    <t>Cjevovodi od stabilnih sivih
PE-Xc/Al/PE-Xc spojnih cijevi s više slojeva, za instalacije pitke vode prema DIN 1988 / EN 806, otporni na difuziju, kompresijski spoj od crvenog lijeva ili silicijske bronce kao sustav s optimiranim gubicima tlaka, bez O-prstena, s ispitanom sigurnošću i certifikatom, s lijevanim potpornjem i predmontiranom čahurom od nehrđajućeg čelika, nerazdvojnom, s certifikatom o ispitivanju, uklj. oblikovane i spojne elemente i brtveni materijal, uklj. pričvršćenja za cijevi, s izolacijom protiv vibracija u tijelu, s prikladnim tiplama koje su odobrene od strane građevinskog nadzora.
Vanjski promjer x debljina zida: 40 x 3,5 mm
isporučiti i montirati.</t>
  </si>
  <si>
    <t>503.030.00135</t>
  </si>
  <si>
    <t>Plastična cijev 50 x 4,0</t>
  </si>
  <si>
    <t>Cjevovodi od stabilnih sivih
PE-Xc/Al/PE-Xc spojnih cijevi s više slojeva, za instalacije pitke vode prema DIN 1988 / EN 806, otporni na difuziju, kompresijski spoj od crvenog lijeva ili silicijske bronce kao sustav s optimiranim gubicima tlaka, bez O-prstena, s ispitanom sigurnošću i certifikatom, s lijevanim potpornjem i predmontiranom čahurom od nehrđajućeg čelika, nerazdvojnom, s certifikatom o ispitivanju, uklj. oblikovane i spojne elemente i brtveni materijal, uklj. pričvršćenja za cijevi, s izolacijom protiv vibracija u tijelu, s prikladnim tiplama koje su odobrene od strane građevinskog nadzora.
Vanjski promjer x debljina zida: 50 x 4,0 mm
isporučiti i montirati.</t>
  </si>
  <si>
    <t>503.030.00140</t>
  </si>
  <si>
    <t>Zaporni ventil slobodnog protoka, DN 40 s ispusnim ventilom</t>
  </si>
  <si>
    <t>Zaporni ventil slobodnog protoka,
Proizvod/tip: KEMPER / Figura 173 2G ili istovjetni proizvod,
ponuđeni proizvod/tip:
.......................................................
........................
(ispunjava ponuđač)
DN 40 - 42 mm,
u nakošenom položaju, s ventilom za pražnjenje, s kućištem i gornjim dijelom od crvenog lijeva, bez mrtvog prostora, s EPDM brtvama prema DIN EN 1213, odobrenje prema DVGW-u i vezano za zaštitu od buke, PN 16, obostrano s vanjskim navojem, uklj. kompresijski vijčani spoj prikladan za prethodno navedeni cijevni sustav s konturnom brtvom, s maticom za vanjski navoj, EPDM-brtvama i izolacijskom oblogom,
kompletno isporučiti i montirati.</t>
  </si>
  <si>
    <t>503.030.00145</t>
  </si>
  <si>
    <t>Zaporni ventil slobodnog protoka, DN 50 s ispušnim ventilom</t>
  </si>
  <si>
    <t>Zaporni ventil slobodnog protoka,
Proizvod/tip: KEMPER / Figura 173 2G ili istovjetni proizvod,
ponuđeni proizvod/tip:
.......................................................
........................
(ispunjava ponuđač)
DN 50 - 54 mm,
u nakošenom položaju, s ventilom za pražnjenje, s kućištem i gornjim dijelom od crvenog lijeva, bez mrtvog prostora, s EPDM brtvama prema DIN EN 1213, odobrenje prema DVGW-u i vezano za zaštitu od buke, PN 16, obostrano s vanjskim navojem, uklj. kompresijski vijčani spoj prikladan za prethodno navedeni cijevni sustav s konturnom brtvom, s maticom za vanjski navoj, EPDM-brtvama i izolacijskom oblogom,
kompletno isporučiti i montirati.</t>
  </si>
  <si>
    <t>503.030.00150</t>
  </si>
  <si>
    <t>Vodomjer sa kotačem, snaga 2,5 m3 / h</t>
  </si>
  <si>
    <t>Brojilo vode s kotačićem,
Proizvod/tip: METHERM / Modularis,
Snaga 2,5 m3/h,
za slobodno postavljanje,
dužina konstrukcije 190 mm,
DN 20,
kućište od mjedi,
s komunikacijskim modulom, M-Bus modul,
uklj. troškove za ovjeru,
uklj. sve potrebne materijale za spajanje i
brtvljenje.</t>
  </si>
  <si>
    <t>503.030.00155</t>
  </si>
  <si>
    <t>Vodomjer sanitarne potrošnje</t>
  </si>
  <si>
    <t>Brojilo vode sanitarne potrošnje u vodomjernom oknu,
protok 1,4 l/s
DN 40,
s komunikacijskim modulom, M-Bus modul,
prema uvjetima vodovoda Osijek
uklj. sve potrebne materijale za spajanje i
brtvljenje.</t>
  </si>
  <si>
    <t>503.030.00160</t>
  </si>
  <si>
    <t>Vodomjer hidrantske potrošnje</t>
  </si>
  <si>
    <t>Brojilo vode hidrantske mreže ,
protok 30 l/s ,
DN 200,
s komunikacijskim modulom, M-Bus modul,
prema uvjetima voovoda Osijek
uklj. sve potrebne materijale za spajanje i
brtvljenje.</t>
  </si>
  <si>
    <t>503.030.00165</t>
  </si>
  <si>
    <t>- Lijevano željezni fazonski komad</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</si>
  <si>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FF komad l= 1200 mm; DN200</t>
  </si>
  <si>
    <t>503.030.00170</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</si>
  <si>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FF komad l= 200 mm; DN200</t>
  </si>
  <si>
    <t>503.030.00175</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</si>
  <si>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FF komad l= 200 mm; DN50</t>
  </si>
  <si>
    <t>503.030.00180</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</si>
  <si>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TT komad DN200</t>
  </si>
  <si>
    <t>503.030.00185</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</si>
  <si>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Q komad DN20</t>
  </si>
  <si>
    <t>503.030.00190</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</si>
  <si>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FFR komad DN200/DN80</t>
  </si>
  <si>
    <t>503.030.00195</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</si>
  <si>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FFR komad DN80/DN50</t>
  </si>
  <si>
    <t>503.030.00200</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</si>
  <si>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MDK komad DN200</t>
  </si>
  <si>
    <t>503.030.00205</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</si>
  <si>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MDK komad DN50</t>
  </si>
  <si>
    <t>503.030.00215</t>
  </si>
  <si>
    <t>- Zaun</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</si>
  <si>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Zasun DN200</t>
  </si>
  <si>
    <t>503.030.00220</t>
  </si>
  <si>
    <t>Nabava, doprema i montaža i lijevano željeznih fazonskih komada i drugih spojnog materijala za pogonski tlak 12,5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Zasun DN50</t>
  </si>
  <si>
    <t>503.030.00225</t>
  </si>
  <si>
    <t>- Teleskopsko vreteno sa zaštitnom cijevi</t>
  </si>
  <si>
    <t>Nabava, doprema i montaža teleskopskok vretena sa zaštitnom cijevi. Stavkom obuhvaćeni kompletni monterski i građevinski radovi, te sav poreban materijal. Obračun se vrši po kompletno izvedenoj montaži fazonskih komada.</t>
  </si>
  <si>
    <t>503.030.00230</t>
  </si>
  <si>
    <t>- Hvatač nečistoća</t>
  </si>
  <si>
    <t>Nabava, doprema i montaža hvatača nečistoća Stavkom obuhvaćeni kompletni monterski i građevinski radovi, te sav poreban materijal. Obračun se vrši po kompletno izvedenoj montaži fazonskih komada.
Hvatač nečistoća DN200</t>
  </si>
  <si>
    <t>503.030.00235</t>
  </si>
  <si>
    <t>Nabava, doprema i montaža hvatača nečistoća Stavkom obuhvaćeni kompletni monterski i građevinski radovi, te sav poreban materijal. Obračun se vrši po kompletno izvedenoj montaži fazonskih komada.
Hvatač nečistoća DN50</t>
  </si>
  <si>
    <t>503.030.00240</t>
  </si>
  <si>
    <t>- ZOPT</t>
  </si>
  <si>
    <t>'Nabava, doprema i montaža vodomjera Stavkom obuhvaćeni kompletni monterski i građevinski radovi, te sav poreban materijal. Obračun se vrši po kompletno izvedenoj montaži fazonskih komada.
ZOPT DN200</t>
  </si>
  <si>
    <t>503.030.00245</t>
  </si>
  <si>
    <t>503.030.00250</t>
  </si>
  <si>
    <t>- spojnica</t>
  </si>
  <si>
    <t>'Nabava, doprema i montaža spojnice PEHD cijevi Stavkom obuhvaćeni kompletni monterski i građevinski radovi, te sav poreban materijal. Obračun se vrši po kompletno izvedenoj montaži fazonskih komada.
spojnica DN200</t>
  </si>
  <si>
    <t>503.030.00255</t>
  </si>
  <si>
    <t>'Nabava, doprema i montaža spojnice PEHD cijevi Stavkom obuhvaćeni kompletni monterski i građevinski radovi, te sav poreban materijal. Obračun se vrši po kompletno izvedenoj montaži fazonskih komada.
spojnica DN50</t>
  </si>
  <si>
    <t>503.030.00260</t>
  </si>
  <si>
    <t>Nabava, doprema i montaža vodovodnih ljevano željeznih fazonskih komada i drugog spojnog materijala za pogonski tlak 16 bara, za montažu nadzemnog hidranata.
Raznošenje fazonskih komada duž rova. Montaža prirubnicom brtvenim gumenim prstenom ili klingeritom, uključivo sav brtveni materijal s vijcima, te izolacija spojeva bitumenskim premazom.
Fazonski komadi su od nodularnog ljeva i spajaju se sa PE-HD cijevima preko tipskih spojnica.
nadzemni hidrant NO100 mm (s kuglom)</t>
  </si>
  <si>
    <t>503.030.00265</t>
  </si>
  <si>
    <t>Nabava, doprema i montaža vodovodnih ljevano željeznih fazonskih komada i drugog spojnog materijala za pogonski tlak 16 bara, za montažu nadzemnog hidranata.
Raznošenje fazonskih komada duž rova. Montaža prirubnicom brtvenim gumenim prstenom ili klingeritom, uključivo sav brtveni materijal s vijcima, te izolacija spojeva bitumenskim premazom.
Fazonski komadi su od nodularnog ljeva i spajaju se sa PE-HD cijevima preko tipskih spojnica.
ulična kapa za zasun</t>
  </si>
  <si>
    <t>503.030.00270</t>
  </si>
  <si>
    <t>503.030.00275</t>
  </si>
  <si>
    <t>Nabava, doprema i montaža vodovodnih ljevano željeznih fazonskih komada i drugog spojnog materijala za pogonski tlak 16 bara, za montažu nadzemnog hidranata.
Raznošenje fazonskih komada duž rova. Montaža prirubnicom brtvenim gumenim prstenom ili klingeritom, uključivo sav brtveni materijal s vijcima, te izolacija spojeva bitumenskim premazom.
Fazonski komadi su od nodularnog ljeva i spajaju se sa PE-HD cijevima preko tipskih spojnica.
lučni komad sa stopalom NO100, N90°</t>
  </si>
  <si>
    <t>503.030.00280</t>
  </si>
  <si>
    <t>503.030.00285</t>
  </si>
  <si>
    <t>Nabava, doprema i montaža vodovodnih ljevano željeznih fazonskih komada i drugog spojnog materijala za pogonski tlak 16 bara, za montažu nadzemnog hidranata.
Raznošenje fazonskih komada duž rova. Montaža prirubnicom brtvenim gumenim prstenom ili klingeritom, uključivo sav brtveni materijal s vijcima, te izolacija spojeva bitumenskim premazom.
Fazonski komadi su od nodularnog ljeva i spajaju se sa PE-HD cijevima preko tipskih spojnica.
teleskopsko vreteno sa zaštitnom cijevi</t>
  </si>
  <si>
    <t>503.030.00290</t>
  </si>
  <si>
    <t>Nabava, doprema i montaža vodovodnih ljevano željeznih fazonskih komada i drugog spojnog materijala za pogonski tlak 16 bara, za montažu nadzemnog hidranata.
Raznošenje fazonskih komada duž rova. Montaža prirubnicom brtvenim gumenim prstenom ili klingeritom, uključivo sav brtveni materijal s vijcima, te izolacija spojeva bitumenskim premazom.
Fazonski komadi su od nodularnog ljeva i spajaju se sa PE-HD cijevima preko tipskih spojnica.
spojni komad sa prirubnicama FF NO100, l cca 200mm</t>
  </si>
  <si>
    <t>503.030.00295</t>
  </si>
  <si>
    <t>Nabava, doprema i montaža vodovodnih ljevano željeznih fazonskih komada i drugog spojnog materijala za pogonski tlak 16 bara, za montažu nadzemnog hidranata.
Raznošenje fazonskih komada duž rova. Montaža prirubnicom brtvenim gumenim prstenom ili klingeritom, uključivo sav brtveni materijal s vijcima, te izolacija spojeva bitumenskim premazom.
Fazonski komadi su od nodularnog ljeva i spajaju se sa PE-HD cijevima preko tipskih spojnica.
kugla za pražnjenje</t>
  </si>
  <si>
    <t>503.030.00300</t>
  </si>
  <si>
    <t>Nabava, doprema i montaža vodovodnih ljevano željeznih fazonskih komada i drugog spojnog materijala za pogonski tlak 16 bara, za montažu nadzemnog hidranata.
Raznošenje fazonskih komada duž rova. Montaža prirubnicom brtvenim gumenim prstenom ili klingeritom, uključivo sav brtveni materijal s vijcima, te izolacija spojeva bitumenskim premazom.
Fazonski komadi su od nodularnog ljeva i spajaju se sa PE-HD cijevima preko tipskih spojnica.
T komad 150/100</t>
  </si>
  <si>
    <t>503.030.00305</t>
  </si>
  <si>
    <t>Nabava, doprema i montaža vodovodnih ljevano željeznih fazonskih komada i drugog spojnog materijala za pogonski tlak 16 bara, za montažu nadzemnog hidranata.
Raznošenje fazonskih komada duž rova. Montaža prirubnicom brtvenim gumenim prstenom ili klingeritom, uključivo sav brtveni materijal s vijcima, te izolacija spojeva bitumenskim premazom.
Fazonski komadi su od nodularnog ljeva i spajaju se sa PE-HD cijevima preko tipskih spojnica.
spojnica za PEHD NO 100</t>
  </si>
  <si>
    <t>503.030.00310</t>
  </si>
  <si>
    <t>Nabava, doprema i montaža i lijevano željeznih fazonskih komada i drugih spojnog materijala za pogonski tlak 16 bara, za montažu na priključku, oknu vodomjera i hidrantima. Raznošenje fazonskih komada duž rova. Montaža prirubnicom brtvenim gumenim prstenom ili klingeritom, uključivo sav brtveni materijal s vijcima, te izolacija spojeva bitumenskim premazom. Stavkom obuhvaćeni kompletni monterski i građevinski radovi, te sav poreban materijal. Obračun se vrši po kompletno izvedenoj montaži fazonskih komada.
Zasun DN100</t>
  </si>
  <si>
    <t>503.040</t>
  </si>
  <si>
    <t>Prljava voda cijevne mreže</t>
  </si>
  <si>
    <t>503.040.00100</t>
  </si>
  <si>
    <t>Kanalizacijske cijevi, DN 32</t>
  </si>
  <si>
    <t>Odvodne cijevi, DN 32
kao zvučno izolirani odvodni sustav kuće za odvodne sustave prema DIN EN 12056 i DIN
1986-100, unutar zgrada, s PP spojnom cijevi pojačanom mineralnim vlaknima od bezhalogene plastike, s oblikovanom utičnom spojnicom i gotovim brtvenim prstenom koji se postavlja na gradilištu.
Otporne na vruću vodu: do 97 °C,
razina zvuka prilikom instalacije (prema EN 14366):
=22 dB (A) za 4 l/s, s potvrdom o zvučnoj izolaciji
Zapaljivost: Razred B2, s općenitim odobrenjem od strane građevinskog nadzora,
kompatibilne s HT oblikovanim elementima bez uporabe dodatnih prijelaznih elemenata.
Dužina: sve dužine
uklj. oblikovane i spojne elemente,
sigurnosne obujmice i brtveni materijal uklj.
pričvršćenja za cijevi, s izolacijom protiv vibracija u tijelu, s prikladnim
tiplama koje su odobrene od strane građevinskog nadzora.
Referentni proizvod: REHAU / Raupiano Plus, DN 32
ili istovjetni proizvod,
ponuđeni proizvod/tip:
.......................................................
........................
(ispunjava ponuđač)
isporučiti i montirati</t>
  </si>
  <si>
    <t>503.040.00105</t>
  </si>
  <si>
    <t>Kanalizacijske cijevi, DN 40</t>
  </si>
  <si>
    <t>Odvodne cijevi, DN 40
kao zvučno izolirani odvodni sustav kuće za odvodne sustave prema DIN EN 12056 i DIN
1986-100, unutar zgrada, s PP spojnom cijevi pojačanom mineralnim vlaknima od bezhalogene plastike, s oblikovanom utičnom spojnicom i gotovim brtvenim prstenom koji se postavlja na gradilištu.
Otporne na vruću vodu: do 97 °C,
razina zvuka prilikom instalacije (prema EN 14366):
=22 dB (A) za 4 l/s, s potvrdom o zvučnoj izolaciji
Zapaljivost: Razred B2, s općenitim odobrenjem od strane građevinskog nadzora,
kompatibilne s HT oblikovanim elementima bez uporabe dodatnih prijelaznih elemenata.
Dužina: sve dužine
uklj. oblikovane i spojne elemente,
sigurnosne obujmice i brtveni materijal uklj.
pričvršćenja za cijevi, s izolacijom protiv vibracija u tijelu, s prikladnim
tiplama koje su odobrene od strane građevinskog nadzora.
Referentni proizvod: REHAU / Raupiano Plus, DN 40
ili istovjetni proizvod,
ponuđeni proizvod/tip:
.......................................................
........................
(ispunjava ponuđač)
isporučiti i montirati</t>
  </si>
  <si>
    <t>503.040.00110</t>
  </si>
  <si>
    <t>Kanalizacijske cijevi, DN 50</t>
  </si>
  <si>
    <t>Odvodne cijevi, DN 50
kao zvučno izolirani odvodni sustav kuće za odvodne sustave prema DIN EN 12056 i DIN
1986-100, unutar zgrada, s PP spojnom cijevi pojačanom mineralnim vlaknima od bezhalogene plastike, s oblikovanom utičnom spojnicom i gotovim brtvenim prstenom koji se postavlja na gradilištu.
Otporne na vruću vodu: do 97 °C,
razina zvuka prilikom instalacije (prema EN 14366):
=22 dB (A) za 4 l/s, s potvrdom o zvučnoj izolaciji
Zapaljivost: Razred B2, s općenitim odobrenjem od strane građevinskog nadzora,
kompatibilne s HT oblikovanim elementima bez uporabe dodatnih prijelaznih elemenata.
Dužina: sve dužine
uklj. oblikovane i spojne elemente,
sigurnosne obujmice i brtveni materijal uklj.
pričvršćenja za cijevi, s izolacijom protiv vibracija u tijelu, s prikladnim
tiplama koje su odobrene od strane građevinskog nadzora.
Referentni proizvod: REHAU / Raupiano Plus, DN 50
ili istovjetni proizvod,
ponuđeni proizvod/tip:
.......................................................
........................
(ispunjava ponuđač)
isporučiti i montirati</t>
  </si>
  <si>
    <t>503.040.00115</t>
  </si>
  <si>
    <t>Kanalizacijske cijevi, DN 75</t>
  </si>
  <si>
    <t>Odvodne cijevi, DN 75
kao zvučno izolirani odvodni sustav kuće za odvodne sustave prema DIN EN 12056 i DIN
1986-100, unutar zgrada, s PP spojnom cijevi pojačanom mineralnim vlaknima od bezhalogene plastike, s oblikovanom utičnom spojnicom i gotovim brtvenim prstenom koji se postavlja na gradilištu.
Otporne na vruću vodu: do 97 °C,
razina zvuka prilikom instalacije (prema EN 14366):
=22 dB (A) za 4 l/s, s potvrdom o zvučnoj izolaciji
Zapaljivost: Razred B2, s općenitim odobrenjem od strane građevinskog nadzora,
kompatibilne s HT oblikovanim elementima bez uporabe dodatnih prijelaznih elemenata.
Dužina: sve dužine
uklj. oblikovane i spojne elemente,
sigurnosne obujmice i brtveni materijal uklj.
pričvršćenja za cijevi, s izolacijom protiv vibracija u tijelu, s prikladnim
tiplama koje su odobrene od strane građevinskog nadzora.
Referentni proizvod: REHAU / Raupiano Plus, DN 75
ili istovjetni proizvod,
ponuđeni proizvod/tip:
.......................................................
........................
(ispunjava ponuđač)
isporučiti i montirati</t>
  </si>
  <si>
    <t>503.040.00120</t>
  </si>
  <si>
    <t>Kanalizacijske cijevi, DN 110</t>
  </si>
  <si>
    <t>Odvodne cijevi, DN 110
kao zvučno izolirani odvodni sustav kuće za odvodne sustave prema DIN EN 12056 i DIN
1986-100, unutar zgrada, s PP spojnom cijevi pojačanom mineralnim vlaknima od bezhalogene plastike, s oblikovanom utičnom spojnicom i gotovim brtvenim prstenom koji se postavlja na gradilištu.
Otporne na vruću vodu: do 97 °C,
razina zvuka prilikom instalacije (prema EN 14366):
=22 dB (A) za 4 l/s, s potvrdom o zvučnoj izolaciji
Zapaljivost: Razred B2, s općenitim odobrenjem od strane građevinskog nadzora,
kompatibilne s HT oblikovanim elementima bez uporabe dodatnih prijelaznih elemenata.
Dužina: sve dužine
uklj. oblikovane i spojne elemente,
sigurnosne obujmice i brtveni materijal uklj.
pričvršćenja za cijevi, s izolacijom protiv vibracija u tijelu, s prikladnim
tiplama koje su odobrene od strane građevinskog nadzora.
Referentni proizvod: REHAU / Raupiano Plus, DN 110
ili istovjetni proizvod,
ponuđeni proizvod/tip:
.......................................................
........................
(ispunjava ponuđač)
isporučiti i montirati</t>
  </si>
  <si>
    <t>503.040.00125</t>
  </si>
  <si>
    <t>- Podni odvod od lijevanog željeza, DN 100, s rešetkom</t>
  </si>
  <si>
    <t>Nabava, doprema i montaža podnog slivnik od lijevanog željeza, izljev DN 100 vertiklani, s bijelim premazom na epoxy bazi, ispitanim prema
DIN EN 1253, Razred negorivosti materijala A1, nezapaljiv prema AbZ.Z-19.17-2144
s integriranom zvučnom izolacijom prema VDI 4100:2012, SST III = 22 dB(A),
Sa prirubnicom za uklještenje h.i. i otvorima za sekundarno dreniranje, zaštitnim poklopcem za vrijeme ugradnje i priključkom za uzemljenje, sa sifonom od plastike, u dva dijela s mogućnosti rastavljanja i čišćenja.
Gornji dio slivnika ,s okvirom od nehrđajućeg čelika 150 x 150 mm,
s mrežastom rešetkom od nehrđajućeg čelika dimenzije 142x142mm, bez mogućnosti zaključavanja Razred opterećenja L15, promjer izljeva 125 mm,sa tvornički spojenim platnom za spoj na plitke h.i. premaze.
Stavka uključuje i sito za nečistoće od nehrđajućeg čelika, materijal 1.4301
za promjer sita 180 mm, sa širinom proreza od 6 mm
Referentni proizvod: ACO PASSAVANT / Br. artikla.
5571.60.20
5128.10.55, 5141.97.22 i 7000.03.19
ili istovjetni proizvod,
ponuđeni proizvod/tip:
.......................................................
........................
(ispunjava ponuđač)</t>
  </si>
  <si>
    <t>503.040.00130</t>
  </si>
  <si>
    <t>- Podni odvod izrađen od nehrđajućeg čelika, DN 100, s rešetkom</t>
  </si>
  <si>
    <t>Donji dio slivnika ACO INOX 218 donjeg izljevnog dijela industrijskog slivnika izrađenog prema HRN EN 1253, s izvadivim zaporom za miris (sifonom), promjera tijela 218 mm, visine 170 mm i vertiklanim odvodom DN 100. Promjer prirubnice za uklještenje hidroizolacije 418 mm. Sve izrađeno iz nehrđajućeg čelika AISI 304 sa gumenim brtvenim prstenom. Minimalni protok slivnika 6,2 l/Sek prema HRN EN 1253-1, Higijenski dizajn prema EN1672, EN ISO 14159 i EHEDG dokument strana 8,13 i 44
ACO INOX 218 dosjeda za rešetku 268x268 mm industrijskog slivnika, izrađenog iz nehrđajućeg čelika AISI 304 prema HRN EN 1253. Okvir dimenzija 300x300 mm, ukupne visine 104 mm sa Extended rubom za prihvat plitke hidroizolacije ispod keramike. Promjer izljeva Ø200 za spoj na donji dio ACO INOX 218 industrijskog slivnika.
ACO INOX 218 protuklizne prečkaste rešetke 268x268 mm za industrijske slivnike, izrađene iz nehrđajućeg čelika AISI 304 prema HRN EN 1253. Visina rešetke 25 mm. Rešetka izvedena prema EHEDG higijenskim standardima sa zaobljenim rubovima i punim uzdužnim varom na svim prečkama. Zaštitna obrada materijala pikopasiviziranjem radi otpornosti na koroziju. Rešetka nosivosti M125 prema HRN EN 1253-1
ACO INOX 218 sito za nečistoće iz nehrđajućeg čelika AISI 304 prema HRN EN 1253. Promjer sita 222 mm, visina 50 mm, za vertiklani izljev.
Referentni proizvod: ACO PASSAVANT
Br. artikla 408065, 408243, 408037
i 416908
ili istovjetni proizvod,
ponuđeni proizvod/tip:
.......................................................
........................
(ispunjava ponuđač)</t>
  </si>
  <si>
    <t>503.040.00135</t>
  </si>
  <si>
    <t>- Podni odvod od lijevanog željeza, DN 100 s kantom</t>
  </si>
  <si>
    <t>Donji dio ACO INOX industrijskog slivnika TIP 142 , izrađenog prema EN 1253 iz nehrđajućeg čelika 1.4301, sa vertikalnim izljevom DN100, sa izvadivim higijenskim zaporom za miris (sifonom), promjera tijela 142 mm, sa prirubnicom za uklještenje hidroizolacije promjera 344 mm. Sve izrađeno iz nehrđajućeg čelika AISI 304 sa gumenim brtvenim prstenom. Minimalni protok slivnika 1,6 l/Sek prema HRN EN 1253-1, Higijenski dizajn prema EN1672, EN ISO 14159 i EHEDG dokument strana 8,13 i 44
ACO Hygienic 142 dosjeda za rešetku 168x168 mm industrijskog slivnika, izrađenog iz nehrđajućeg čelika AISI 304 prema HRN EN 1253. Okvir dimenzija 200x200 mm, ukupne visine 99 mm. Promjer izljeva Ø125 za spoj na donji dio ACO INOX 142 industrijskog slivnika.
Dosjed higijenskog dizajna izrađen tehnologijom dubokog vučenja sa svim kutevima u radijusu radi lakšeg čišćenja i održavanja, prema EHEDG i HACCP standardima.
ACO INOX 142 protuklizne mrežaste rešetke 168x168 mm za industrijske slivnike, izrađene iz elektropoliranog nehrđajućeg čelika AISI 304 prema HRN EN 1253. Visina rešetke 25 mm. Nosivost L15.
ACO INOX 142 sito za nečistoće iz nehrđajućeg čelika AISI 304 prema HRN EN 1253. Promjer sita 142mm, visina 45 mm, za vertiklani izljev.
Referentni proizvod: ACO PASSAVANT
Br. artikla 414718, 414832, 408090
i 416900
ili istovjetni proizvod,
ponuđeni proizvod/tip:
.......................................................
........................
(ispunjava ponuđač)</t>
  </si>
  <si>
    <t>503.040.00140</t>
  </si>
  <si>
    <t>- Podni slivnik od nehrđajućeg čelika 800x800</t>
  </si>
  <si>
    <t>Donji dio slivnika ACO INOX 218 donjeg izljevnog dijela industrijskog slivnika izrađenog prema HRN EN 1253, s izvadivim zaporom za miris (sifonom), promjera tijela 218 mm, visine 170 mm i vertiklanim odvodom DN 100. Promjer prirubnice za uklještenje hidroizolacije 418 mm. Sve izrađeno iz nehrđajućeg čelika AISI 304 sa gumenim brtvenim prstenom. Minimalni protok slivnika 6,2 l/Sek prema HRN EN 1253-1, Higijenski dizajn prema EN1672, EN ISO 14159 i EHEDG dokument strana 8,13 i 44
ACO kanala za odvodnju kuhinje u higijenskoj izvedbi dimenzije 800x830mm. Dubine na izljevu 80mm. Tijelo kanala iz nehrđajućeg čelika AISI 304 dodatno zaštićen postupkom piko-pasivizacije. Svi spojevi izrađeni sa radijusom većim od 3 mm prema higijenskom dizajnu HRN EN 14159 te EHEDG standardima za prehrambenu industriju, radi lakšeg čišćenja i održavanja. Tijelo izvedeno sa padom prema sredini i izljevom Ø 200 mm za spoj na podni slivnik 218..
ACO INOX 218 protuklizne mrežaste rešetke 768x398 mm za industrijske slivnike, izrađene iz elektropoliranog nehrđajućeg čelika AISI 304 prema HRN EN 1253. Visina rešetke 30 mm. Nosivost L15. Razred protukliznosti R11
ACO INOX 218 sito za nečistoće iz nehrđajućeg čelika AISI 304 prema HRN EN 1253. Promjer sita 222 mm, visina 50 mm, za vertiklani izljev.
Referentni proizvod: ACO PASSAVANT
Br. artikla 408065, 416672, 416878
i 416908
ili istovjetni proizvod,
ponuđeni proizvod/tip:
.......................................................
........................
(ispunjava ponuđač)</t>
  </si>
  <si>
    <t>503.040.00145</t>
  </si>
  <si>
    <t>Spajanje sudopera koje isporučuje kupac</t>
  </si>
  <si>
    <t>Priključak isporučenog kombiniranog korita odnosno dvostrukog korita na mrežu otpadne vode, uključujući sve potrebne materijale, uključujući izradu otvora za mješalicu slavine.</t>
  </si>
  <si>
    <t>503.040.00150</t>
  </si>
  <si>
    <t>Priključak na pećnicu u pekarnici</t>
  </si>
  <si>
    <t>Priključak pećnice u pekarnici na mrežu otpadne vode, s HT cijevi DN 50 (3 x 1,00 m)
kao slobodni izljev preko podnog odvoda uključujući lukove (6 komada), uključujući sve potrebne sitne dijelove i dijelove za pričvršćivanje.</t>
  </si>
  <si>
    <t>503.050</t>
  </si>
  <si>
    <t>Mreža cijevi za kišnicu</t>
  </si>
  <si>
    <t>503.050.00100</t>
  </si>
  <si>
    <t>- Podtlačni sustava odvodnje oborinskih krovnih voda</t>
  </si>
  <si>
    <t>Dobava i montaža podtlačnog sustava odvodnje oborinskih krovnih voda kao: ACO JET. Hidraulički proračun prema HRN EN 12056-3 i DIN 1986-100/VDI 3806), vodolovna grla prema (HRN EN 1253-1:2003-09 i HRN EN 1253-2: 2004-03),
Sve prema izvedbenim shemama, uputama i nadzoru proizvođača. Sva dokumentacija mora biti prema važećoj zakonskoj regulativi RH
Rješenje proizvođača oznake ACO.
Podtlačni sustav sastoji se od:
- ACO JET uljevni element s horizontalnim priključkom DN 70 izveden od inoxa AISI 304, univerzalnom prirubnicom za spoj na TPO, PVC ili bitumensku hidroizolacijsku foliju, zaštitnom košarom i izolacijskim elementom, zajedno sa izolacijskim tijelom protiv kondenzacije;
- ACO grijač 230V/25W sa termostatom;
- ACO GMX PIPE prema DIN-EN 1123 cjevovod sa svim potrebnim fazonskim komadima i spojnim priborom; specifikacijom proizvođača obuhvaćeno tm trase od DN70 i DN100 klasa negorivosti materijala A1, pocinčani čelik, spajanje na utični kolčak, u ponudi su i dodatne obujmice na spojevima.
- dobave kompletne tehničke i atestne dokumentacije za ACO JET podtlačni sistem odvodnje krovnih oborinskih voda.
Obračun se vrši po kompletu ACO JET podtlačni sistem odvodnje krovnih oborinskih voda.</t>
  </si>
  <si>
    <t>503.060</t>
  </si>
  <si>
    <t>Izolacije linijske mreže</t>
  </si>
  <si>
    <t>503.060.00100</t>
  </si>
  <si>
    <t>Toplinska izolacija DN 12, topla voda</t>
  </si>
  <si>
    <t>Toplinska izolacija na cjevovodima za toplu pitku vodu,
Izolacija od fizički umrežene polietilenske pjene sa zatvorenom strukturom, pojačana dodatnom folijom od mrežne tkanine otporne na trganje, s čvorovima na mjestima križanja, za sve materijale cijevi, za postavljenje u izbočeni zid i zidne proreze najvažnija svojstva proizvoda:
lambda vrijednost 0,036 W/(m*K) na 40 °C
robusna površina, otporna na trganje
CE oznaka prema EN 14313 za cjelokupno
europsko tržište
Razred materijala: B2
Razred materijala prema DIN EN 13501-1: EL
Toplinska vodljivost: l40°C = 0,036 W/(m×K)
Difuzijska otpornost na vodenu paru: m ³ 5200
Temperaturna otpornost (trajno): od 80 °C do
+100 °C
Isporučena dužina: 2 m / zatvoreno crijevo
debljina izolacijskog sloja: 11 mm
Vanjski promjer cijevi: da = 15 mm (DN 12)
Referentni proizvod: Missel / VS 10-15
Br. artikla 104-1015
ili istovjetni proizvod,
ponuđeni proizvod/tip:
.......................................................
........................
(ispunjava ponuđač)</t>
  </si>
  <si>
    <t>503.060.00105</t>
  </si>
  <si>
    <t>Toplinska izolacija DN 15, topla voda</t>
  </si>
  <si>
    <t>Toplinska izolacija na cjevovodima za toplu pitku vodu,
Izolacija od fizički umrežene polietilenske pjene sa zatvorenom strukturom, pojačana
dodatnom folijom od mrežne tkanine otporne na trganje, s čvorovima na mjestima križanja, za sve materijale cijevi, za postavljenje u izbočeni zid i zidne proreze najvažnija svojstva proizvoda:
lambda vrijednost 0,036 W/(m*K) na 40 °C
CE oznaka prema EN 14313 za cjelokupno
europsko tržište
Razred materijala: B2
Razred materijala prema DIN EN 13501-1: EL
Toplinska vodljivost: l40°C = 0,036 W/(m×K)
Difuzijska otpornost na vodenu paru: m ³ 5200
Temperaturna otpornost (trajno): od 80 °C do
+100 °C
Isporučena dužina: 2 m / zatvoreno crijevo
debljina izolacijskog sloja: 11 mm
Vanjski promjer cijevi: da = 18 mm (DN 15)
Referentni proizvod: Missel / VS 10-18
Br. artikla 104-1018
ili istovjetni proizvod,
ponuđeni proizvod/tip:
.......................................................
........................
(ispunjava ponuđač)</t>
  </si>
  <si>
    <t>503.060.00110</t>
  </si>
  <si>
    <t>Toplinska izolacija DN 20, topla voda</t>
  </si>
  <si>
    <t>Toplinska izolacija na cjevovodima za toplu pitku vodu,
Izolacija od fizički umrežene polietilenske pjene sa zatvorenom strukturom, pojačana dodatnom folijom od mrežne tkanine otporne na trganje, s čvorovima na mjestima križanja, za sve materijale cijevi, za postavljenje u izbočeni zid i zidne proreze najvažnija svojstva proizvoda:
lambda vrijednost 0,036 W/(m*K) na 40 °C
CE oznaka prema EN 14313 za cjelokupno
europsko tržište
Razred materijala: B2
Razred materijala prema DIN EN 13501-1: EL
Toplinska vodljivost: l40°C = 0,036 W/(m×K)
Difuzijska otpornost na vodenu paru: m ³ 5200
Temperaturna otpornost (trajno): od 80 °C do
+100 °C
Isporučena dužina: 2 m / zatvoreno crijevo
debljina izolacijskog sloja: 11 mm
Vanjski promjer cijevi: da = 22 mm (DN 20)
Referentni proizvod: Missel / VS 10-22
Br. artikla 104-1022
ili istovjetni proizvod,
ponuđeni proizvod/tip:
.......................................................
........................
(ispunjava ponuđač)</t>
  </si>
  <si>
    <t>503.060.00115</t>
  </si>
  <si>
    <t>Toplinska izolacija DN 25, topla voda</t>
  </si>
  <si>
    <t>Toplinska izolacija na cjevovodima za toplu pitku vodu,
Izolacija od fizički umrežene polietilenske pjene sa zatvorenom strukturom, pojačana dodatnom folijom od mrežne tkanine otporne na trganje, s čvorovima na mjestima križanja, za sve materijale cijevi, za postavljenje u izbočeni zid i zidne proreze najvažnija svojstva proizvoda:
lambda vrijednost 0,036 W/(m*K) na 40 °C
CE oznaka prema EN 14313 za cjelokupno
europsko tržište
Razred materijala: B2
Razred materijala prema DIN EN 13501-1: EL
Toplinska vodljivost: l40°C = 0,036 W/(m×K)
Difuzijska otpornost na vodenu paru: m ³ 5200
Temperaturna otpornost (trajno): od 80 °C do
+100 °C
Isporučena dužina: 2 m / zatvoreno crijevo
debljina izolacijskog sloja: 11 mm
Vanjski promjer cijevi: da = 28 mm (DN 25)
Referentni proizvod: Missel / VS 15-28
Br. artikla 104-1528
ili istovjetni proizvod,
ponuđeni proizvod/tip:
.......................................................
........................
(ispunjava ponuđač)</t>
  </si>
  <si>
    <t>503.060.00120</t>
  </si>
  <si>
    <t>Toplinska izolacija DN 12, hladna voda</t>
  </si>
  <si>
    <t>Toplinska izolacija na cjevovodima za toplu pitku vodu,
Izolacija od fizički umrežene polietilenske pjene sa zatvorenom strukturom, pojačana dodatnom folijom od mrežne tkanine otporne na trganje, s čvorovima na mjestima križanja, za sve materijale cijevi, za postavljenje u izbočeni zid i zidne proreze najvažnija svojstva proizvoda:
Lambda vrijednost 0,033 W/(m*K) na 10 °C
CE oznaka prema EN 14313 za cjelokupno
europsko tržište
Razred materijala: B2
Razred materijala prema DIN EN 13501-1: EL
Toplinska vodljivost: l10°C = 0,033 W/(m×K)
Difuzijska otpornost na vodenu paru: m ³ 5200
Temperaturna otpornost (trajno): od 80 °C do
+100 °C
Isporučena dužina: 2m
debljina izolacijskog sloja: 9 mm
Vanjski promjer cijevi: da = 15 mm (DN 12)
Referentni proizvod: Missel / VS 9-15
Br. artikla 104-0915
ili istovjetni proizvod,
ponuđeni proizvod/tip:
.......................................................
........................
(ispunjava ponuđač)</t>
  </si>
  <si>
    <t>503.060.00125</t>
  </si>
  <si>
    <t>Toplinska izolacija DN 15, hladna voda</t>
  </si>
  <si>
    <t>Toplinska izolacija na cjevovodima za toplu pitku vodu,
Izolacija od fizički umrežene polietilenske pjene sa zatvorenom strukturom, pojačana dodatnom folijom od mrežne tkanine otporne na trganje, s čvorovima na mjestima križanja, za sve materijale cijevi, za postavljenje u izbočeni zid i zidne proreze najvažnija svojstva proizvoda:
Lambda vrijednost 0,033 W/(m*K) na 10 °C
CE oznaka prema EN 14313 za cjelokupno
europsko tržište
Razred materijala: B2
Razred materijala prema DIN EN 13501-1: EL
Toplinska vodljivost: l10°C = 0,033 W/(m×K)
Difuzijska otpornost na vodenu paru: m ³ 5200
Temperaturna otpornost (trajno): od 80 °C do
+100 °C
Isporučena dužina: 2m
debljina izolacijskog sloja: 9 mm
Vanjski promjer cijevi: da = 18 mm (DN 15)
Referentni proizvod: Missel / VS 9-18
Br. artikla 104-0918
ili istovjetni proizvod,
ponuđeni proizvod/tip:
.......................................................
........................
(ispunjava ponuđač)</t>
  </si>
  <si>
    <t>503.060.00130</t>
  </si>
  <si>
    <t>Toplinska izolacija DN 20, hladna voda</t>
  </si>
  <si>
    <t>Toplinska izolacija na cjevovodima za toplu pitku vodu,
Izolacija od fizički umrežene polietilenske pjene sa zatvorenom strukturom, pojačana dodatnom folijom od mrežne tkanine otporne na trganje, s čvorovima na mjestima križanja, za sve materijale cijevi, za postavljenje u izbočeni zid i zidne proreze najvažnija svojstva proizvoda:
Lambda vrijednost 0,033 W/(m*K) na 10 °C
CE oznaka prema EN 14313 za cjelokupno
europsko tržište
Razred materijala: B2
Razred materijala prema DIN EN 13501-1: EL
Toplinska vodljivost: l10°C = 0,033 W/(m×K)
Difuzijska otpornost na vodenu paru: m ³ 5200
Temperaturna otpornost (trajno): od 80 °C do
+100 °C
Isporučena dužina: 2m
debljina izolacijskog sloja: 9 mm
Vanjski promjer cijevi: da = 22 mm (DN 20)
Referentni proizvod: Missel / VS 9-22
Br. artikla 104-0922
ili istovjetni proizvod,
ponuđeni proizvod/tip:
.......................................................
........................
(ispunjava ponuđač)</t>
  </si>
  <si>
    <t>503.060.00135</t>
  </si>
  <si>
    <t>Toplinska izolacija DN 25, hladna voda</t>
  </si>
  <si>
    <t>Toplinska izolacija na cjevovodima za hladnu pitku vodu,
Izolacija od fizički
umrežene polietilenske pjene sa zatvorenom strukturom, pojačana
dodatnom folijom od mrežne tkanine otporne na trganje,
s čvorovima na mjestima križanja, za sve materijale cijevi,
za postavljenje u izbočeni zid i zidne proreze
najvažnija svojstva proizvoda:
Lambda vrijednost 0,033 W/(m*K) na 10 °C
CE oznaka prema EN 14313 za cjelokupno
europsko tržište
Razred materijala: B2
Razred materijala prema DIN EN 13501-1: EL
Toplinska vodljivost: l10°C = 0,033 W/(m×K)
Difuzijska otpornost na vodenu paru: m ³ 5200
Temperaturna otpornost (trajno): od 80 °C do
+100 °C
Isporučena dužina: 2m
debljina izolacijskog sloja: 9 mm
Vanjski promjer cijevi: da = 28 mm (DN 25)
Referentni proizvod: Missel / VS 9-28
Br. artikla 104-0928
ili istovjetni proizvod,
ponuđeni proizvod/tip:
.......................................................
........................
(ispunjava ponuđač)</t>
  </si>
  <si>
    <t>503.060.00140</t>
  </si>
  <si>
    <t>Toplinska izolacija 35 mm mineralnih vlakana</t>
  </si>
  <si>
    <t>Toplinska izolacija na cjevovodima,
temperatura medija '+ 10 °C do + 70 °C',
okolišna temperatura '+ 20 °C',
izolacija od nezapaljivih materijala
Razred materijala A,
u zgradama,
visina cijevi iznad tla ‘do ........ m',
vanjski promjer cijevi do 35,0 mm,
cijev od 'nehrđajućeg čelika
uključujući sve dodatke (lukove, spojnice, grane,
nastavke, itd.)'.
Izolacija se sastoji od:
Strunjača od mineralnih vlakana,
toplinske vodljivosti '
.......................................................
...............
(ispunjava ponuđač)',
s prevlakom od aluminijske folije,
zavezati trakom,
uzdužne i okrugle niti zalijepiti trakom,
širina 'prema potrebi',
Proizvod '
.......................................................
............
(ispunjava ponuđač)',
Teško zapaljivo ljepilo,
Izolacijski sloj 'otporan na difuziju',
Izolacijski sloj debljine 30 mm.</t>
  </si>
  <si>
    <t>503.060.00145</t>
  </si>
  <si>
    <t>Toplinska izolacija 42 mm mineralna vlakna</t>
  </si>
  <si>
    <t>Toplinska izolacija na cjevovodima,
temperatura medija '+ 10 °C do + 70 °C',
okolišna temperatura '+ 20 °C',
izolacija od nezapaljivih materijala
Razred materijala A,
u zgradama,
visina cijevi iznad tla ‘do ........ m',
vanjski promjer cijevi do 42,0 mm,
cijev od 'nehrđajućeg čelika
uključujući sve dodatke (lukove, spojnice, grane,
nastavke, itd.)'.
Izolacija se sastoji od:
Strunjača od mineralnih vlakana,
toplinske vodljivosti '
.......................................................
...............
(ispunjava ponuđač)',
s prevlakom od aluminijske folije,
zavezati trakom,
uzdužne i okrugle niti zalijepiti trakom,
širina 'prema potrebi',
Proizvod '
.......................................................
............
(ispunjava ponuđač)',
Teško zapaljivo ljepilo,
Izolacijski sloj 'otporan na difuziju',
Izolacijski sloj debljine 30 mm.</t>
  </si>
  <si>
    <t>503.070</t>
  </si>
  <si>
    <t>503.080</t>
  </si>
  <si>
    <t>Ostale usluge</t>
  </si>
  <si>
    <t>503.090</t>
  </si>
  <si>
    <t>503.090.00100</t>
  </si>
  <si>
    <t>Upute za rad i održavanje</t>
  </si>
  <si>
    <t>Tehnička dokumentacija
Svi primopredajni i revizijski dokumenti se elektroničkim putem
(bez papira) u odgovarajućem formatu trebaju
predati, odnosno skenirani poslati (npr. primopredajni izvještaji).
Revizijski planovi se kao plot datoteke i DWG datoteke
trebaju predati sukladno Kauflandovoj CAD smjernici.
Kod važnih dokumenata kao što su službene primopredaje,
primopredaje protupožarnih sustava kao i potvrde službenika
ili instituta za ispitivanja, s originalnim potpisima,
signaturama ili pečatima, Kauflandu se treba predati jedan
dodatni primjerak u papirnatom obliku
.
Svi dokumenti,
potvrde i planovi u papirnatom obliku, trebaju se predati u DIN
A4 fasciklama koje se označene brojčanom oznakom
u skladu sa zadanom strukturom.
Dokumenti koji se trebaju objaviti na oglasnoj ploči kao i knjige ispitivanja
za tehnička postrojenja, koja su predmet opetovane provjere i
koja moraju biti dostupna u zgradi,
također se u papirnatom obliku trebaju
predati Kauflandu.
Za predaju primopredajnih i revizijskih dokumenata
smije se koristiti isključivo elektronički sustav "cFolders"
. Odgovarajući primopredajni izvještaji ili
potvrde s potpisima, signaturama ili
pečatima trebaju se skenirati i također elektronički predati
pomoću "cFolders“ sučelja.
Arhitekt odnosno planer koji je odgovoran za nadzor gradilišta
provjerene i predane
primopredajne i revizijske
dokumente u odgovarajućem formatu i
sljedećoj strukturi postavlja
na "cFolders“ platformu.
Potrebna struktura datoteka može se iščitati iz aktualne
KaBa-e.
Gotove sheme postrojenja u ispravnoj veličini
(minimalno A3), laminirane, postaviti na prikladno mjesto
na centrali.
Potrebna je dodatna obuka osoblja
nakon ca. 2 do 3 mjeseca.</t>
  </si>
  <si>
    <t>503.090.00105</t>
  </si>
  <si>
    <t>Ispiranje gore navedenih odvoda otpadnih voda</t>
  </si>
  <si>
    <t>Ispiranje gore navedenih odvodnih cijevi i
cijevi za masnu vodu
(u nekoliko dijelova) uključujući
ispitivanje nepropusnosti i protokol.</t>
  </si>
  <si>
    <t>503.090.00110</t>
  </si>
  <si>
    <t>Isperite izbočene cijevi za kišnicu</t>
  </si>
  <si>
    <t>Ispiranje gore navedenih cijevi za kišnicu
(u nekoliko dijelova)
uključujući ispitivanje nepropusnosti i protokol.</t>
  </si>
  <si>
    <t>503.090.00115</t>
  </si>
  <si>
    <t>Uspostavite električnu vezu</t>
  </si>
  <si>
    <t>Stručna izrada električnih
priključaka za sve cirkulacijske crpke,
sustave za podizanje, dodatna grijanja, spremnike tople vode,
protočne bojlere, upravljačke jedinice pisoara, bezdodirne
miješalice itd.
kao i stručno puštanje u rad u
dogovoru s električarom na terenu.</t>
  </si>
  <si>
    <t>503.090.00120</t>
  </si>
  <si>
    <t>- Ispitivanje tlakom</t>
  </si>
  <si>
    <t>Tlačno ispitivanje cijevne mreže nakon montaže cjevovoda na ispitni tlak od 15 bara prema propisima DIN-a 4279. Ispitivanje provesti prema uputstvima nadležnog distributera vode i tehničkim uvjetima ovog projekta. Ispitivanje se vrši uz prisustvo nadzornog inženjera. O tlačnom ispitivanju voditi zapisnik sa potpisom vršioca ispitivanja, nadzornog inženjera i odgovornih osoba. Rezultat tlačnog ispitivanja obvezno evidentirati u građevinski dnevnik. U stavku je uključena dobava pumpe i mjernog uređaja kao i ostalog potrebnog pribora za provedbu tlačne probe.</t>
  </si>
  <si>
    <t>503.090.00125</t>
  </si>
  <si>
    <t>Dezinficirati i isprati</t>
  </si>
  <si>
    <t>Dezinfekcija i naknadno ispiranje cjevovoda za pitku vodu, prema DIN 1988 i DVGW W 291, vodom, puštanje u rad po pojedinim odsjecima, za sve i u nekoliko dijelova,
DN cijevi = sve dimenzije = paušalno.</t>
  </si>
  <si>
    <t>503.090.00130</t>
  </si>
  <si>
    <t>- Ispitivanje kanala na vodonepropusnost i funkcionalnost</t>
  </si>
  <si>
    <t>Provjera ispravnosti gotovog kanala i ispitivanje kanala i revizijskih okana na vodonepropusnost prema HRN EN 1610:2015 i drugim važećim propisima, uz ishođenje atesta za tehnički pregled i primopredaju s izradom izvješća o ispitivanju.
Ispitivanje se vrši na djelomično zatrpanom kanalu - spojevi moraju biti slobodni i vidljivi. Ispitivanje vrši osoba (laboratorij) ovlaštena prema normi HRN EN ISO/IEC 17025:2007.
Stavka uključuje sav upotrijebljeni materijal, opremu i rad ovlaštene osobe.
Obračun po m' ispitanog izvedenog kanala s oknima.</t>
  </si>
  <si>
    <t>503.090.00135</t>
  </si>
  <si>
    <t>- Mehaničko čišćenje kanala, revizijskih okana i priključaka</t>
  </si>
  <si>
    <t>Mehaničko čišćenje kanala, revizijskih okana i priključaka prije ispitivanja vodonepropusnosti i kao priprema za CCTV inspekciju. Ispiranje prethodi snimanju TV kamerom i ispitivanju kanala na vodonepropusnost i funkcionalnost. U cijenu uključena potrebna količina vode potreban za ispiranje kanala.
Obračun po m' ispranog kanala s oknima.</t>
  </si>
  <si>
    <t>503.090.00140</t>
  </si>
  <si>
    <t>- Snimanje izvedenog stanja</t>
  </si>
  <si>
    <t>CCTV inspekcija (optički pregled) kanala s izradom pripadajućeg izvještaja prema protokolu snimanja te zapisa na CD-u (DVD) kao dokaz o ispravno izvedenom kanalu i revizijskim oknima. CCTV inpekcija se provodi sukladno normi Uvjeti za sustave odvodnje izvan zgrada – 2. dio: Sustav kodiranja optičkog nadzora HRN EN 13508-2/AC.
Obračun po m' snimljenog kanala.</t>
  </si>
  <si>
    <t>503.090.00145</t>
  </si>
  <si>
    <t>- Ispitivanje vodonepropusnosti separatora</t>
  </si>
  <si>
    <t>Ispitivanje vodo nepropusnosti separatora
Ispitivanje separatora na vodo nepropusnost prema HRN EN 1508. Ispitivanje treba provesti organizacije s važećom akreditacijom za provođenje ispitivanja prema navedenoj normi uz obaveznu prisutnost nadzornog inženjera tokom ispitivanja. O dobivenim rezultatima ispitivanja izdaje se Izvještaj kojeg treba predočiti kod tehničkog prijema.</t>
  </si>
  <si>
    <t>503.090.00150</t>
  </si>
  <si>
    <t>- Pribavljanje izjave o izvršenoj tlačnoj probi</t>
  </si>
  <si>
    <t>Pregled i ispitivanje ispravnosti stabilnog sustava za gašenje požara - vanjske i unutarnje hidrantske mreže od strane neovisne i ovlaštene tvrtka s valjanim certifikatskim rješenjem za obavljanje ove djelatnosti. Nakon provedenog ispitivanja izdaje se Zapisnik s Uvjerenjem o pregledu ispravnosti sustava</t>
  </si>
  <si>
    <t>503.090.00155</t>
  </si>
  <si>
    <t>- Pribavljanje izjave o kvaliteti vode</t>
  </si>
  <si>
    <t>Nakon dezinfekcije i drugog ispiranja uzeti uzorke za ispitivanje kod Zavoda za javno zdravstvo uz izdavanje uvjerenja (ili druge ovlaštene ustanove prema Pravilniku o zdravstvenoj ispravnosti vode za piće (NN 182/04)). Obračun po kompletu pribavljene izjave o kvaliteti vode od strabe Zavoda za javno zdravstvo.</t>
  </si>
  <si>
    <t>503.090.00160</t>
  </si>
  <si>
    <t>Puštanje u rad i probne vožnje svih građevinskih usluga</t>
  </si>
  <si>
    <t>Puštanje u rad i testiranje u prisutnosti svih odjeljaka za TGA,
ustupanje stručne radne snage kod puštanja u rad,
ispitivanja i testiranja rada svih sustava tehnike zgrade:
- Cjelokupni elektrotehnički sustav jake i slabe struje s
vatrodojavnom centralom,
protuprovalnom centralom itd.
- Cijelokupna MSR tehnika
- RLT, rashladni, sanitarni sustavi i sustavi grijanja
- Sprinkleri (za gašenje požara),
- Protupožarni sustavi odnosno tehnika (odimljavanje)
- Testiranje za sve hitne slučajeve i slučajeve požara,
- Testiranje radnih stanja TGA odjeljaka
Kauflandov standard prema KaBa-i,
- „Vožnja u koloni“ prema smjernicama ponašanja u slučaju požara,
uključujući protokoliranje rezultata,
analizu i uklanjanje svih nedostataka
u suradnji sa svim odjeljcima.</t>
  </si>
  <si>
    <t>503.090.00165</t>
  </si>
  <si>
    <t>Dobivanje mikrobiološkog izvješća</t>
  </si>
  <si>
    <t>Sakupljanje mikrobioloških procjena
kod odgovorne zdravstvene institucije za
postrojenje pitke vode, 1 x prije početka gradnje,
1 x međuprocjena nakon određenog napretka u gradnji
i 1 x prije krajnje primopredaje.</t>
  </si>
  <si>
    <t>503.090.00170</t>
  </si>
  <si>
    <t>Ispitivanje sigurnosti i funkcionalnosti,</t>
  </si>
  <si>
    <t>Sigurnosna i funkcijska ispitivanja,
puštanje u rad, primopredaja i obučavanje
uz protokoliranje navedenog dodatnog grijanja za cijevi
uključujući obučavanje osoblja za rukovanje
uklj. potvrdu.</t>
  </si>
  <si>
    <t>503.100</t>
  </si>
  <si>
    <t>504</t>
  </si>
  <si>
    <t>Sustavi za gašenje požara</t>
  </si>
  <si>
    <t>504.010</t>
  </si>
  <si>
    <t>504.020</t>
  </si>
  <si>
    <t>Upravljanje prskalicama / pumpe</t>
  </si>
  <si>
    <t>504.030</t>
  </si>
  <si>
    <t>Cijevna mreža (mokro područje)</t>
  </si>
  <si>
    <t>504.030.00500</t>
  </si>
  <si>
    <t>Cjevovod DN 50</t>
  </si>
  <si>
    <t>Cjevovod za vodu za gašenje
kao „mokri vod“ DIN 14 461 dio 1
od zavarene čelične cijevi s premazom u prahu
RAL 9010 odnosno prema najnovijem stanju KaBa-e,
DIN 2440',
DN (xxx)
spojeno spojnicom
u odgovarajućoj boji,
postaviti u zgradama,
uključ. oblikovane i spojne elemente, sredstva za zavarivanje ili
lemljenje i brtvljenje.
Čvrste točke, sustavi za pričvršćivanje teških cijevi s
obujmicama, konstrukcije vodilica i nosive konstrukcije obračunavaju se zasebno.
Pričvrsnice za cijevi s certificiranim tiplama uključ.
vanjske cijevi za provođenje kroz zid i strop,
zbog zaštite od buke popuniti negorivim materijalima,
sa završnim rozetama.
Visina montaže iznad ograde/poda između 3,5 i 5 m.</t>
  </si>
  <si>
    <t>504.030.00505</t>
  </si>
  <si>
    <t>Cjevovod DN 80</t>
  </si>
  <si>
    <t>504.040</t>
  </si>
  <si>
    <t>Mreža cjevovoda (suho područje)</t>
  </si>
  <si>
    <t>504.050</t>
  </si>
  <si>
    <t>Zidni hidrantni sustav</t>
  </si>
  <si>
    <t>504.050.00100</t>
  </si>
  <si>
    <t>FSG kombinacija zidnih hidranata</t>
  </si>
  <si>
    <t>FSG kombinacija zidnih hidranata
Model 510 CM SO
za pomoć laicima i za opskrbu vodom za gašenje požara za
vatrogasce, s pretincem za aparat za
gašenje požara ispod pretinca za zidni
hidrant, s ugradbenom napravom za ručni detektor požara iznad pretinca za
zidni hidrant.
Unutarnja oprema sastoji se od:
1 vijčanog spoja DN 50 DIN 14461.5-4
1 priključnog ventila za crijevo DN 50 DIN 14461.3 s
C čvrstim spojem od mjedi
1 koluta za crijevo kroz koji se provodi voda montiranog
na kliznik s mogućnosti izvlačenja
, lakiranog RAL 3001, sa spojnim crijevom sa spojem
C52/DN 25 pod kutom, od mjedi
1 x 30 m tlačnog crijeva postojanog oblika DN 25
sukladno PrEN 694 predispitanog
1 čeličnog crijeva EN 671-1 DN 25 s poprečnim presjekom otvora
6 mm, s namotanim crijevom, sva 4
priključka utisnuta, pod tlakom 1,6 MPa.
1 ormara, model 510 CM SO, u posebnoj izvedbi
Uski hidrant
Nadžbukni ormar vrste konstrukcije C š/v/d: 390x1500x700
od čeličnog lima, obrađenih bridova i zavaren
s vratima utisnutima u okvir,
otvaranje pod 180°
s vijčanim spojevima pričvršćenim okovima visine 60,
s mogućnosti promjene strane otvaranja vrata,
ugradbeni kutnik za ručni detektor požara, sa zaštitom za kabel,
s mogućnosti podešavanja dubine i mogućnosti demontaže,
otvor za vrata 134x134 iznad
pretinca za hidrant u zidu
Pretinac za aparat za gašenje požara visine 250, zapečaćen
Zatvarač: upuštena preklopna drška, od metala,
s mogućnosti plombe
Svi čelični dijelovi lakirani prema GUV 07 § 11 RAL 3001
s držačem za prskalicu
Podkonstrukcija s kontinuiranim U profilom visine oko 100
s otvorom za priključak za vodu sa stražnje strane, na sredini kroz
strop.
1 uređaj za gašenje prahom prema EN 3, 12 kg, razred protupožarne zaštite ABC
Oznaka: Samoljepljiva folija
1 piktogram "zidni hidrant" 200x200 sukladno VBG 125
1 piktogram "aparat za gašenje požara" 200x200 sukladno VBG 125
1 korisnički priručnik DIN A5, Rotrand
1 upute za instalaciju 194.1-4
Ili istovjetni proizvod prema nacionalnim propisima
Proizvod/tip:
.......................................................
.......................
(ispunjava ponuđač)</t>
  </si>
  <si>
    <t>504.050.00200</t>
  </si>
  <si>
    <t>FSG kombinacija zidnih hidranata
Model 162 CM K SO
prema DIN EN 671-1/2.96 i DIN 14461.1/4.96
za pomoć laicima i za opskrbu vodom za gašenje požara za
vatrogasce, s pretincem za aparat za gašenje požara ispod pretinca za zidni
hidrant.
Unutarnja oprema (kompatibilna s EN 671-1 s certifikatom nadležnog
državnog ispitnog tijela) sastoji se od:
1 vijčanog spoja DN 50 DIN 14461.5-4
1 priključnog ventila za crijevo DN 50 DIN 14461.3 s
C čvrstim spojem od mjedi
1 koluta za crijevo kroz koji se provodi voda s rotacijskim krakom
, lakiranog RAL 3001
, i spojnog crijeva sa spojem C52/DN 25
pod kutom, od mjeda
1 x 30 m tlačnog crijeva postojanog oblika DN 25
sukladno PrEN 694 predispitanog
1 čeličnog crijeva EN 671-1 DN 25 s poprečnim presjekom otvora
6 mm, s namotanim crijevom, sva 4
priključka utisnuta, pod tlakom 1,6 MPa.
1 ormara, model 162 M
Nadžbukni ormar vrste konstrukcije C š/v/d: 740x1240x250
od čeličnog lima, obrađenih bridova i zavaren
Nadžbukna izvedba s dvjema vratima, otvaranje pod 180°
s vijčanim spojevima pričvršćenim okovima visine 60,
s mogućnosti promjene strane otvaranja vrata,
pretinac za aparat za gašenje požara visine 250, zapečaćen
Zatvarač: upuštena preklopna drška, od metala,
s mogućnosti plombe
Nehrđajući čelik s držačem rotacijskog kraka, s
držačem za prskalicu.
Otvor za priključak za vodu sukladno DIN s gornje strane
Podkonstrukcija s kontinuiranim U profilom visine oko 380
1 uređaj za gašenje prahom prema EN 3, 12 kg, razred protupožarne zaštite ABC
Oznaka: Samoljepljiva folija
1 piktogram "zidni hidrant" 200x200 sukladno VBG 125
1 piktogram "aparat za gašenje požara" 200x200 sukladno VBG 125
1 korisnički priručnik DIN A5, Rotrand
1 upute za instalaciju 194.1-4
Ili istovjetni proizvod prema nacionalnim propisima
Proizvod/tip:
.......................................................
.......................
(ispunjava ponuđač)</t>
  </si>
  <si>
    <t>504.050.00500</t>
  </si>
  <si>
    <t>504.050.00505</t>
  </si>
  <si>
    <t>701</t>
  </si>
  <si>
    <t>Vanjske površine</t>
  </si>
  <si>
    <t>701.000</t>
  </si>
  <si>
    <t>1.) Dodatni ugovoreni tehnički uvjeti dio su troškovnika te u slučaju ugovaranja postaju dio ugovora. Izvođač radova se dakle obavezuje na sve usluge radove i primjene koje proizlaze iz ovih uvjeta te su one uračunate u cijenu, ukoliko nisu zasebno ponuđene.
2.) Cijene stavki se prikazuju kao neto iznos u državnoj valuti. Važeći zakonski propisani porez na dodanu vrijednost obračunava se zasebno.
3.) U slučaju proturječnosti dodatnih ugovorenih tehničkih uvjeta vrijede prvenstveno podaci iz troškovnika. U slučaju proturječnosti između troškovnika i tehničke dokumentacije koja se predaje prilikom natječaja, vrijedi tehnička dokumentacija.
4.) Prije početka davanja ponude, ponuditelj je dužan pažljivo pročitati kompletan tekst općih uvjeta uz troškovnik, općih i posebnih uvjeta uz svaku grupu radova, tekst samog troškovnika i ostale dijelove tehničke dokumentacije. Ako opis bilo koje stavke u troškovniku dovodi do sumnje o načinu izvedbe ili upotrebu gradiva zahtijevane kvalitete, treba prije predaje ponude zatražiti pojašnjenje od ovlaštene osobe Investitora. Naknadno pozivanje na manjkavost ili nepoznavanje projektno-tehničke dokumentacije ili opisa u troškovniku neće se uzeti u obzir, niti smatrati razlogom za produženje roka izvedbe, a niti će se priznati bilo kakva razlika u cijeni s tog naslova.
5.) Tehnička dokumentacija koja se predaje prilikom natječaja informativnog je karaktera, a ponuđač je dužan u svom trošku izvršiti kontrolu projektno tehničke dokumentacije u smislu točnosti, tehničke ispravnosti, izvedivosti i međusobne usklađenosti. Sve eventualne primjedbe ponuditelj/izvoditelj dužan je pravovremeno uz ponudu, a u svakom slučaju prije izvedbe u pisanom obliku dostaviti Nadzoru i Naručitelju
6.) Ponuditelj je dužan provesti i kontrolu lokacije na licu mjesta prije davanja ponude. Jedinične cijene za pojedine vrste radova sadrže i sve one posredne troškove koji nisu iskazani u troškovniku, ali su neminovni za izvršenje radova predviđenih projektom.
7.) Organizacija gradilišta uračunata je u cijenu, ukoliko nije ponuđena kao zasebna stavka.
8.) Dizalice za podizanje, skele, strojevi, alati, pomoćna sredstva i konstrukcije uzeti su u obzir te su uračunati u jediničnu cijenu.
9.) Skele za radove na fasadi i radove na krovu predmet su ovog natječaja. Ponuditelj smije koristiti postojeće skele uz poštivanje sigurnosnih uvjeta i na vlastitu odgovornost. Preinake na skelama nisu dozvoljene te se one moraju predati u ispravnom stanju u kojem su i preuzete.
10.) Kompletnu režiju gradilišta usigurava i rješava ponuditelj/izvođač i i uključena je u jediničnu cijenu.
11.) Ponuditelj je obvezan redovno prikupljati i ,pravilno skladištiti i odvoziti na ovlašteni deponij sve otpadne materijale, ostatke, krhotine, građevinski otpad, ambalaže, obični otpad i slično o vlastitom trošku. Kod odlaganja otpada potrebno je pridržavati se svih javnopravnih uputa i propisa.
12.) Onečišćenja koja uslijed radova nastaju na susjednim terenima, zgradama, putovima, cestama, trgovima i slično, izvođač radova treba svakodnevno čistiti.
13.) Izvođač preuzima odgovornost za osiguravanje, skladištenje i spremanje vlastite građevinske opreme, strojeva, uređaja, alata i slično. Jednako vrijedi i za građevinske materijale, elemente i za ugradnju određenih uređaja i objekata sve do primopredaje obavljenih građevinskih radova.
14.) Prilikom izvođenja radova, izvoditelj treba zaštititi sve susjedne plohe, dijelove konstrukcije i prethodno izvedene radove na prikladan način a u skladu sa pravilima zaštite na radu, tako da ne dođe do oštećenja istih. Troškove zaštite treba izvoditelj ukalkulirati u ponudbenu cijenu izvođenja radova. Ukoliko ipak dođe do oštećenja prethodno izvedenih radova za koje je odgovoran izvoditelj ili njegov kooperant, dužan je iste o svom trošku dovesti u stanje prije oštećenja ili naručiti iste radove kod drugog izvoditelja na svoj teret.
15.) Sve potrebne mjere prema javnopravnim uputama i propisima za sigurnost i zaštitu zdravlja trebaju se uzeti u obzir te ih se treba pridržavati prilikom izvođenja radova.
16.) Prilikom davanja ponude i izvođenja radova treba se uzeti u obzir, uračunati i pridržavati se
- svih državnih i javnopravnih zakona, smjernica i propisa
- svih odgovarajućih tehničkih standarda, pravila i smjernica
- općeprihvaćenih pravila tehnike
- uputa, propisa i napomena proizvođača za ugradnju i obradu
- Kauflandovih građevinskih opisa, ugovorenih uvjeta i ostalih Kauflandovih dokumenata i planova.
17.) Stavke troškovnika obuhvačaju konačno dovršenje radova definiranih po količini i kvaliteti, onosno podrazumijevaju se kao gotove, potpune i funkcionirajuće, uklj. sve potrebne male dijelove i sredstva za pričvršćivanje, pomoćne materijale i sredstva, podkonstrukcije itd., kao i sve dodatne i posebne usluge - čak i kada one nisu detaljno opisane.
18.) Ako su treće stranke uključene u izvođenje predradnji, izvođač radova ih treba provjeravati. U slučaju nepravilnosti ili prigovora pravovremeno treba informirati naručitelja, tako da može tehnički i organizacijski dovršiti poslove.
19.) Obavezno se treba pridržavati svih Kauflandovih proizvodnih uputa, osim ako postoje opravdani razlozi za odstupanje (npr. dostupnost). U tom slučaju izvođač treba ponuditi istovjetni proizvod ili sustav te potvrditi istovjetnost. O njoj odlučuje naručitelj.
20.) Sustavi se izvode isključivo pomoću komponenata koje su predviđene od strane proizvođača sustava.
21.) Svi materijali, građevinski elementi i uređaji koji neposredno utječu na izgled i funkcionalnost prije ugradnje se trebaju provjeriti. Ugrađuju se tek nakon što naručitelj ili ovlaštena osoba odobri ugradnju na gradilištu. O vrsti i obliku uzorka odlučuje naručitelj.
22.) Ako nije drukčije propisano, izmjene postojećih projektnih rješenja od strane ponuditelja/izvođača a koje utječu na mehaničku stabilnost, ponuditelj/izvođač je dužan u svom trošku ishoditi sve suglasnosti, dozvole i sl.
Projekt izvedenog stanja ukalkulirati u jedničnu cijenu te dostaviti Kauflandu u pisanom i digitalnom obliku.
23.) Svi radovi na objektu te primjenjeni sistemi gradnje moraju biti izvedeni prema pravilu struke, odnosnu u granicama dopuštenih tolerancija.
24.) Ukoliko je ugovoreni termin izvršenja objekta uključen i zimski odnosno ljetni period, to se neće posebno izvođaču priznavati na ime naknade za rad pri niskoj temperaturi, zaštita konstrukcija od hladnoće i vrućine, te atmosferskih nepogoda, sve mora biti uključeno u jediničnu cijenu. Za vrijeme zime objekat se mora zaštititi. Svi eventualni smrznuti dijelovi moraju se ukloniti i izvesti ponovo bez bilo kakve naplate. Ukoliko je temperatura niža od temperature pri kojoj je dozvoljen dotični rad, a Investitor ipak traži da se radi, Izvođač si ima pravo zaračunati naknadu po normi 6,006 ali u tom slučaju Izvođač snosi punu odgovornost za ispravnost i kvalitetu rada. To isto vrijedi i za zaštitu radova tokom ljeta od prebrzog sušenja uslijed visoke temperature.
25.) U jediničnu cijenu rada izvođač treba obuhvatiti i slijedeće radove, koji se neće zasebno platiti kao naknadni rad, čak i ako nisu izričito navedenei u troškovniku:
- sve vrste transporta građevinskih materijala, elemenata, uređaja, objekata itd. do mjesta ugradnje
- potrebne i uobičajene pripreme i predobrade tla
- sve vrste bušenja, zavarivanja, lijepljenja, malih dijelova, sredstava za pričvršćivanje, međupoložaja, izolacije, brtvljenja, folija, spojeva itd. koje su potrebne za priključak, montažu i pričvršćivanje građevinskih dijelova i elemenata
- stručna priprema i priključak na sve okolne dijelove, ugradbene i nadgradne elemente i propuste
- sve izrade kutova, spojnih površina i elemenata, završnih elemenata, slobodnih krajeva itd.
- sve podloge za montažu, priključak i pričvršćivanje kao što su beton, zidani elementi, čelik, aluminij, limovi, gips karton, itd.
- potrebne spojne, kose i okrugle rezove te ostatke rezanja
- Izrada otvora i proreza za instalacije i ugradbene elemente drugih izvođača
- interno povezivanje kablovima i priključak objekata, dovod prema električnim trošilima na gradilištu od strane elektro izvođača</t>
  </si>
  <si>
    <t>Ograničenje usluga za vanjske sadržaje</t>
  </si>
  <si>
    <t>U sljedećim pozicijama potrebno je uzeti u obzir i uračunati sljedeće usluge, čak i ako nisu izričito navedene:
- Zaštitu postojećih stabala i grmlja
- lokalizaciju i po potrebi osiguravanje postojećih vodova u radnom području izvođača
- Transporte i skladištenja radnog materijala izvođača, npr. za stvaranje slobodnog prostora za druge radove
- Ručne radove ukoliko nije moguće koristiti strojeve</t>
  </si>
  <si>
    <t>701.010</t>
  </si>
  <si>
    <t>Rubnjaci</t>
  </si>
  <si>
    <t>701.010.00120</t>
  </si>
  <si>
    <t>- Odvodni rubnjaci</t>
  </si>
  <si>
    <t>Nabava, prijevoz i ugradnja rubnjaka s integriranim odvodnim kanalom od polimerbetona otpornog na smrzavanje i soli (tip kao ACO Kerbdrain ili jednakovrijedan), uključena izrada, planiranje i zbijanje podloge, nabava podložnog materijala, svi prijevozi i prijenosi, privremeno skladištenje, razvoz i postavljanje predgotovljenih elemenata, obrada sljubnica, postavljanje i demontaža potrebne oplate, rad na ugradnji i njezi betona. Stavkom je obuhvaćen sav rad, oprema i materijal potreban za potpuno dovršenje stavke. Obračun je po m1.</t>
  </si>
  <si>
    <t>701.010.00125</t>
  </si>
  <si>
    <t>- Odvodni rubnjaci - sabirnik</t>
  </si>
  <si>
    <t>Nabava, prijevoz i ugradnja tipskog sabirnika iz rubnjaka s integriranim odvodnim kanalom od polimerbetona otpornog na smrzavanje i soli (tip kao ACO Kerbdrain ili jednakovrijedan), prema detaljima u projektu. Stavkom je obuhvaćen sav rad, oprema i materijal potreban za potpuno dovršenje stavke. Obračun je po komadu.</t>
  </si>
  <si>
    <t>701.040</t>
  </si>
  <si>
    <t>Kanali i slivnici</t>
  </si>
  <si>
    <t>701.040.00100</t>
  </si>
  <si>
    <t>x..EW1..x - cestovni betonski slivnik</t>
  </si>
  <si>
    <t>Izrada vodonepropusnih montažnih betonskih predgotovljenih elemenata slivnika od betonskih cijevi promjera 50 cm ukupne dubine 1,8 - 2,2m (od kote rešetke do kote dna slivnika). Beton C 30/37.Oko slivničke cijevi treba izvesti oblogu od nepropusnog betona St. 3-04.5 OTU, HRN U.N1.050, U.E3.050. Betonske cijevi moraju biti atestiranje, a njihovu upotrebu odobrava nadzorni inženjer. U cijenu koštanja obračunat je sav potreban materijal i radna snaga. Obračunato po komadu kompletno izvedenog vodolovnog grla sa priključkom, do potpune pogonske gotovosti. Klasično vodolovno grlo s rešetkom, perforiranom pocinčanom kantom za otpatke i taložnicom, promjera priključne cijevi Φ 160 (200)mm. 2 slivnika od 27, se izvode bez taložnice kao mini slivnik, prema projektu.
U cijenu ulazi: a) iskop rova za priključak vodolovnih grla na kanalizacijsku mrežu, sa ravnim odsijecanjem stranica rova, razupiranje rova i fino niveliranje dna rova na visinu,
b) iskop za vodolovna grla,
c) zatrpavanje kanalskog jarka i oko vodolovnih grla cementom stabilizacijom uz nabijanje,
d) odvoz materijala nakon iskopa, uključivo utovar, prijevoz, istovar, razastiranje i ugradnja na deponiji na udaljenosti do 10 km
e) izrada priključaka
f) probijanje zidova betonskih okana za priključak cijevi DN 160. Na mjestima gdje se priključne cijevi slivnika priključuju na kanalsku cijev upotrijebiti fazne komade UNO-45/160(200) u smjeru tečenja
g) izrada betonske ploče dna vodolovnih grla iz nabijenog betona C 16/20 sa aditivima za vodnepropusnost,
f) izvedba gotovih rupa prema projektu za priključak cijevi DN 160. Na mjestima gdje se priključne cijevi slivnika priključuju na kanalsku cijev upotrijebiti fazne komade UNO-45/160(200) u smjeru tečenja
g) izrada betonske ploče dna vodolovnih grla iz nabijenog betona C 16/20 sa aditivima za vodnepropusnost,
h) dobava, doprema i ugradba gotovih betonskih cijevi dužine 3,00 m, Φ 50 cm za vodolovna grla ugrađenih na smježi beton ploče dna,
i) izrada jednostrane oplate oko betonske cijevi Φ 50 cm, izrada betonske obloge oko slivničke cijevi od betona C 16/20 sa aditivima za neprospusnost
j) izrada, doprema i ugradnja armirano-betonske ploče (okvira) od C 16/20, debljine 8 cm</t>
  </si>
  <si>
    <t>701.040.00105</t>
  </si>
  <si>
    <t>- linijska rešetka cestovne oborinske odvodnje</t>
  </si>
  <si>
    <t>Nabava materijala i izrada linijskih rešetki kod dostavnog doka. Tijelo kanala iz polimer betona. Kanal se polaže na armiranu betonsku podlogu C25/30 prema detalju iz projekta. Kanal spajati preko sabirnika na reviziona okna. Obračun po m1 kompletno izvedenih linijskih rešetki do potpune pogonske gotovosti. Kanal spajati preko sabirnog elementa na oborinsku kanalizaciju. Revizioni element na suprotnoj strani.
Nazivna širina: prema projektu
Nagib žlijeba: min. 0,5%
Poklopac: Rešetka od lijevanog željeza, s vijčanim spojevima
Priključci za cijevi: do DN 160]
Razred opterećenja: 400kN</t>
  </si>
  <si>
    <t>701.040.00110</t>
  </si>
  <si>
    <t>x..EW2..x - betonska kanalica</t>
  </si>
  <si>
    <t>Izvedba betonskih kanalica 30/10, 3 cm dubine. Ova stavka obuhvaća:
- dobavu gotovih betonskih kanalica C 40/50, te razvoz kanalica po gradilištu,
- pripremu podloge, čišćenje, otkop ili nasipavanje sa nabijanjem kod podloge od kamena,
- izrada i ugradbnja betona C 12/15 podloge i zaloge,
- polaganje kanalica u beton po pravcu i niveleti sa razmakom (spojnicom) do 1 cm,
- svi prijevozi i prijenosti betona i pomoćnog materijala,
- zalijevanje spojnica cementnim mortom omjera 1:4,
- njega betona,
- ispitivanje kvalitete kanalica sa pribavljanjem atesta.
Izvedba radova, obračun radova i kontrola kvalitete prema OTU 3-04.7.1.
Obračunato po ml ugrađene kanalice do potpune pogonske gotovosti.</t>
  </si>
  <si>
    <t>31.03.2025.</t>
  </si>
  <si>
    <t>Prilog 4- Ugovorni troškovnik- TRIBE INŽENJERING d.o.o.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</si>
</sst>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quot;-&quot;#,##0.00\ &quot;€&quot;"/>
  </numFmts>
  <fonts count="6" x14ac:knownFonts="1">
    <font>
      <sz val="11"/>
      <color theme="1"/>
      <name val="Calibri"/>
      <family val="2"/>
      <scheme val="minor"/>
    </font>
    <font>
      <b/>
      <sz val="16"/>
      <name val="Calibri"/>
      <family val="2"/>
      <charset val="238"/>
    </font>
    <font>
      <b/>
      <sz val="14"/>
      <name val="Calibri"/>
      <family val="2"/>
      <charset val="238"/>
    </font>
    <font>
      <b/>
      <sz val="11"/>
      <name val="Calibri"/>
      <family val="2"/>
      <charset val="238"/>
    </font>
    <font>
      <sz val="9"/>
      <color indexed="81"/>
      <name val="Tahoma"/>
      <family val="2"/>
      <charset val="238"/>
    </font>
    <font>
      <b/>
      <sz val="9"/>
      <color indexed="81"/>
      <name val="Tahoma"/>
      <family val="2"/>
      <charset val="238"/>
    </font>
  </fonts>
  <fills count="7">
    <fill>
      <patternFill patternType="none"/>
    </fill>
    <fill>
      <patternFill patternType="gray125"/>
    </fill>
    <fill>
      <patternFill patternType="solid">
        <fgColor rgb="FFFFFFFF"/>
      </patternFill>
    </fill>
    <fill>
      <patternFill patternType="solid">
        <fgColor rgb="FFE9EDF7"/>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s>
  <borders count="4">
    <border>
      <left/>
      <right/>
      <top/>
      <bottom/>
      <diagonal/>
    </border>
    <border>
      <left/>
      <right/>
      <top style="medium">
        <color rgb="FF000000"/>
      </top>
      <bottom/>
      <diagonal/>
    </border>
    <border>
      <left/>
      <right/>
      <top/>
      <bottom style="thin">
        <color rgb="FF000000"/>
      </bottom>
      <diagonal/>
    </border>
    <border>
      <left style="thin">
        <color rgb="FF2451B2"/>
      </left>
      <right style="thin">
        <color rgb="FF2451B2"/>
      </right>
      <top style="thin">
        <color rgb="FF2451B2"/>
      </top>
      <bottom style="thin">
        <color rgb="FF2451B2"/>
      </bottom>
      <diagonal/>
    </border>
  </borders>
  <cellStyleXfs count="1">
    <xf numFmtId="0" fontId="0" fillId="0" borderId="0"/>
  </cellStyleXfs>
  <cellXfs count="31">
    <xf numFmtId="0" fontId="0" fillId="0" borderId="0" xfId="0"/>
    <xf numFmtId="0" fontId="0" fillId="2" borderId="0" xfId="0" applyFill="1"/>
    <xf numFmtId="0" fontId="1" fillId="2" borderId="0" xfId="0" applyFont="1" applyFill="1"/>
    <xf numFmtId="0" fontId="2" fillId="2" borderId="0" xfId="0" applyFont="1" applyFill="1"/>
    <xf numFmtId="0" fontId="0" fillId="2" borderId="1" xfId="0" applyFill="1" applyBorder="1"/>
    <xf numFmtId="0" fontId="2" fillId="2" borderId="2" xfId="0" applyFont="1" applyFill="1" applyBorder="1"/>
    <xf numFmtId="164" fontId="2" fillId="2" borderId="2" xfId="0" applyNumberFormat="1" applyFont="1" applyFill="1" applyBorder="1"/>
    <xf numFmtId="164" fontId="0" fillId="0" borderId="0" xfId="0" applyNumberFormat="1"/>
    <xf numFmtId="0" fontId="0" fillId="3" borderId="3" xfId="0" applyFill="1" applyBorder="1"/>
    <xf numFmtId="0" fontId="3" fillId="2" borderId="2" xfId="0" applyFont="1" applyFill="1" applyBorder="1" applyAlignment="1">
      <alignment wrapText="1"/>
    </xf>
    <xf numFmtId="0" fontId="3" fillId="2" borderId="2" xfId="0" applyFont="1" applyFill="1" applyBorder="1" applyAlignment="1">
      <alignment horizontal="right"/>
    </xf>
    <xf numFmtId="0" fontId="3" fillId="0" borderId="0" xfId="0" applyFont="1" applyAlignment="1">
      <alignment wrapText="1"/>
    </xf>
    <xf numFmtId="164" fontId="3" fillId="0" borderId="0" xfId="0" applyNumberFormat="1" applyFont="1" applyAlignment="1">
      <alignment wrapText="1"/>
    </xf>
    <xf numFmtId="0" fontId="0" fillId="0" borderId="0" xfId="0" applyAlignment="1">
      <alignment wrapText="1"/>
    </xf>
    <xf numFmtId="164" fontId="0" fillId="3" borderId="3" xfId="0" applyNumberFormat="1" applyFill="1" applyBorder="1" applyAlignment="1">
      <alignment wrapText="1"/>
    </xf>
    <xf numFmtId="164" fontId="0" fillId="0" borderId="0" xfId="0" applyNumberFormat="1" applyAlignment="1">
      <alignment wrapText="1"/>
    </xf>
    <xf numFmtId="9" fontId="0" fillId="0" borderId="0" xfId="0" applyNumberFormat="1" applyAlignment="1">
      <alignment wrapText="1"/>
    </xf>
    <xf numFmtId="0" fontId="0" fillId="4" borderId="0" xfId="0" applyFill="1" applyAlignment="1">
      <alignment wrapText="1"/>
    </xf>
    <xf numFmtId="164" fontId="0" fillId="4" borderId="3" xfId="0" applyNumberFormat="1" applyFill="1" applyBorder="1" applyAlignment="1">
      <alignment wrapText="1"/>
    </xf>
    <xf numFmtId="164" fontId="0" fillId="4" borderId="0" xfId="0" applyNumberFormat="1" applyFill="1" applyAlignment="1">
      <alignment wrapText="1"/>
    </xf>
    <xf numFmtId="9" fontId="0" fillId="4" borderId="0" xfId="0" applyNumberFormat="1" applyFill="1" applyAlignment="1">
      <alignment wrapText="1"/>
    </xf>
    <xf numFmtId="164" fontId="0" fillId="5" borderId="0" xfId="0" applyNumberFormat="1" applyFill="1" applyAlignment="1">
      <alignment wrapText="1"/>
    </xf>
    <xf numFmtId="164" fontId="0" fillId="0" borderId="3" xfId="0" applyNumberFormat="1" applyBorder="1" applyAlignment="1">
      <alignment wrapText="1"/>
    </xf>
    <xf numFmtId="0" fontId="0" fillId="6" borderId="0" xfId="0" applyFill="1" applyAlignment="1">
      <alignment wrapText="1"/>
    </xf>
    <xf numFmtId="0" fontId="0" fillId="2" borderId="0" xfId="0" applyFill="1"/>
    <xf numFmtId="0" fontId="1" fillId="2" borderId="0" xfId="0" applyFont="1" applyFill="1"/>
    <xf numFmtId="14" fontId="0" fillId="2" borderId="0" xfId="0" applyNumberFormat="1" applyFill="1" applyAlignment="1">
      <alignment horizontal="left"/>
    </xf>
    <xf numFmtId="0" fontId="2" fillId="2" borderId="0" xfId="0" applyFont="1" applyFill="1"/>
    <xf numFmtId="0" fontId="0" fillId="2" borderId="1" xfId="0" applyFill="1" applyBorder="1"/>
    <xf numFmtId="0" fontId="2" fillId="2" borderId="2" xfId="0" applyFont="1" applyFill="1" applyBorder="1" applyAlignment="1">
      <alignment wrapText="1"/>
    </xf>
    <xf numFmtId="10" fontId="0" fillId="3" borderId="3" xfId="0" applyNumberForma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13"/>
  <sheetViews>
    <sheetView showZeros="0" tabSelected="1" topLeftCell="A193" zoomScale="70" zoomScaleNormal="70" workbookViewId="0">
      <selection activeCell="D170" sqref="D170"/>
    </sheetView>
  </sheetViews>
  <sheetFormatPr defaultRowHeight="14.4" x14ac:dyDescent="0.3"/>
  <cols>
    <col min="1" max="1" width="19" customWidth="1"/>
    <col min="2" max="2" width="7.77734375" customWidth="1"/>
    <col min="3" max="3" width="47" customWidth="1"/>
    <col min="4" max="4" width="132.44140625" style="13" customWidth="1"/>
    <col min="5" max="5" width="11" customWidth="1"/>
    <col min="6" max="6" width="5" customWidth="1"/>
    <col min="7" max="7" width="19" customWidth="1"/>
    <col min="8" max="8" width="15" customWidth="1"/>
    <col min="9" max="9" width="10.44140625" customWidth="1"/>
    <col min="10" max="10" width="22" customWidth="1"/>
    <col min="11" max="12" width="9" hidden="1" customWidth="1"/>
    <col min="13" max="13" width="10.6640625" bestFit="1" customWidth="1"/>
  </cols>
  <sheetData>
    <row r="1" spans="1:24" s="1" customFormat="1" x14ac:dyDescent="0.3">
      <c r="A1" s="24"/>
      <c r="B1" s="24"/>
      <c r="C1" s="24"/>
      <c r="D1" s="24"/>
      <c r="E1" s="24"/>
      <c r="F1" s="24"/>
      <c r="G1" s="24"/>
      <c r="H1" s="24"/>
      <c r="I1" s="24"/>
      <c r="J1" s="24"/>
      <c r="K1" s="24"/>
      <c r="L1" s="24"/>
      <c r="M1" s="24"/>
      <c r="N1" s="24"/>
      <c r="O1" s="24"/>
      <c r="P1" s="24"/>
      <c r="Q1" s="24"/>
      <c r="R1" s="24"/>
      <c r="S1" s="24"/>
      <c r="T1" s="24"/>
      <c r="U1" s="24"/>
      <c r="V1" s="24"/>
      <c r="W1" s="24"/>
      <c r="X1" s="24"/>
    </row>
    <row r="2" spans="1:24" s="2" customFormat="1" ht="21" x14ac:dyDescent="0.4">
      <c r="A2" s="25" t="s">
        <v>726</v>
      </c>
      <c r="B2" s="25"/>
      <c r="C2" s="25"/>
      <c r="D2" s="25"/>
      <c r="E2" s="25"/>
      <c r="F2" s="25"/>
      <c r="G2" s="25"/>
      <c r="H2" s="25"/>
      <c r="I2" s="25"/>
      <c r="J2" s="25"/>
      <c r="K2" s="25"/>
      <c r="L2" s="25"/>
      <c r="M2" s="25"/>
      <c r="N2" s="25"/>
      <c r="O2" s="25"/>
      <c r="P2" s="25"/>
      <c r="Q2" s="25"/>
      <c r="R2" s="25"/>
      <c r="S2" s="25"/>
      <c r="T2" s="25"/>
      <c r="U2" s="25"/>
      <c r="V2" s="25"/>
      <c r="W2" s="25"/>
      <c r="X2" s="25"/>
    </row>
    <row r="3" spans="1:24" s="1" customFormat="1" x14ac:dyDescent="0.3">
      <c r="A3" s="26" t="s">
        <v>725</v>
      </c>
      <c r="B3" s="26"/>
      <c r="C3" s="26"/>
      <c r="D3" s="26"/>
      <c r="E3" s="26"/>
      <c r="F3" s="26"/>
      <c r="G3" s="26"/>
      <c r="H3" s="26"/>
      <c r="I3" s="26"/>
      <c r="J3" s="26"/>
      <c r="K3" s="26"/>
      <c r="L3" s="26"/>
      <c r="M3" s="26"/>
      <c r="N3" s="26"/>
      <c r="O3" s="26"/>
      <c r="P3" s="26"/>
      <c r="Q3" s="26"/>
      <c r="R3" s="26"/>
      <c r="S3" s="26"/>
      <c r="T3" s="26"/>
      <c r="U3" s="26"/>
      <c r="V3" s="26"/>
      <c r="W3" s="26"/>
      <c r="X3" s="26"/>
    </row>
    <row r="4" spans="1:24" s="1" customFormat="1" x14ac:dyDescent="0.3">
      <c r="A4" s="24"/>
      <c r="B4" s="24"/>
      <c r="C4" s="24"/>
      <c r="D4" s="24"/>
      <c r="E4" s="24"/>
      <c r="F4" s="24"/>
      <c r="G4" s="24"/>
      <c r="H4" s="24"/>
      <c r="I4" s="24"/>
      <c r="J4" s="24"/>
      <c r="K4" s="24"/>
      <c r="L4" s="24"/>
      <c r="M4" s="24"/>
      <c r="N4" s="24"/>
      <c r="O4" s="24"/>
      <c r="P4" s="24"/>
      <c r="Q4" s="24"/>
      <c r="R4" s="24"/>
      <c r="S4" s="24"/>
      <c r="T4" s="24"/>
      <c r="U4" s="24"/>
      <c r="V4" s="24"/>
      <c r="W4" s="24"/>
      <c r="X4" s="24"/>
    </row>
    <row r="5" spans="1:24" s="3" customFormat="1" ht="18" x14ac:dyDescent="0.35">
      <c r="A5" s="27" t="s">
        <v>0</v>
      </c>
      <c r="B5" s="27"/>
      <c r="C5" s="27"/>
      <c r="D5" s="27"/>
      <c r="E5" s="27"/>
      <c r="F5" s="27"/>
      <c r="G5" s="27"/>
      <c r="H5" s="27"/>
      <c r="I5" s="27"/>
      <c r="J5" s="27"/>
      <c r="K5" s="27"/>
      <c r="L5" s="27"/>
      <c r="M5" s="27"/>
      <c r="N5" s="27"/>
      <c r="O5" s="27"/>
      <c r="P5" s="27"/>
      <c r="Q5" s="27"/>
      <c r="R5" s="27"/>
      <c r="S5" s="27"/>
      <c r="T5" s="27"/>
      <c r="U5" s="27"/>
      <c r="V5" s="27"/>
      <c r="W5" s="27"/>
      <c r="X5" s="27"/>
    </row>
    <row r="6" spans="1:24" s="1" customFormat="1" x14ac:dyDescent="0.3">
      <c r="A6" s="24" t="s">
        <v>1</v>
      </c>
      <c r="B6" s="24"/>
      <c r="C6" s="24"/>
      <c r="D6" s="24"/>
      <c r="E6" s="24"/>
      <c r="F6" s="24"/>
      <c r="G6" s="24"/>
      <c r="H6" s="24"/>
      <c r="I6" s="24"/>
      <c r="J6" s="24"/>
      <c r="K6" s="24"/>
      <c r="L6" s="24"/>
      <c r="M6" s="24"/>
      <c r="N6" s="24"/>
      <c r="O6" s="24"/>
      <c r="P6" s="24"/>
      <c r="Q6" s="24"/>
      <c r="R6" s="24"/>
      <c r="S6" s="24"/>
      <c r="T6" s="24"/>
      <c r="U6" s="24"/>
      <c r="V6" s="24"/>
      <c r="W6" s="24"/>
      <c r="X6" s="24"/>
    </row>
    <row r="7" spans="1:24" s="1" customFormat="1" x14ac:dyDescent="0.3">
      <c r="A7" s="24" t="s">
        <v>2</v>
      </c>
      <c r="B7" s="24"/>
      <c r="C7" s="24"/>
      <c r="D7" s="24"/>
      <c r="E7" s="24"/>
      <c r="F7" s="24"/>
      <c r="G7" s="24"/>
      <c r="H7" s="24"/>
      <c r="I7" s="24"/>
      <c r="J7" s="24"/>
      <c r="K7" s="24"/>
      <c r="L7" s="24"/>
      <c r="M7" s="24"/>
      <c r="N7" s="24"/>
      <c r="O7" s="24"/>
      <c r="P7" s="24"/>
      <c r="Q7" s="24"/>
      <c r="R7" s="24"/>
      <c r="S7" s="24"/>
      <c r="T7" s="24"/>
      <c r="U7" s="24"/>
      <c r="V7" s="24"/>
      <c r="W7" s="24"/>
      <c r="X7" s="24"/>
    </row>
    <row r="8" spans="1:24" s="1" customFormat="1" x14ac:dyDescent="0.3">
      <c r="A8" s="24"/>
      <c r="B8" s="24"/>
      <c r="C8" s="24"/>
      <c r="D8" s="24"/>
      <c r="E8" s="24"/>
      <c r="F8" s="24"/>
      <c r="G8" s="24"/>
      <c r="H8" s="24"/>
      <c r="I8" s="24"/>
      <c r="J8" s="24"/>
      <c r="K8" s="24"/>
      <c r="L8" s="24"/>
      <c r="M8" s="24"/>
      <c r="N8" s="24"/>
      <c r="O8" s="24"/>
      <c r="P8" s="24"/>
      <c r="Q8" s="24"/>
      <c r="R8" s="24"/>
      <c r="S8" s="24"/>
      <c r="T8" s="24"/>
      <c r="U8" s="24"/>
      <c r="V8" s="24"/>
      <c r="W8" s="24"/>
      <c r="X8" s="24"/>
    </row>
    <row r="9" spans="1:24" s="3" customFormat="1" ht="18" x14ac:dyDescent="0.35">
      <c r="A9" s="27" t="s">
        <v>3</v>
      </c>
      <c r="B9" s="27"/>
      <c r="C9" s="27"/>
      <c r="D9" s="27"/>
      <c r="E9" s="27"/>
      <c r="F9" s="27"/>
      <c r="G9" s="27"/>
      <c r="H9" s="27"/>
      <c r="I9" s="27"/>
      <c r="J9" s="27"/>
      <c r="K9" s="27"/>
      <c r="L9" s="27"/>
      <c r="M9" s="27"/>
      <c r="N9" s="27"/>
      <c r="O9" s="27"/>
      <c r="P9" s="27"/>
      <c r="Q9" s="27"/>
      <c r="R9" s="27"/>
      <c r="S9" s="27"/>
      <c r="T9" s="27"/>
      <c r="U9" s="27"/>
      <c r="V9" s="27"/>
      <c r="W9" s="27"/>
      <c r="X9" s="27"/>
    </row>
    <row r="10" spans="1:24" s="1" customFormat="1" x14ac:dyDescent="0.3">
      <c r="A10" s="24" t="s">
        <v>4</v>
      </c>
      <c r="B10" s="24"/>
      <c r="C10" s="24"/>
      <c r="D10" s="24"/>
      <c r="E10" s="24"/>
      <c r="F10" s="24"/>
      <c r="G10" s="24"/>
      <c r="H10" s="24"/>
      <c r="I10" s="24"/>
      <c r="J10" s="24"/>
      <c r="K10" s="24"/>
      <c r="L10" s="24"/>
      <c r="M10" s="24"/>
      <c r="N10" s="24"/>
      <c r="O10" s="24"/>
      <c r="P10" s="24"/>
      <c r="Q10" s="24"/>
      <c r="R10" s="24"/>
      <c r="S10" s="24"/>
      <c r="T10" s="24"/>
      <c r="U10" s="24"/>
      <c r="V10" s="24"/>
      <c r="W10" s="24"/>
      <c r="X10" s="24"/>
    </row>
    <row r="11" spans="1:24" s="3" customFormat="1" ht="18" x14ac:dyDescent="0.35">
      <c r="A11" s="27"/>
      <c r="B11" s="27"/>
      <c r="C11" s="27"/>
      <c r="D11" s="27"/>
      <c r="E11" s="27"/>
      <c r="F11" s="27"/>
      <c r="G11" s="27"/>
      <c r="H11" s="27"/>
      <c r="I11" s="27"/>
      <c r="J11" s="27"/>
      <c r="K11" s="27"/>
      <c r="L11" s="27"/>
      <c r="M11" s="27"/>
      <c r="N11" s="27"/>
      <c r="O11" s="27"/>
      <c r="P11" s="27"/>
      <c r="Q11" s="27"/>
      <c r="R11" s="27"/>
      <c r="S11" s="27"/>
      <c r="T11" s="27"/>
      <c r="U11" s="27"/>
      <c r="V11" s="27"/>
      <c r="W11" s="27"/>
      <c r="X11" s="27"/>
    </row>
    <row r="12" spans="1:24" s="1" customFormat="1" x14ac:dyDescent="0.3">
      <c r="A12" s="24"/>
      <c r="B12" s="24"/>
      <c r="C12" s="24"/>
      <c r="D12" s="24"/>
      <c r="E12" s="24"/>
      <c r="F12" s="24"/>
      <c r="G12" s="24"/>
      <c r="H12" s="24"/>
      <c r="I12" s="24"/>
      <c r="J12" s="24"/>
      <c r="K12" s="24"/>
      <c r="L12" s="24"/>
      <c r="M12" s="24"/>
      <c r="N12" s="24"/>
      <c r="O12" s="24"/>
      <c r="P12" s="24"/>
      <c r="Q12" s="24"/>
      <c r="R12" s="24"/>
      <c r="S12" s="24"/>
      <c r="T12" s="24"/>
      <c r="U12" s="24"/>
      <c r="V12" s="24"/>
      <c r="W12" s="24"/>
      <c r="X12" s="24"/>
    </row>
    <row r="13" spans="1:24" s="4" customFormat="1" x14ac:dyDescent="0.3">
      <c r="A13" s="28"/>
      <c r="B13" s="28"/>
      <c r="C13" s="28"/>
      <c r="D13" s="28"/>
      <c r="E13" s="28"/>
      <c r="F13" s="28"/>
      <c r="G13" s="28"/>
      <c r="H13" s="28"/>
      <c r="I13" s="28"/>
      <c r="J13" s="28"/>
      <c r="K13" s="28"/>
      <c r="L13" s="28"/>
      <c r="M13" s="28"/>
      <c r="N13" s="28"/>
      <c r="O13" s="28"/>
      <c r="P13" s="28"/>
      <c r="Q13" s="28"/>
      <c r="R13" s="28"/>
      <c r="S13" s="28"/>
      <c r="T13" s="28"/>
      <c r="U13" s="28"/>
      <c r="V13" s="28"/>
      <c r="W13" s="28"/>
      <c r="X13" s="28"/>
    </row>
    <row r="14" spans="1:24" s="5" customFormat="1" ht="18" x14ac:dyDescent="0.35">
      <c r="C14" s="5" t="s">
        <v>5</v>
      </c>
      <c r="D14" s="29"/>
      <c r="J14" s="6">
        <f>SUM(H26,H35,H49,H70,H115,H144,H150,H156,H291,H303)</f>
        <v>413287.99</v>
      </c>
    </row>
    <row r="15" spans="1:24" x14ac:dyDescent="0.3">
      <c r="C15" t="s">
        <v>6</v>
      </c>
      <c r="D15" s="30">
        <v>0</v>
      </c>
      <c r="J15" s="7">
        <f>SUM(J14, -J16)</f>
        <v>0</v>
      </c>
    </row>
    <row r="16" spans="1:24" x14ac:dyDescent="0.3">
      <c r="C16" t="s">
        <v>7</v>
      </c>
      <c r="J16" s="7">
        <f>IF(ISBLANK(D15),J14,ROUND(PRODUCT(J14, SUM(1, -D15)), 2))</f>
        <v>413287.99</v>
      </c>
    </row>
    <row r="17" spans="1:24" x14ac:dyDescent="0.3">
      <c r="C17" t="s">
        <v>8</v>
      </c>
      <c r="D17" s="30">
        <v>0</v>
      </c>
      <c r="J17" s="7">
        <f>IF(ISBLANK(D17),0,ROUND(PRODUCT(J16, D17), 2))</f>
        <v>0</v>
      </c>
    </row>
    <row r="18" spans="1:24" x14ac:dyDescent="0.3">
      <c r="C18" t="s">
        <v>9</v>
      </c>
      <c r="J18" s="7">
        <f>SUM(J16,J17)</f>
        <v>413287.99</v>
      </c>
    </row>
    <row r="19" spans="1:24" x14ac:dyDescent="0.3">
      <c r="C19" t="s">
        <v>10</v>
      </c>
      <c r="D19" s="30">
        <v>0</v>
      </c>
      <c r="E19" s="8">
        <v>0</v>
      </c>
      <c r="J19" s="7">
        <f>SUM(J18, -J20)</f>
        <v>0</v>
      </c>
    </row>
    <row r="20" spans="1:24" x14ac:dyDescent="0.3">
      <c r="C20" t="s">
        <v>11</v>
      </c>
      <c r="J20" s="7">
        <f>IF(ISBLANK(D19),J18,ROUND(PRODUCT(J18, SUM(1, -D19)), 2))</f>
        <v>413287.99</v>
      </c>
    </row>
    <row r="22" spans="1:24" s="4" customFormat="1" x14ac:dyDescent="0.3">
      <c r="A22" s="28"/>
      <c r="B22" s="28"/>
      <c r="C22" s="28"/>
      <c r="D22" s="28"/>
      <c r="E22" s="28"/>
      <c r="F22" s="28"/>
      <c r="G22" s="28"/>
      <c r="H22" s="28"/>
      <c r="I22" s="28"/>
      <c r="J22" s="28"/>
      <c r="K22" s="28"/>
      <c r="L22" s="28"/>
      <c r="M22" s="28"/>
      <c r="N22" s="28"/>
      <c r="O22" s="28"/>
      <c r="P22" s="28"/>
      <c r="Q22" s="28"/>
      <c r="R22" s="28"/>
      <c r="S22" s="28"/>
      <c r="T22" s="28"/>
      <c r="U22" s="28"/>
      <c r="V22" s="28"/>
      <c r="W22" s="28"/>
      <c r="X22" s="28"/>
    </row>
    <row r="23" spans="1:24" s="9" customFormat="1" ht="43.2" x14ac:dyDescent="0.3">
      <c r="A23" s="9" t="s">
        <v>12</v>
      </c>
      <c r="B23" s="9" t="s">
        <v>13</v>
      </c>
      <c r="C23" s="9" t="s">
        <v>14</v>
      </c>
      <c r="D23" s="9" t="s">
        <v>15</v>
      </c>
      <c r="E23" s="10" t="s">
        <v>16</v>
      </c>
      <c r="F23" s="9" t="s">
        <v>17</v>
      </c>
      <c r="G23" s="10" t="s">
        <v>18</v>
      </c>
      <c r="H23" s="10" t="s">
        <v>19</v>
      </c>
      <c r="I23" s="10" t="s">
        <v>20</v>
      </c>
      <c r="J23" s="10" t="s">
        <v>9</v>
      </c>
      <c r="K23" s="9" t="s">
        <v>21</v>
      </c>
    </row>
    <row r="25" spans="1:24" s="11" customFormat="1" x14ac:dyDescent="0.3">
      <c r="A25" s="11" t="s">
        <v>22</v>
      </c>
      <c r="C25" s="11" t="s">
        <v>23</v>
      </c>
      <c r="H25" s="12">
        <v>0</v>
      </c>
      <c r="J25" s="12">
        <v>0</v>
      </c>
    </row>
    <row r="26" spans="1:24" s="11" customFormat="1" x14ac:dyDescent="0.3">
      <c r="A26" s="11" t="s">
        <v>24</v>
      </c>
      <c r="C26" s="11" t="s">
        <v>25</v>
      </c>
      <c r="H26" s="12">
        <f>SUM(H32,)</f>
        <v>1634.6</v>
      </c>
      <c r="J26" s="12">
        <f>SUM(J27,J30,J32,)</f>
        <v>1634.6</v>
      </c>
    </row>
    <row r="27" spans="1:24" s="11" customFormat="1" x14ac:dyDescent="0.3">
      <c r="A27" s="11" t="s">
        <v>26</v>
      </c>
      <c r="C27" s="11" t="s">
        <v>27</v>
      </c>
      <c r="H27" s="12">
        <v>0</v>
      </c>
      <c r="J27" s="12">
        <v>0</v>
      </c>
    </row>
    <row r="28" spans="1:24" s="13" customFormat="1" ht="409.6" x14ac:dyDescent="0.3">
      <c r="C28" s="13" t="s">
        <v>28</v>
      </c>
      <c r="D28" s="13" t="s">
        <v>29</v>
      </c>
      <c r="K28" s="13" t="s">
        <v>30</v>
      </c>
    </row>
    <row r="29" spans="1:24" s="13" customFormat="1" ht="115.2" x14ac:dyDescent="0.3">
      <c r="C29" s="13" t="s">
        <v>31</v>
      </c>
      <c r="D29" s="13" t="s">
        <v>32</v>
      </c>
      <c r="K29" s="13" t="s">
        <v>30</v>
      </c>
    </row>
    <row r="30" spans="1:24" s="11" customFormat="1" x14ac:dyDescent="0.3">
      <c r="A30" s="11" t="s">
        <v>33</v>
      </c>
      <c r="C30" s="11" t="s">
        <v>34</v>
      </c>
      <c r="H30" s="12">
        <f>SUM(H31)</f>
        <v>0</v>
      </c>
      <c r="J30" s="12">
        <f>SUM(J31)</f>
        <v>0</v>
      </c>
    </row>
    <row r="31" spans="1:24" s="13" customFormat="1" ht="331.2" x14ac:dyDescent="0.3">
      <c r="A31" s="13" t="s">
        <v>35</v>
      </c>
      <c r="B31" s="13" t="s">
        <v>30</v>
      </c>
      <c r="C31" s="13" t="s">
        <v>36</v>
      </c>
      <c r="D31" s="13" t="s">
        <v>37</v>
      </c>
      <c r="E31" s="13">
        <v>1</v>
      </c>
      <c r="F31" s="13" t="s">
        <v>38</v>
      </c>
      <c r="G31" s="14">
        <v>0</v>
      </c>
      <c r="H31" s="15">
        <f>IF(AND(ISNUMBER(E31),ISNUMBER(G31)),ROUND(PRODUCT(PRODUCT(E31, G31), 1 - L31), 2),"")</f>
        <v>0</v>
      </c>
      <c r="I31" s="16">
        <v>0</v>
      </c>
      <c r="J31" s="15">
        <f>IF(AND(ISNUMBER(H31)),ROUND(PRODUCT(H31, SUM(I31,"1")), 2),"")</f>
        <v>0</v>
      </c>
      <c r="K31" s="13" t="s">
        <v>30</v>
      </c>
      <c r="L31" s="13">
        <v>0</v>
      </c>
    </row>
    <row r="32" spans="1:24" s="11" customFormat="1" x14ac:dyDescent="0.3">
      <c r="A32" s="11" t="s">
        <v>39</v>
      </c>
      <c r="C32" s="11" t="s">
        <v>40</v>
      </c>
      <c r="G32" s="11">
        <v>0</v>
      </c>
      <c r="H32" s="12">
        <f>SUM(H33,H34)</f>
        <v>1634.6</v>
      </c>
      <c r="J32" s="12">
        <f>SUM(J33,J34)</f>
        <v>1634.6</v>
      </c>
    </row>
    <row r="33" spans="1:13" s="13" customFormat="1" ht="129.6" x14ac:dyDescent="0.3">
      <c r="A33" s="13" t="s">
        <v>41</v>
      </c>
      <c r="B33" s="13" t="s">
        <v>30</v>
      </c>
      <c r="C33" s="13" t="s">
        <v>42</v>
      </c>
      <c r="D33" s="13" t="s">
        <v>43</v>
      </c>
      <c r="E33" s="13">
        <v>1</v>
      </c>
      <c r="F33" s="13" t="s">
        <v>38</v>
      </c>
      <c r="G33" s="14">
        <v>0</v>
      </c>
      <c r="H33" s="15">
        <f>IF(AND(ISNUMBER(E33),ISNUMBER(G33)),ROUND(PRODUCT(PRODUCT(E33, G33), 1 - L33), 2),"")</f>
        <v>0</v>
      </c>
      <c r="I33" s="16">
        <v>0</v>
      </c>
      <c r="J33" s="15">
        <f>IF(AND(ISNUMBER(H33)),ROUND(PRODUCT(H33, SUM(I33,"1")), 2),"")</f>
        <v>0</v>
      </c>
      <c r="K33" s="13" t="s">
        <v>30</v>
      </c>
      <c r="L33" s="13">
        <v>0</v>
      </c>
    </row>
    <row r="34" spans="1:13" s="13" customFormat="1" ht="100.8" x14ac:dyDescent="0.3">
      <c r="A34" s="13" t="s">
        <v>44</v>
      </c>
      <c r="B34" s="13" t="s">
        <v>30</v>
      </c>
      <c r="C34" s="13" t="s">
        <v>45</v>
      </c>
      <c r="D34" s="13" t="s">
        <v>46</v>
      </c>
      <c r="E34" s="13">
        <v>1</v>
      </c>
      <c r="F34" s="13" t="s">
        <v>38</v>
      </c>
      <c r="G34" s="14">
        <v>1634.6</v>
      </c>
      <c r="H34" s="15">
        <f>IF(AND(ISNUMBER(E34),ISNUMBER(G34)),ROUND(PRODUCT(PRODUCT(E34, G34), 1 - L34), 2),"")</f>
        <v>1634.6</v>
      </c>
      <c r="I34" s="16">
        <v>0</v>
      </c>
      <c r="J34" s="15">
        <f>IF(AND(ISNUMBER(H34)),ROUND(PRODUCT(H34, SUM(I34,"1")), 2),"")</f>
        <v>1634.6</v>
      </c>
      <c r="K34" s="13" t="s">
        <v>30</v>
      </c>
      <c r="L34" s="13">
        <v>0</v>
      </c>
    </row>
    <row r="35" spans="1:13" s="11" customFormat="1" x14ac:dyDescent="0.3">
      <c r="A35" s="11" t="s">
        <v>54</v>
      </c>
      <c r="C35" s="11" t="s">
        <v>55</v>
      </c>
      <c r="G35" s="11">
        <v>0</v>
      </c>
      <c r="H35" s="12">
        <f>SUM(,H45)</f>
        <v>38615.360000000001</v>
      </c>
      <c r="J35" s="12">
        <f>SUM(J36,J40,J41,J42,J43,J44,J45)</f>
        <v>38615.360000000001</v>
      </c>
    </row>
    <row r="36" spans="1:13" s="11" customFormat="1" x14ac:dyDescent="0.3">
      <c r="A36" s="11" t="s">
        <v>56</v>
      </c>
      <c r="C36" s="11" t="s">
        <v>50</v>
      </c>
      <c r="G36" s="11">
        <v>0</v>
      </c>
      <c r="H36" s="12">
        <v>0</v>
      </c>
      <c r="J36" s="12">
        <v>0</v>
      </c>
    </row>
    <row r="37" spans="1:13" s="13" customFormat="1" ht="409.6" x14ac:dyDescent="0.3">
      <c r="C37" s="13" t="s">
        <v>28</v>
      </c>
      <c r="D37" s="13" t="s">
        <v>51</v>
      </c>
      <c r="G37" s="13">
        <v>0</v>
      </c>
      <c r="K37" s="13" t="s">
        <v>30</v>
      </c>
    </row>
    <row r="38" spans="1:13" s="13" customFormat="1" ht="302.39999999999998" x14ac:dyDescent="0.3">
      <c r="C38" s="13" t="s">
        <v>57</v>
      </c>
      <c r="D38" s="13" t="s">
        <v>58</v>
      </c>
      <c r="G38" s="13">
        <v>0</v>
      </c>
      <c r="K38" s="13" t="s">
        <v>30</v>
      </c>
    </row>
    <row r="39" spans="1:13" s="13" customFormat="1" ht="302.39999999999998" x14ac:dyDescent="0.3">
      <c r="C39" s="13" t="s">
        <v>59</v>
      </c>
      <c r="D39" s="13" t="s">
        <v>60</v>
      </c>
      <c r="G39" s="13">
        <v>0</v>
      </c>
      <c r="K39" s="13" t="s">
        <v>30</v>
      </c>
    </row>
    <row r="40" spans="1:13" s="11" customFormat="1" x14ac:dyDescent="0.3">
      <c r="A40" s="11" t="s">
        <v>61</v>
      </c>
      <c r="C40" s="11" t="s">
        <v>62</v>
      </c>
      <c r="G40" s="11">
        <v>0</v>
      </c>
      <c r="H40" s="12">
        <v>0</v>
      </c>
      <c r="J40" s="12">
        <v>0</v>
      </c>
    </row>
    <row r="41" spans="1:13" s="11" customFormat="1" x14ac:dyDescent="0.3">
      <c r="A41" s="11" t="s">
        <v>63</v>
      </c>
      <c r="C41" s="11" t="s">
        <v>64</v>
      </c>
      <c r="G41" s="11">
        <v>0</v>
      </c>
      <c r="H41" s="12">
        <v>0</v>
      </c>
      <c r="J41" s="12">
        <v>0</v>
      </c>
    </row>
    <row r="42" spans="1:13" s="11" customFormat="1" x14ac:dyDescent="0.3">
      <c r="A42" s="11" t="s">
        <v>65</v>
      </c>
      <c r="C42" s="11" t="s">
        <v>66</v>
      </c>
      <c r="G42" s="11">
        <v>0</v>
      </c>
      <c r="H42" s="12">
        <v>0</v>
      </c>
      <c r="J42" s="12">
        <v>0</v>
      </c>
    </row>
    <row r="43" spans="1:13" s="11" customFormat="1" x14ac:dyDescent="0.3">
      <c r="A43" s="11" t="s">
        <v>67</v>
      </c>
      <c r="C43" s="11" t="s">
        <v>68</v>
      </c>
      <c r="G43" s="11">
        <v>0</v>
      </c>
      <c r="H43" s="12">
        <v>0</v>
      </c>
      <c r="J43" s="12">
        <v>0</v>
      </c>
    </row>
    <row r="44" spans="1:13" s="11" customFormat="1" x14ac:dyDescent="0.3">
      <c r="A44" s="11" t="s">
        <v>69</v>
      </c>
      <c r="C44" s="11" t="s">
        <v>70</v>
      </c>
      <c r="G44" s="11">
        <v>0</v>
      </c>
      <c r="H44" s="12">
        <v>0</v>
      </c>
      <c r="J44" s="12">
        <v>0</v>
      </c>
    </row>
    <row r="45" spans="1:13" s="11" customFormat="1" x14ac:dyDescent="0.3">
      <c r="A45" s="11" t="s">
        <v>71</v>
      </c>
      <c r="C45" s="11" t="s">
        <v>49</v>
      </c>
      <c r="G45" s="11">
        <v>0</v>
      </c>
      <c r="H45" s="12">
        <f>SUM(H46,H47,H48)</f>
        <v>38615.360000000001</v>
      </c>
      <c r="J45" s="12">
        <f>SUM(J46,J47,J48)</f>
        <v>38615.360000000001</v>
      </c>
    </row>
    <row r="46" spans="1:13" s="13" customFormat="1" ht="259.2" x14ac:dyDescent="0.3">
      <c r="A46" s="17" t="s">
        <v>72</v>
      </c>
      <c r="B46" s="17" t="s">
        <v>30</v>
      </c>
      <c r="C46" s="17" t="s">
        <v>73</v>
      </c>
      <c r="D46" s="17" t="s">
        <v>74</v>
      </c>
      <c r="E46" s="17">
        <v>1</v>
      </c>
      <c r="F46" s="17" t="s">
        <v>47</v>
      </c>
      <c r="G46" s="18">
        <v>36000</v>
      </c>
      <c r="H46" s="19">
        <f>IF(AND(ISNUMBER(E46),ISNUMBER(G46)),ROUND(PRODUCT(PRODUCT(E46, G46), 1 - L46), 2),"")</f>
        <v>36000</v>
      </c>
      <c r="I46" s="20">
        <v>0</v>
      </c>
      <c r="J46" s="19">
        <f>IF(AND(ISNUMBER(H46)),ROUND(PRODUCT(H46, SUM(I46,"1")), 2),"")</f>
        <v>36000</v>
      </c>
      <c r="K46" s="13" t="s">
        <v>30</v>
      </c>
      <c r="L46" s="13">
        <v>0</v>
      </c>
      <c r="M46" s="21"/>
    </row>
    <row r="47" spans="1:13" s="13" customFormat="1" ht="100.8" x14ac:dyDescent="0.3">
      <c r="A47" s="13" t="s">
        <v>75</v>
      </c>
      <c r="B47" s="13" t="s">
        <v>30</v>
      </c>
      <c r="C47" s="13" t="s">
        <v>76</v>
      </c>
      <c r="D47" s="13" t="s">
        <v>77</v>
      </c>
      <c r="E47" s="13">
        <v>800</v>
      </c>
      <c r="F47" s="13" t="s">
        <v>52</v>
      </c>
      <c r="G47" s="14"/>
      <c r="H47" s="15" t="str">
        <f>IF(AND(ISNUMBER(E47),ISNUMBER(G47)),ROUND(PRODUCT(PRODUCT(E47, G47), 1 - L47), 2),"")</f>
        <v/>
      </c>
      <c r="I47" s="16">
        <v>0</v>
      </c>
      <c r="J47" s="15" t="str">
        <f>IF(AND(ISNUMBER(H47)),ROUND(PRODUCT(H47, SUM(I47,"1")), 2),"")</f>
        <v/>
      </c>
      <c r="K47" s="13" t="s">
        <v>30</v>
      </c>
      <c r="L47" s="13">
        <v>0</v>
      </c>
    </row>
    <row r="48" spans="1:13" s="13" customFormat="1" ht="57.6" x14ac:dyDescent="0.3">
      <c r="A48" s="13" t="s">
        <v>78</v>
      </c>
      <c r="B48" s="13" t="s">
        <v>30</v>
      </c>
      <c r="C48" s="13" t="s">
        <v>79</v>
      </c>
      <c r="D48" s="13" t="s">
        <v>80</v>
      </c>
      <c r="E48" s="13">
        <v>1</v>
      </c>
      <c r="F48" s="13" t="s">
        <v>47</v>
      </c>
      <c r="G48" s="14">
        <v>2615.36</v>
      </c>
      <c r="H48" s="15">
        <f>IF(AND(ISNUMBER(E48),ISNUMBER(G48)),ROUND(PRODUCT(PRODUCT(E48, G48), 1 - L48), 2),"")</f>
        <v>2615.36</v>
      </c>
      <c r="I48" s="16">
        <v>0</v>
      </c>
      <c r="J48" s="15">
        <f>IF(AND(ISNUMBER(H48)),ROUND(PRODUCT(H48, SUM(I48,"1")), 2),"")</f>
        <v>2615.36</v>
      </c>
      <c r="K48" s="13" t="s">
        <v>30</v>
      </c>
      <c r="L48" s="13">
        <v>0</v>
      </c>
    </row>
    <row r="49" spans="1:11" s="11" customFormat="1" x14ac:dyDescent="0.3">
      <c r="A49" s="11" t="s">
        <v>81</v>
      </c>
      <c r="C49" s="11" t="s">
        <v>82</v>
      </c>
      <c r="G49" s="11">
        <v>0</v>
      </c>
      <c r="H49" s="12">
        <f>SUM(H50,H54,H55,H56,H57,H58,H59,H60)</f>
        <v>0</v>
      </c>
      <c r="J49" s="12">
        <f>SUM(J50,J54,J55,J56,J57,J58,J59,J60)</f>
        <v>0</v>
      </c>
    </row>
    <row r="50" spans="1:11" s="11" customFormat="1" x14ac:dyDescent="0.3">
      <c r="A50" s="11" t="s">
        <v>83</v>
      </c>
      <c r="C50" s="11" t="s">
        <v>50</v>
      </c>
      <c r="G50" s="11">
        <v>0</v>
      </c>
      <c r="H50" s="12">
        <v>0</v>
      </c>
      <c r="J50" s="12">
        <v>0</v>
      </c>
    </row>
    <row r="51" spans="1:11" s="13" customFormat="1" ht="409.6" x14ac:dyDescent="0.3">
      <c r="C51" s="13" t="s">
        <v>28</v>
      </c>
      <c r="D51" s="13" t="s">
        <v>51</v>
      </c>
      <c r="G51" s="13">
        <v>0</v>
      </c>
      <c r="K51" s="13" t="s">
        <v>30</v>
      </c>
    </row>
    <row r="52" spans="1:11" s="13" customFormat="1" ht="302.39999999999998" x14ac:dyDescent="0.3">
      <c r="C52" s="13" t="s">
        <v>57</v>
      </c>
      <c r="D52" s="13" t="s">
        <v>58</v>
      </c>
      <c r="G52" s="13">
        <v>0</v>
      </c>
      <c r="K52" s="13" t="s">
        <v>30</v>
      </c>
    </row>
    <row r="53" spans="1:11" s="13" customFormat="1" ht="316.8" x14ac:dyDescent="0.3">
      <c r="C53" s="13" t="s">
        <v>84</v>
      </c>
      <c r="D53" s="13" t="s">
        <v>85</v>
      </c>
      <c r="G53" s="13">
        <v>0</v>
      </c>
      <c r="K53" s="13" t="s">
        <v>30</v>
      </c>
    </row>
    <row r="54" spans="1:11" s="11" customFormat="1" x14ac:dyDescent="0.3">
      <c r="A54" s="11" t="s">
        <v>86</v>
      </c>
      <c r="C54" s="11" t="s">
        <v>87</v>
      </c>
      <c r="G54" s="11">
        <v>0</v>
      </c>
      <c r="H54" s="12">
        <v>0</v>
      </c>
      <c r="J54" s="12">
        <v>0</v>
      </c>
    </row>
    <row r="55" spans="1:11" s="11" customFormat="1" x14ac:dyDescent="0.3">
      <c r="A55" s="11" t="s">
        <v>88</v>
      </c>
      <c r="C55" s="11" t="s">
        <v>89</v>
      </c>
      <c r="G55" s="11">
        <v>0</v>
      </c>
      <c r="H55" s="12">
        <v>0</v>
      </c>
      <c r="J55" s="12">
        <v>0</v>
      </c>
    </row>
    <row r="56" spans="1:11" s="11" customFormat="1" x14ac:dyDescent="0.3">
      <c r="A56" s="11" t="s">
        <v>90</v>
      </c>
      <c r="C56" s="11" t="s">
        <v>91</v>
      </c>
      <c r="G56" s="11">
        <v>0</v>
      </c>
      <c r="H56" s="12">
        <v>0</v>
      </c>
      <c r="J56" s="12">
        <v>0</v>
      </c>
    </row>
    <row r="57" spans="1:11" s="11" customFormat="1" x14ac:dyDescent="0.3">
      <c r="A57" s="11" t="s">
        <v>92</v>
      </c>
      <c r="C57" s="11" t="s">
        <v>93</v>
      </c>
      <c r="G57" s="11">
        <v>0</v>
      </c>
      <c r="H57" s="12">
        <v>0</v>
      </c>
      <c r="J57" s="12">
        <v>0</v>
      </c>
    </row>
    <row r="58" spans="1:11" s="11" customFormat="1" x14ac:dyDescent="0.3">
      <c r="A58" s="11" t="s">
        <v>94</v>
      </c>
      <c r="C58" s="11" t="s">
        <v>95</v>
      </c>
      <c r="G58" s="11">
        <v>0</v>
      </c>
      <c r="H58" s="12">
        <v>0</v>
      </c>
      <c r="J58" s="12">
        <v>0</v>
      </c>
    </row>
    <row r="59" spans="1:11" s="11" customFormat="1" x14ac:dyDescent="0.3">
      <c r="A59" s="11" t="s">
        <v>96</v>
      </c>
      <c r="C59" s="11" t="s">
        <v>97</v>
      </c>
      <c r="G59" s="11">
        <v>0</v>
      </c>
      <c r="H59" s="12">
        <v>0</v>
      </c>
      <c r="J59" s="12">
        <v>0</v>
      </c>
    </row>
    <row r="60" spans="1:11" s="11" customFormat="1" x14ac:dyDescent="0.3">
      <c r="A60" s="11" t="s">
        <v>98</v>
      </c>
      <c r="C60" s="11" t="s">
        <v>49</v>
      </c>
      <c r="G60" s="11">
        <v>0</v>
      </c>
      <c r="H60" s="12">
        <v>0</v>
      </c>
      <c r="J60" s="12">
        <v>0</v>
      </c>
    </row>
    <row r="61" spans="1:11" s="11" customFormat="1" x14ac:dyDescent="0.3">
      <c r="A61" s="11" t="s">
        <v>99</v>
      </c>
      <c r="C61" s="11" t="s">
        <v>100</v>
      </c>
      <c r="G61" s="11">
        <v>0</v>
      </c>
      <c r="H61" s="12">
        <f>SUM(H62,H66,H67,H68,H69)</f>
        <v>0</v>
      </c>
      <c r="J61" s="12">
        <f>SUM(J62,J66,J67,J68,J69)</f>
        <v>0</v>
      </c>
    </row>
    <row r="62" spans="1:11" s="11" customFormat="1" x14ac:dyDescent="0.3">
      <c r="A62" s="11" t="s">
        <v>101</v>
      </c>
      <c r="C62" s="11" t="s">
        <v>50</v>
      </c>
      <c r="G62" s="11">
        <v>0</v>
      </c>
      <c r="H62" s="12">
        <v>0</v>
      </c>
      <c r="J62" s="12">
        <v>0</v>
      </c>
    </row>
    <row r="63" spans="1:11" s="13" customFormat="1" ht="409.6" x14ac:dyDescent="0.3">
      <c r="C63" s="13" t="s">
        <v>28</v>
      </c>
      <c r="D63" s="13" t="s">
        <v>51</v>
      </c>
      <c r="G63" s="13">
        <v>0</v>
      </c>
      <c r="K63" s="13" t="s">
        <v>30</v>
      </c>
    </row>
    <row r="64" spans="1:11" s="13" customFormat="1" ht="302.39999999999998" x14ac:dyDescent="0.3">
      <c r="C64" s="13" t="s">
        <v>102</v>
      </c>
      <c r="D64" s="13" t="s">
        <v>58</v>
      </c>
      <c r="G64" s="13">
        <v>0</v>
      </c>
      <c r="K64" s="13" t="s">
        <v>30</v>
      </c>
    </row>
    <row r="65" spans="1:12" s="13" customFormat="1" ht="187.2" x14ac:dyDescent="0.3">
      <c r="C65" s="13" t="s">
        <v>103</v>
      </c>
      <c r="D65" s="13" t="s">
        <v>104</v>
      </c>
      <c r="G65" s="13">
        <v>0</v>
      </c>
      <c r="K65" s="13" t="s">
        <v>30</v>
      </c>
    </row>
    <row r="66" spans="1:12" s="11" customFormat="1" x14ac:dyDescent="0.3">
      <c r="A66" s="11" t="s">
        <v>105</v>
      </c>
      <c r="C66" s="11" t="s">
        <v>106</v>
      </c>
      <c r="G66" s="11">
        <v>0</v>
      </c>
      <c r="H66" s="12">
        <v>0</v>
      </c>
      <c r="J66" s="12">
        <v>0</v>
      </c>
    </row>
    <row r="67" spans="1:12" s="11" customFormat="1" x14ac:dyDescent="0.3">
      <c r="A67" s="11" t="s">
        <v>107</v>
      </c>
      <c r="C67" s="11" t="s">
        <v>108</v>
      </c>
      <c r="G67" s="11">
        <v>0</v>
      </c>
      <c r="H67" s="12">
        <v>0</v>
      </c>
      <c r="J67" s="12">
        <v>0</v>
      </c>
    </row>
    <row r="68" spans="1:12" s="11" customFormat="1" x14ac:dyDescent="0.3">
      <c r="A68" s="11" t="s">
        <v>109</v>
      </c>
      <c r="C68" s="11" t="s">
        <v>110</v>
      </c>
      <c r="G68" s="11">
        <v>0</v>
      </c>
      <c r="H68" s="12">
        <v>0</v>
      </c>
      <c r="J68" s="12">
        <v>0</v>
      </c>
    </row>
    <row r="69" spans="1:12" s="11" customFormat="1" x14ac:dyDescent="0.3">
      <c r="A69" s="11" t="s">
        <v>111</v>
      </c>
      <c r="C69" s="11" t="s">
        <v>49</v>
      </c>
      <c r="G69" s="11">
        <v>0</v>
      </c>
      <c r="H69" s="12">
        <v>0</v>
      </c>
      <c r="J69" s="12">
        <v>0</v>
      </c>
    </row>
    <row r="70" spans="1:12" s="11" customFormat="1" x14ac:dyDescent="0.3">
      <c r="A70" s="11" t="s">
        <v>112</v>
      </c>
      <c r="C70" s="11" t="s">
        <v>113</v>
      </c>
      <c r="G70" s="11">
        <v>0</v>
      </c>
      <c r="H70" s="12">
        <f>SUM(H71,H74,H79,H89,H100,H104,H107,H112)</f>
        <v>129252.88</v>
      </c>
      <c r="J70" s="12">
        <f>SUM(J71,J74,J78,J79,J86,J87,J88,J89,J99,J100,J103,J104,J107,J112)</f>
        <v>129252.88</v>
      </c>
    </row>
    <row r="71" spans="1:12" s="11" customFormat="1" x14ac:dyDescent="0.3">
      <c r="A71" s="11" t="s">
        <v>114</v>
      </c>
      <c r="C71" s="11" t="s">
        <v>50</v>
      </c>
      <c r="G71" s="11">
        <v>0</v>
      </c>
      <c r="H71" s="12">
        <v>0</v>
      </c>
      <c r="J71" s="12">
        <v>0</v>
      </c>
    </row>
    <row r="72" spans="1:12" s="13" customFormat="1" ht="409.6" x14ac:dyDescent="0.3">
      <c r="C72" s="13" t="s">
        <v>28</v>
      </c>
      <c r="D72" s="13" t="s">
        <v>51</v>
      </c>
      <c r="G72" s="13">
        <v>0</v>
      </c>
      <c r="K72" s="13" t="s">
        <v>30</v>
      </c>
    </row>
    <row r="73" spans="1:12" s="13" customFormat="1" ht="72" x14ac:dyDescent="0.3">
      <c r="C73" s="13" t="s">
        <v>115</v>
      </c>
      <c r="D73" s="13" t="s">
        <v>116</v>
      </c>
      <c r="G73" s="13">
        <v>0</v>
      </c>
      <c r="K73" s="13" t="s">
        <v>30</v>
      </c>
    </row>
    <row r="74" spans="1:12" s="11" customFormat="1" x14ac:dyDescent="0.3">
      <c r="A74" s="11" t="s">
        <v>117</v>
      </c>
      <c r="C74" s="11" t="s">
        <v>118</v>
      </c>
      <c r="G74" s="11">
        <v>0</v>
      </c>
      <c r="H74" s="12">
        <f>SUM(H75,H76,H77)</f>
        <v>11896.95</v>
      </c>
      <c r="J74" s="12">
        <f>SUM(J75,J76,J77)</f>
        <v>11896.95</v>
      </c>
    </row>
    <row r="75" spans="1:12" s="13" customFormat="1" ht="86.4" x14ac:dyDescent="0.3">
      <c r="A75" s="13" t="s">
        <v>119</v>
      </c>
      <c r="B75" s="13" t="s">
        <v>30</v>
      </c>
      <c r="D75" s="13" t="s">
        <v>120</v>
      </c>
      <c r="E75" s="13">
        <v>370</v>
      </c>
      <c r="F75" s="13" t="s">
        <v>48</v>
      </c>
      <c r="G75" s="14">
        <v>6.67</v>
      </c>
      <c r="H75" s="15">
        <f>IF(AND(ISNUMBER(E75),ISNUMBER(G75)),ROUND(PRODUCT(PRODUCT(E75, G75), 1 - L75), 2),"")</f>
        <v>2467.9</v>
      </c>
      <c r="I75" s="16">
        <v>0</v>
      </c>
      <c r="J75" s="15">
        <f>IF(AND(ISNUMBER(H75)),ROUND(PRODUCT(H75, SUM(I75,"1")), 2),"")</f>
        <v>2467.9</v>
      </c>
      <c r="K75" s="13" t="s">
        <v>30</v>
      </c>
      <c r="L75" s="13">
        <v>0</v>
      </c>
    </row>
    <row r="76" spans="1:12" s="13" customFormat="1" ht="86.4" x14ac:dyDescent="0.3">
      <c r="A76" s="13" t="s">
        <v>121</v>
      </c>
      <c r="B76" s="13" t="s">
        <v>30</v>
      </c>
      <c r="C76" s="13" t="s">
        <v>122</v>
      </c>
      <c r="D76" s="13" t="s">
        <v>123</v>
      </c>
      <c r="E76" s="13">
        <v>200</v>
      </c>
      <c r="F76" s="13" t="s">
        <v>48</v>
      </c>
      <c r="G76" s="14">
        <v>16.899999999999999</v>
      </c>
      <c r="H76" s="15">
        <f>IF(AND(ISNUMBER(E76),ISNUMBER(G76)),ROUND(PRODUCT(PRODUCT(E76, G76), 1 - L76), 2),"")</f>
        <v>3380</v>
      </c>
      <c r="I76" s="16">
        <v>0</v>
      </c>
      <c r="J76" s="15">
        <f>IF(AND(ISNUMBER(H76)),ROUND(PRODUCT(H76, SUM(I76,"1")), 2),"")</f>
        <v>3380</v>
      </c>
      <c r="K76" s="13" t="s">
        <v>30</v>
      </c>
      <c r="L76" s="13">
        <v>0</v>
      </c>
    </row>
    <row r="77" spans="1:12" s="13" customFormat="1" ht="86.4" x14ac:dyDescent="0.3">
      <c r="A77" s="13" t="s">
        <v>124</v>
      </c>
      <c r="B77" s="13" t="s">
        <v>30</v>
      </c>
      <c r="C77" s="13" t="s">
        <v>125</v>
      </c>
      <c r="D77" s="13" t="s">
        <v>126</v>
      </c>
      <c r="E77" s="13">
        <v>245</v>
      </c>
      <c r="F77" s="13" t="s">
        <v>48</v>
      </c>
      <c r="G77" s="14">
        <v>24.69</v>
      </c>
      <c r="H77" s="15">
        <f>IF(AND(ISNUMBER(E77),ISNUMBER(G77)),ROUND(PRODUCT(PRODUCT(E77, G77), 1 - L77), 2),"")</f>
        <v>6049.05</v>
      </c>
      <c r="I77" s="16">
        <v>0</v>
      </c>
      <c r="J77" s="15">
        <f>IF(AND(ISNUMBER(H77)),ROUND(PRODUCT(H77, SUM(I77,"1")), 2),"")</f>
        <v>6049.05</v>
      </c>
      <c r="K77" s="13" t="s">
        <v>30</v>
      </c>
      <c r="L77" s="13">
        <v>0</v>
      </c>
    </row>
    <row r="78" spans="1:12" s="11" customFormat="1" x14ac:dyDescent="0.3">
      <c r="A78" s="11" t="s">
        <v>127</v>
      </c>
      <c r="C78" s="11" t="s">
        <v>128</v>
      </c>
      <c r="G78" s="11">
        <v>0</v>
      </c>
      <c r="H78" s="12">
        <v>0</v>
      </c>
      <c r="J78" s="12">
        <v>0</v>
      </c>
    </row>
    <row r="79" spans="1:12" s="11" customFormat="1" x14ac:dyDescent="0.3">
      <c r="A79" s="11" t="s">
        <v>129</v>
      </c>
      <c r="C79" s="11" t="s">
        <v>130</v>
      </c>
      <c r="G79" s="11">
        <v>0</v>
      </c>
      <c r="H79" s="12">
        <f>SUM(H80,H81,H82,H83,H84,H85)</f>
        <v>47803.55</v>
      </c>
      <c r="J79" s="12">
        <f>SUM(J80,J81,J82,J83,J84,J85)</f>
        <v>47803.55</v>
      </c>
    </row>
    <row r="80" spans="1:12" s="13" customFormat="1" ht="100.8" x14ac:dyDescent="0.3">
      <c r="A80" s="13" t="s">
        <v>131</v>
      </c>
      <c r="B80" s="13" t="s">
        <v>30</v>
      </c>
      <c r="C80" s="23" t="s">
        <v>132</v>
      </c>
      <c r="D80" s="23" t="s">
        <v>133</v>
      </c>
      <c r="E80" s="13">
        <v>293</v>
      </c>
      <c r="F80" s="13" t="s">
        <v>48</v>
      </c>
      <c r="G80" s="14">
        <v>20.81</v>
      </c>
      <c r="H80" s="15">
        <f t="shared" ref="H80:H85" si="0">IF(AND(ISNUMBER(E80),ISNUMBER(G80)),ROUND(PRODUCT(PRODUCT(E80, G80), 1 - L80), 2),"")</f>
        <v>6097.33</v>
      </c>
      <c r="I80" s="16">
        <v>0</v>
      </c>
      <c r="J80" s="15">
        <f t="shared" ref="J80:J85" si="1">IF(AND(ISNUMBER(H80)),ROUND(PRODUCT(H80, SUM(I80,"1")), 2),"")</f>
        <v>6097.33</v>
      </c>
      <c r="K80" s="13" t="s">
        <v>30</v>
      </c>
      <c r="L80" s="13">
        <v>0</v>
      </c>
    </row>
    <row r="81" spans="1:13" s="13" customFormat="1" ht="100.8" x14ac:dyDescent="0.3">
      <c r="A81" s="13" t="s">
        <v>134</v>
      </c>
      <c r="B81" s="13" t="s">
        <v>30</v>
      </c>
      <c r="C81" s="23" t="s">
        <v>135</v>
      </c>
      <c r="D81" s="23" t="s">
        <v>136</v>
      </c>
      <c r="E81" s="13">
        <v>73</v>
      </c>
      <c r="F81" s="13" t="s">
        <v>48</v>
      </c>
      <c r="G81" s="14">
        <v>43.7</v>
      </c>
      <c r="H81" s="15">
        <f t="shared" si="0"/>
        <v>3190.1</v>
      </c>
      <c r="I81" s="16">
        <v>0</v>
      </c>
      <c r="J81" s="15">
        <f t="shared" si="1"/>
        <v>3190.1</v>
      </c>
      <c r="K81" s="13" t="s">
        <v>30</v>
      </c>
      <c r="L81" s="13">
        <v>0</v>
      </c>
    </row>
    <row r="82" spans="1:13" s="13" customFormat="1" ht="100.8" x14ac:dyDescent="0.3">
      <c r="A82" s="13" t="s">
        <v>137</v>
      </c>
      <c r="B82" s="13" t="s">
        <v>30</v>
      </c>
      <c r="C82" s="13" t="s">
        <v>138</v>
      </c>
      <c r="D82" s="13" t="s">
        <v>139</v>
      </c>
      <c r="E82" s="13">
        <v>25</v>
      </c>
      <c r="F82" s="13" t="s">
        <v>48</v>
      </c>
      <c r="G82" s="14">
        <v>51.93</v>
      </c>
      <c r="H82" s="15">
        <f t="shared" si="0"/>
        <v>1298.25</v>
      </c>
      <c r="I82" s="16">
        <v>0</v>
      </c>
      <c r="J82" s="15">
        <f t="shared" si="1"/>
        <v>1298.25</v>
      </c>
      <c r="K82" s="13" t="s">
        <v>30</v>
      </c>
      <c r="L82" s="13">
        <v>0</v>
      </c>
    </row>
    <row r="83" spans="1:13" s="13" customFormat="1" ht="100.8" x14ac:dyDescent="0.3">
      <c r="A83" s="13" t="s">
        <v>140</v>
      </c>
      <c r="B83" s="13" t="s">
        <v>30</v>
      </c>
      <c r="C83" s="13" t="s">
        <v>141</v>
      </c>
      <c r="D83" s="13" t="s">
        <v>142</v>
      </c>
      <c r="E83" s="13">
        <v>150</v>
      </c>
      <c r="F83" s="13" t="s">
        <v>48</v>
      </c>
      <c r="G83" s="14">
        <v>77.59</v>
      </c>
      <c r="H83" s="15">
        <f t="shared" si="0"/>
        <v>11638.5</v>
      </c>
      <c r="I83" s="16">
        <v>0</v>
      </c>
      <c r="J83" s="15">
        <f t="shared" si="1"/>
        <v>11638.5</v>
      </c>
      <c r="K83" s="13" t="s">
        <v>30</v>
      </c>
      <c r="L83" s="13">
        <v>0</v>
      </c>
    </row>
    <row r="84" spans="1:13" s="13" customFormat="1" ht="100.8" x14ac:dyDescent="0.3">
      <c r="A84" s="13" t="s">
        <v>143</v>
      </c>
      <c r="B84" s="13" t="s">
        <v>30</v>
      </c>
      <c r="C84" s="13" t="s">
        <v>144</v>
      </c>
      <c r="D84" s="13" t="s">
        <v>145</v>
      </c>
      <c r="E84" s="13">
        <v>215.03</v>
      </c>
      <c r="F84" s="13" t="s">
        <v>48</v>
      </c>
      <c r="G84" s="14">
        <v>77.900000000000006</v>
      </c>
      <c r="H84" s="15">
        <f t="shared" si="0"/>
        <v>16750.84</v>
      </c>
      <c r="I84" s="16">
        <v>0</v>
      </c>
      <c r="J84" s="15">
        <f t="shared" si="1"/>
        <v>16750.84</v>
      </c>
      <c r="K84" s="13" t="s">
        <v>30</v>
      </c>
      <c r="L84" s="13">
        <v>0</v>
      </c>
    </row>
    <row r="85" spans="1:13" s="13" customFormat="1" ht="100.8" x14ac:dyDescent="0.3">
      <c r="A85" s="13" t="s">
        <v>146</v>
      </c>
      <c r="B85" s="13" t="s">
        <v>30</v>
      </c>
      <c r="C85" s="23" t="s">
        <v>147</v>
      </c>
      <c r="D85" s="23" t="s">
        <v>148</v>
      </c>
      <c r="E85" s="13">
        <v>57.15</v>
      </c>
      <c r="F85" s="13" t="s">
        <v>48</v>
      </c>
      <c r="G85" s="14">
        <v>154.47999999999999</v>
      </c>
      <c r="H85" s="15">
        <f t="shared" si="0"/>
        <v>8828.5300000000007</v>
      </c>
      <c r="I85" s="16">
        <v>0</v>
      </c>
      <c r="J85" s="15">
        <f t="shared" si="1"/>
        <v>8828.5300000000007</v>
      </c>
      <c r="K85" s="13" t="s">
        <v>30</v>
      </c>
      <c r="L85" s="13">
        <v>0</v>
      </c>
    </row>
    <row r="86" spans="1:13" s="11" customFormat="1" x14ac:dyDescent="0.3">
      <c r="A86" s="11" t="s">
        <v>149</v>
      </c>
      <c r="C86" s="11" t="s">
        <v>150</v>
      </c>
      <c r="G86" s="11">
        <v>0</v>
      </c>
      <c r="H86" s="12">
        <v>0</v>
      </c>
      <c r="J86" s="12">
        <v>0</v>
      </c>
    </row>
    <row r="87" spans="1:13" s="11" customFormat="1" x14ac:dyDescent="0.3">
      <c r="A87" s="11" t="s">
        <v>151</v>
      </c>
      <c r="C87" s="11" t="s">
        <v>152</v>
      </c>
      <c r="G87" s="11">
        <v>0</v>
      </c>
      <c r="H87" s="12">
        <v>0</v>
      </c>
      <c r="J87" s="12">
        <v>0</v>
      </c>
    </row>
    <row r="88" spans="1:13" s="11" customFormat="1" x14ac:dyDescent="0.3">
      <c r="A88" s="11" t="s">
        <v>153</v>
      </c>
      <c r="C88" s="11" t="s">
        <v>154</v>
      </c>
      <c r="G88" s="11">
        <v>0</v>
      </c>
      <c r="H88" s="12">
        <v>0</v>
      </c>
      <c r="J88" s="12">
        <v>0</v>
      </c>
    </row>
    <row r="89" spans="1:13" s="11" customFormat="1" x14ac:dyDescent="0.3">
      <c r="A89" s="11" t="s">
        <v>155</v>
      </c>
      <c r="C89" s="11" t="s">
        <v>156</v>
      </c>
      <c r="G89" s="11">
        <v>0</v>
      </c>
      <c r="H89" s="12">
        <f>SUM(H90,H91,H92,H93,H94,H95,H96,H97,H98)</f>
        <v>12543.6</v>
      </c>
      <c r="J89" s="12">
        <f>SUM(J90,J91,J92,J93,J94,J95,J96,J97,J98)</f>
        <v>12543.6</v>
      </c>
    </row>
    <row r="90" spans="1:13" s="13" customFormat="1" ht="115.2" x14ac:dyDescent="0.3">
      <c r="A90" s="17" t="s">
        <v>157</v>
      </c>
      <c r="B90" s="17" t="s">
        <v>30</v>
      </c>
      <c r="C90" s="17" t="s">
        <v>158</v>
      </c>
      <c r="D90" s="17" t="s">
        <v>159</v>
      </c>
      <c r="E90" s="17">
        <v>150</v>
      </c>
      <c r="F90" s="17" t="s">
        <v>48</v>
      </c>
      <c r="G90" s="18">
        <v>5.8</v>
      </c>
      <c r="H90" s="19">
        <f t="shared" ref="H90:H98" si="2">IF(AND(ISNUMBER(E90),ISNUMBER(G90)),ROUND(PRODUCT(PRODUCT(E90, G90), 1 - L90), 2),"")</f>
        <v>870</v>
      </c>
      <c r="I90" s="20">
        <v>0</v>
      </c>
      <c r="J90" s="19">
        <f t="shared" ref="J90:J98" si="3">IF(AND(ISNUMBER(H90)),ROUND(PRODUCT(H90, SUM(I90,"1")), 2),"")</f>
        <v>870</v>
      </c>
      <c r="K90" s="13" t="s">
        <v>30</v>
      </c>
      <c r="L90" s="13">
        <v>0</v>
      </c>
      <c r="M90" s="21">
        <v>1.86</v>
      </c>
    </row>
    <row r="91" spans="1:13" s="13" customFormat="1" ht="115.2" x14ac:dyDescent="0.3">
      <c r="A91" s="13" t="s">
        <v>160</v>
      </c>
      <c r="B91" s="13" t="s">
        <v>30</v>
      </c>
      <c r="C91" s="13" t="s">
        <v>161</v>
      </c>
      <c r="D91" s="13" t="s">
        <v>162</v>
      </c>
      <c r="E91" s="13">
        <v>200</v>
      </c>
      <c r="F91" s="13" t="s">
        <v>48</v>
      </c>
      <c r="G91" s="14">
        <v>9.5399999999999991</v>
      </c>
      <c r="H91" s="15">
        <f t="shared" si="2"/>
        <v>1908</v>
      </c>
      <c r="I91" s="16">
        <v>0</v>
      </c>
      <c r="J91" s="15">
        <f t="shared" si="3"/>
        <v>1908</v>
      </c>
      <c r="K91" s="13" t="s">
        <v>30</v>
      </c>
      <c r="L91" s="13">
        <v>0</v>
      </c>
    </row>
    <row r="92" spans="1:13" s="13" customFormat="1" ht="115.2" x14ac:dyDescent="0.3">
      <c r="A92" s="13" t="s">
        <v>163</v>
      </c>
      <c r="B92" s="13" t="s">
        <v>30</v>
      </c>
      <c r="C92" s="13" t="s">
        <v>164</v>
      </c>
      <c r="D92" s="13" t="s">
        <v>165</v>
      </c>
      <c r="E92" s="13">
        <v>110</v>
      </c>
      <c r="F92" s="13" t="s">
        <v>48</v>
      </c>
      <c r="G92" s="14">
        <v>15.59</v>
      </c>
      <c r="H92" s="15">
        <f t="shared" si="2"/>
        <v>1714.9</v>
      </c>
      <c r="I92" s="16">
        <v>0</v>
      </c>
      <c r="J92" s="15">
        <f t="shared" si="3"/>
        <v>1714.9</v>
      </c>
      <c r="K92" s="13" t="s">
        <v>30</v>
      </c>
      <c r="L92" s="13">
        <v>0</v>
      </c>
    </row>
    <row r="93" spans="1:13" s="13" customFormat="1" ht="115.2" x14ac:dyDescent="0.3">
      <c r="A93" s="13" t="s">
        <v>166</v>
      </c>
      <c r="B93" s="13" t="s">
        <v>30</v>
      </c>
      <c r="C93" s="13" t="s">
        <v>167</v>
      </c>
      <c r="D93" s="13" t="s">
        <v>168</v>
      </c>
      <c r="E93" s="13">
        <v>50</v>
      </c>
      <c r="F93" s="13" t="s">
        <v>48</v>
      </c>
      <c r="G93" s="14">
        <v>32.01</v>
      </c>
      <c r="H93" s="15">
        <f t="shared" si="2"/>
        <v>1600.5</v>
      </c>
      <c r="I93" s="16">
        <v>0</v>
      </c>
      <c r="J93" s="15">
        <f t="shared" si="3"/>
        <v>1600.5</v>
      </c>
      <c r="K93" s="13" t="s">
        <v>30</v>
      </c>
      <c r="L93" s="13">
        <v>0</v>
      </c>
    </row>
    <row r="94" spans="1:13" s="13" customFormat="1" ht="115.2" x14ac:dyDescent="0.3">
      <c r="A94" s="17" t="s">
        <v>169</v>
      </c>
      <c r="B94" s="17" t="s">
        <v>30</v>
      </c>
      <c r="C94" s="17" t="s">
        <v>158</v>
      </c>
      <c r="D94" s="17" t="s">
        <v>159</v>
      </c>
      <c r="E94" s="17">
        <v>150</v>
      </c>
      <c r="F94" s="17" t="s">
        <v>48</v>
      </c>
      <c r="G94" s="18">
        <v>5.8</v>
      </c>
      <c r="H94" s="19">
        <f t="shared" si="2"/>
        <v>870</v>
      </c>
      <c r="I94" s="20">
        <v>0</v>
      </c>
      <c r="J94" s="19">
        <f t="shared" si="3"/>
        <v>870</v>
      </c>
      <c r="K94" s="13" t="s">
        <v>30</v>
      </c>
      <c r="L94" s="13">
        <v>0</v>
      </c>
      <c r="M94" s="21">
        <v>1.86</v>
      </c>
    </row>
    <row r="95" spans="1:13" s="13" customFormat="1" ht="115.2" x14ac:dyDescent="0.3">
      <c r="A95" s="13" t="s">
        <v>170</v>
      </c>
      <c r="B95" s="13" t="s">
        <v>30</v>
      </c>
      <c r="C95" s="13" t="s">
        <v>171</v>
      </c>
      <c r="D95" s="13" t="s">
        <v>172</v>
      </c>
      <c r="E95" s="13">
        <v>80</v>
      </c>
      <c r="F95" s="13" t="s">
        <v>48</v>
      </c>
      <c r="G95" s="14">
        <v>8.0500000000000007</v>
      </c>
      <c r="H95" s="15">
        <f t="shared" si="2"/>
        <v>644</v>
      </c>
      <c r="I95" s="16">
        <v>0</v>
      </c>
      <c r="J95" s="15">
        <f t="shared" si="3"/>
        <v>644</v>
      </c>
      <c r="K95" s="13" t="s">
        <v>30</v>
      </c>
      <c r="L95" s="13">
        <v>0</v>
      </c>
    </row>
    <row r="96" spans="1:13" s="13" customFormat="1" ht="115.2" x14ac:dyDescent="0.3">
      <c r="A96" s="13" t="s">
        <v>173</v>
      </c>
      <c r="B96" s="13" t="s">
        <v>30</v>
      </c>
      <c r="C96" s="13" t="s">
        <v>161</v>
      </c>
      <c r="D96" s="13" t="s">
        <v>162</v>
      </c>
      <c r="E96" s="13">
        <v>120</v>
      </c>
      <c r="F96" s="13" t="s">
        <v>48</v>
      </c>
      <c r="G96" s="14">
        <v>9.5399999999999991</v>
      </c>
      <c r="H96" s="15">
        <f t="shared" si="2"/>
        <v>1144.8</v>
      </c>
      <c r="I96" s="16">
        <v>0</v>
      </c>
      <c r="J96" s="15">
        <f t="shared" si="3"/>
        <v>1144.8</v>
      </c>
      <c r="K96" s="13" t="s">
        <v>30</v>
      </c>
      <c r="L96" s="13">
        <v>0</v>
      </c>
    </row>
    <row r="97" spans="1:13" s="13" customFormat="1" ht="115.2" x14ac:dyDescent="0.3">
      <c r="A97" s="13" t="s">
        <v>174</v>
      </c>
      <c r="B97" s="13" t="s">
        <v>30</v>
      </c>
      <c r="C97" s="13" t="s">
        <v>164</v>
      </c>
      <c r="D97" s="13" t="s">
        <v>165</v>
      </c>
      <c r="E97" s="13">
        <v>120</v>
      </c>
      <c r="F97" s="13" t="s">
        <v>48</v>
      </c>
      <c r="G97" s="14">
        <v>15.59</v>
      </c>
      <c r="H97" s="15">
        <f t="shared" si="2"/>
        <v>1870.8</v>
      </c>
      <c r="I97" s="16">
        <v>0</v>
      </c>
      <c r="J97" s="15">
        <f t="shared" si="3"/>
        <v>1870.8</v>
      </c>
      <c r="K97" s="13" t="s">
        <v>30</v>
      </c>
      <c r="L97" s="13">
        <v>0</v>
      </c>
    </row>
    <row r="98" spans="1:13" s="13" customFormat="1" ht="115.2" x14ac:dyDescent="0.3">
      <c r="A98" s="13" t="s">
        <v>175</v>
      </c>
      <c r="B98" s="13" t="s">
        <v>30</v>
      </c>
      <c r="C98" s="13" t="s">
        <v>167</v>
      </c>
      <c r="D98" s="13" t="s">
        <v>168</v>
      </c>
      <c r="E98" s="13">
        <v>60</v>
      </c>
      <c r="F98" s="13" t="s">
        <v>48</v>
      </c>
      <c r="G98" s="14">
        <v>32.01</v>
      </c>
      <c r="H98" s="15">
        <f t="shared" si="2"/>
        <v>1920.6</v>
      </c>
      <c r="I98" s="16">
        <v>0</v>
      </c>
      <c r="J98" s="15">
        <f t="shared" si="3"/>
        <v>1920.6</v>
      </c>
      <c r="K98" s="13" t="s">
        <v>30</v>
      </c>
      <c r="L98" s="13">
        <v>0</v>
      </c>
    </row>
    <row r="99" spans="1:13" s="11" customFormat="1" x14ac:dyDescent="0.3">
      <c r="A99" s="11" t="s">
        <v>176</v>
      </c>
      <c r="C99" s="11" t="s">
        <v>177</v>
      </c>
      <c r="G99" s="11">
        <v>0</v>
      </c>
      <c r="H99" s="12">
        <v>0</v>
      </c>
      <c r="J99" s="12">
        <v>0</v>
      </c>
    </row>
    <row r="100" spans="1:13" s="11" customFormat="1" x14ac:dyDescent="0.3">
      <c r="A100" s="11" t="s">
        <v>178</v>
      </c>
      <c r="C100" s="11" t="s">
        <v>179</v>
      </c>
      <c r="G100" s="11">
        <v>0</v>
      </c>
      <c r="H100" s="12">
        <f>SUM(H101,H102)</f>
        <v>14228.72</v>
      </c>
      <c r="J100" s="12">
        <f>SUM(J101,J102)</f>
        <v>14228.72</v>
      </c>
    </row>
    <row r="101" spans="1:13" s="13" customFormat="1" ht="259.2" x14ac:dyDescent="0.3">
      <c r="A101" s="13" t="s">
        <v>180</v>
      </c>
      <c r="B101" s="13" t="s">
        <v>30</v>
      </c>
      <c r="C101" s="23" t="s">
        <v>181</v>
      </c>
      <c r="D101" s="23" t="s">
        <v>182</v>
      </c>
      <c r="E101" s="13">
        <v>19</v>
      </c>
      <c r="F101" s="13" t="s">
        <v>48</v>
      </c>
      <c r="G101" s="14">
        <v>499.51</v>
      </c>
      <c r="H101" s="15">
        <f>IF(AND(ISNUMBER(E101),ISNUMBER(G101)),ROUND(PRODUCT(PRODUCT(E101, G101), 1 - L101), 2),"")</f>
        <v>9490.69</v>
      </c>
      <c r="I101" s="16">
        <v>0</v>
      </c>
      <c r="J101" s="15">
        <f>IF(AND(ISNUMBER(H101)),ROUND(PRODUCT(H101, SUM(I101,"1")), 2),"")</f>
        <v>9490.69</v>
      </c>
      <c r="K101" s="13" t="s">
        <v>30</v>
      </c>
      <c r="L101" s="13">
        <v>0</v>
      </c>
    </row>
    <row r="102" spans="1:13" s="13" customFormat="1" ht="28.8" x14ac:dyDescent="0.3">
      <c r="A102" s="13" t="s">
        <v>183</v>
      </c>
      <c r="B102" s="13" t="s">
        <v>30</v>
      </c>
      <c r="C102" s="13" t="s">
        <v>184</v>
      </c>
      <c r="D102" s="13" t="s">
        <v>185</v>
      </c>
      <c r="E102" s="13">
        <v>19</v>
      </c>
      <c r="F102" s="13" t="s">
        <v>186</v>
      </c>
      <c r="G102" s="14">
        <v>249.37</v>
      </c>
      <c r="H102" s="15">
        <f>IF(AND(ISNUMBER(E102),ISNUMBER(G102)),ROUND(PRODUCT(PRODUCT(E102, G102), 1 - L102), 2),"")</f>
        <v>4738.03</v>
      </c>
      <c r="I102" s="16">
        <v>0</v>
      </c>
      <c r="J102" s="15">
        <f>IF(AND(ISNUMBER(H102)),ROUND(PRODUCT(H102, SUM(I102,"1")), 2),"")</f>
        <v>4738.03</v>
      </c>
      <c r="K102" s="13" t="s">
        <v>30</v>
      </c>
      <c r="L102" s="13">
        <v>0</v>
      </c>
    </row>
    <row r="103" spans="1:13" s="11" customFormat="1" x14ac:dyDescent="0.3">
      <c r="A103" s="11" t="s">
        <v>187</v>
      </c>
      <c r="C103" s="11" t="s">
        <v>100</v>
      </c>
      <c r="G103" s="11">
        <v>0</v>
      </c>
      <c r="H103" s="12">
        <v>0</v>
      </c>
      <c r="J103" s="12">
        <v>0</v>
      </c>
    </row>
    <row r="104" spans="1:13" s="11" customFormat="1" x14ac:dyDescent="0.3">
      <c r="A104" s="11" t="s">
        <v>188</v>
      </c>
      <c r="C104" s="11" t="s">
        <v>189</v>
      </c>
      <c r="G104" s="11">
        <v>0</v>
      </c>
      <c r="H104" s="12">
        <f>SUM(H105,H106)</f>
        <v>0</v>
      </c>
      <c r="J104" s="12">
        <f>SUM(J105,J106)</f>
        <v>0</v>
      </c>
    </row>
    <row r="105" spans="1:13" s="13" customFormat="1" ht="57.6" x14ac:dyDescent="0.3">
      <c r="A105" s="13" t="s">
        <v>190</v>
      </c>
      <c r="B105" s="13" t="s">
        <v>30</v>
      </c>
      <c r="C105" s="13" t="s">
        <v>191</v>
      </c>
      <c r="D105" s="13" t="s">
        <v>192</v>
      </c>
      <c r="E105" s="13">
        <v>1</v>
      </c>
      <c r="F105" s="13" t="s">
        <v>193</v>
      </c>
      <c r="G105" s="22"/>
      <c r="H105" s="15"/>
      <c r="I105" s="16"/>
      <c r="J105" s="15"/>
      <c r="M105" s="15"/>
    </row>
    <row r="106" spans="1:13" s="13" customFormat="1" ht="115.2" x14ac:dyDescent="0.3">
      <c r="A106" s="13" t="s">
        <v>194</v>
      </c>
      <c r="B106" s="13" t="s">
        <v>30</v>
      </c>
      <c r="C106" s="13" t="s">
        <v>195</v>
      </c>
      <c r="D106" s="13" t="s">
        <v>196</v>
      </c>
      <c r="E106" s="13">
        <v>1</v>
      </c>
      <c r="F106" s="13" t="s">
        <v>186</v>
      </c>
      <c r="G106" s="22"/>
      <c r="H106" s="15"/>
      <c r="I106" s="16"/>
      <c r="J106" s="15" t="str">
        <f>IF(AND(ISNUMBER(H106)),ROUND(PRODUCT(H106, SUM(I106,"1")), 2),"")</f>
        <v/>
      </c>
      <c r="K106" s="13" t="s">
        <v>30</v>
      </c>
      <c r="L106" s="13">
        <v>0</v>
      </c>
    </row>
    <row r="107" spans="1:13" s="11" customFormat="1" x14ac:dyDescent="0.3">
      <c r="A107" s="11" t="s">
        <v>197</v>
      </c>
      <c r="C107" s="11" t="s">
        <v>198</v>
      </c>
      <c r="G107" s="11">
        <v>0</v>
      </c>
      <c r="H107" s="12">
        <f>SUM(H108:H111)</f>
        <v>40573.35</v>
      </c>
      <c r="J107" s="12">
        <f>SUM(J108:J111)</f>
        <v>40573.35</v>
      </c>
    </row>
    <row r="108" spans="1:13" s="13" customFormat="1" ht="288" x14ac:dyDescent="0.3">
      <c r="A108" s="13" t="s">
        <v>199</v>
      </c>
      <c r="B108" s="13" t="s">
        <v>30</v>
      </c>
      <c r="C108" s="13" t="s">
        <v>200</v>
      </c>
      <c r="D108" s="13" t="s">
        <v>201</v>
      </c>
      <c r="E108" s="13">
        <v>1</v>
      </c>
      <c r="F108" s="13" t="s">
        <v>186</v>
      </c>
      <c r="G108" s="14">
        <v>37321</v>
      </c>
      <c r="H108" s="15">
        <f>IF(AND(ISNUMBER(E108),ISNUMBER(G108)),ROUND(PRODUCT(PRODUCT(E108, G108), 1 - L108), 2),"")</f>
        <v>37321</v>
      </c>
      <c r="I108" s="16"/>
      <c r="J108" s="15">
        <f>IF(AND(ISNUMBER(H108)),ROUND(PRODUCT(H108, SUM(I108,"1")), 2),"")</f>
        <v>37321</v>
      </c>
      <c r="K108" s="13" t="s">
        <v>30</v>
      </c>
      <c r="L108" s="13">
        <v>0</v>
      </c>
    </row>
    <row r="109" spans="1:13" s="13" customFormat="1" ht="388.8" x14ac:dyDescent="0.3">
      <c r="A109" s="13" t="s">
        <v>202</v>
      </c>
      <c r="B109" s="13" t="s">
        <v>30</v>
      </c>
      <c r="C109" s="13" t="s">
        <v>203</v>
      </c>
      <c r="D109" s="13" t="s">
        <v>204</v>
      </c>
      <c r="E109" s="13">
        <v>1</v>
      </c>
      <c r="F109" s="13" t="s">
        <v>186</v>
      </c>
      <c r="G109" s="14">
        <v>1683.52</v>
      </c>
      <c r="H109" s="15">
        <f>IF(AND(ISNUMBER(E109),ISNUMBER(G109)),ROUND(PRODUCT(PRODUCT(E109, G109), 1 - L109), 2),"")</f>
        <v>1683.52</v>
      </c>
      <c r="I109" s="16">
        <v>0</v>
      </c>
      <c r="J109" s="15">
        <f>IF(AND(ISNUMBER(H109)),ROUND(PRODUCT(H109, SUM(I109,"1")), 2),"")</f>
        <v>1683.52</v>
      </c>
      <c r="K109" s="13" t="s">
        <v>30</v>
      </c>
      <c r="L109" s="13">
        <v>0</v>
      </c>
    </row>
    <row r="110" spans="1:13" s="13" customFormat="1" ht="374.4" x14ac:dyDescent="0.3">
      <c r="A110" s="13" t="s">
        <v>205</v>
      </c>
      <c r="B110" s="13" t="s">
        <v>30</v>
      </c>
      <c r="C110" s="13" t="s">
        <v>206</v>
      </c>
      <c r="D110" s="13" t="s">
        <v>207</v>
      </c>
      <c r="E110" s="13">
        <v>1</v>
      </c>
      <c r="F110" s="13" t="s">
        <v>186</v>
      </c>
      <c r="G110" s="14">
        <v>1031.4000000000001</v>
      </c>
      <c r="H110" s="15">
        <f>IF(AND(ISNUMBER(E110),ISNUMBER(G110)),ROUND(PRODUCT(PRODUCT(E110, G110), 1 - L110), 2),"")</f>
        <v>1031.4000000000001</v>
      </c>
      <c r="I110" s="16">
        <v>0</v>
      </c>
      <c r="J110" s="15">
        <f>IF(AND(ISNUMBER(H110)),ROUND(PRODUCT(H110, SUM(I110,"1")), 2),"")</f>
        <v>1031.4000000000001</v>
      </c>
      <c r="K110" s="13" t="s">
        <v>30</v>
      </c>
      <c r="L110" s="13">
        <v>0</v>
      </c>
    </row>
    <row r="111" spans="1:13" s="13" customFormat="1" ht="100.8" x14ac:dyDescent="0.3">
      <c r="A111" s="13" t="s">
        <v>208</v>
      </c>
      <c r="B111" s="13" t="s">
        <v>30</v>
      </c>
      <c r="C111" s="13" t="s">
        <v>209</v>
      </c>
      <c r="D111" s="13" t="s">
        <v>210</v>
      </c>
      <c r="E111" s="13">
        <v>1</v>
      </c>
      <c r="F111" s="13" t="s">
        <v>186</v>
      </c>
      <c r="G111" s="14">
        <v>537.42999999999995</v>
      </c>
      <c r="H111" s="15">
        <f>IF(AND(ISNUMBER(E111),ISNUMBER(G111)),ROUND(PRODUCT(PRODUCT(E111, G111), 1 - L111), 2),"")</f>
        <v>537.42999999999995</v>
      </c>
      <c r="I111" s="16">
        <v>0</v>
      </c>
      <c r="J111" s="15">
        <f>IF(AND(ISNUMBER(H111)),ROUND(PRODUCT(H111, SUM(I111,"1")), 2),"")</f>
        <v>537.42999999999995</v>
      </c>
      <c r="K111" s="13" t="s">
        <v>30</v>
      </c>
      <c r="L111" s="13">
        <v>0</v>
      </c>
    </row>
    <row r="112" spans="1:13" s="11" customFormat="1" x14ac:dyDescent="0.3">
      <c r="A112" s="11" t="s">
        <v>211</v>
      </c>
      <c r="C112" s="11" t="s">
        <v>49</v>
      </c>
      <c r="G112" s="11">
        <v>0</v>
      </c>
      <c r="H112" s="12">
        <f>SUM(H113,H114)</f>
        <v>2206.71</v>
      </c>
      <c r="J112" s="12">
        <f>SUM(J113,J114)</f>
        <v>2206.71</v>
      </c>
    </row>
    <row r="113" spans="1:12" s="13" customFormat="1" ht="28.8" x14ac:dyDescent="0.3">
      <c r="A113" s="13" t="s">
        <v>212</v>
      </c>
      <c r="B113" s="13" t="s">
        <v>30</v>
      </c>
      <c r="C113" s="13" t="s">
        <v>213</v>
      </c>
      <c r="D113" s="13" t="s">
        <v>214</v>
      </c>
      <c r="E113" s="13">
        <v>1</v>
      </c>
      <c r="F113" s="13" t="s">
        <v>215</v>
      </c>
      <c r="G113" s="14">
        <v>980.76</v>
      </c>
      <c r="H113" s="15">
        <f>IF(AND(ISNUMBER(E113),ISNUMBER(G113)),ROUND(PRODUCT(PRODUCT(E113, G113), 1 - L113), 2),"")</f>
        <v>980.76</v>
      </c>
      <c r="I113" s="16">
        <v>0</v>
      </c>
      <c r="J113" s="15">
        <f>IF(AND(ISNUMBER(H113)),ROUND(PRODUCT(H113, SUM(I113,"1")), 2),"")</f>
        <v>980.76</v>
      </c>
      <c r="K113" s="13" t="s">
        <v>30</v>
      </c>
      <c r="L113" s="13">
        <v>0</v>
      </c>
    </row>
    <row r="114" spans="1:12" s="13" customFormat="1" ht="28.8" x14ac:dyDescent="0.3">
      <c r="A114" s="13" t="s">
        <v>216</v>
      </c>
      <c r="B114" s="13" t="s">
        <v>30</v>
      </c>
      <c r="C114" s="13" t="s">
        <v>217</v>
      </c>
      <c r="D114" s="13" t="s">
        <v>218</v>
      </c>
      <c r="E114" s="13">
        <v>1</v>
      </c>
      <c r="F114" s="13" t="s">
        <v>215</v>
      </c>
      <c r="G114" s="14">
        <v>1225.95</v>
      </c>
      <c r="H114" s="15">
        <f>IF(AND(ISNUMBER(E114),ISNUMBER(G114)),ROUND(PRODUCT(PRODUCT(E114, G114), 1 - L114), 2),"")</f>
        <v>1225.95</v>
      </c>
      <c r="I114" s="16">
        <v>0</v>
      </c>
      <c r="J114" s="15">
        <f>IF(AND(ISNUMBER(H114)),ROUND(PRODUCT(H114, SUM(I114,"1")), 2),"")</f>
        <v>1225.95</v>
      </c>
      <c r="K114" s="13" t="s">
        <v>30</v>
      </c>
      <c r="L114" s="13">
        <v>0</v>
      </c>
    </row>
    <row r="115" spans="1:12" s="11" customFormat="1" x14ac:dyDescent="0.3">
      <c r="A115" s="11" t="s">
        <v>219</v>
      </c>
      <c r="C115" s="11" t="s">
        <v>220</v>
      </c>
      <c r="G115" s="11">
        <v>0</v>
      </c>
      <c r="H115" s="12">
        <f>SUM(H116,,H120,,H125,)</f>
        <v>28744.37</v>
      </c>
      <c r="J115" s="12">
        <f>SUM(J116,J120,,J125,)</f>
        <v>28744.37</v>
      </c>
    </row>
    <row r="116" spans="1:12" s="11" customFormat="1" x14ac:dyDescent="0.3">
      <c r="A116" s="11" t="s">
        <v>221</v>
      </c>
      <c r="C116" s="11" t="s">
        <v>50</v>
      </c>
      <c r="G116" s="11">
        <v>0</v>
      </c>
      <c r="H116" s="12">
        <v>0</v>
      </c>
      <c r="J116" s="12">
        <v>0</v>
      </c>
    </row>
    <row r="117" spans="1:12" s="13" customFormat="1" ht="409.6" x14ac:dyDescent="0.3">
      <c r="C117" s="13" t="s">
        <v>28</v>
      </c>
      <c r="D117" s="13" t="s">
        <v>29</v>
      </c>
      <c r="G117" s="13">
        <v>0</v>
      </c>
      <c r="K117" s="13" t="s">
        <v>30</v>
      </c>
    </row>
    <row r="118" spans="1:12" s="13" customFormat="1" ht="409.6" x14ac:dyDescent="0.3">
      <c r="C118" s="13" t="s">
        <v>222</v>
      </c>
      <c r="D118" s="13" t="s">
        <v>223</v>
      </c>
      <c r="G118" s="13">
        <v>0</v>
      </c>
      <c r="K118" s="13" t="s">
        <v>30</v>
      </c>
    </row>
    <row r="119" spans="1:12" s="13" customFormat="1" ht="158.4" x14ac:dyDescent="0.3">
      <c r="C119" s="13" t="s">
        <v>224</v>
      </c>
      <c r="D119" s="13" t="s">
        <v>225</v>
      </c>
      <c r="G119" s="13">
        <v>0</v>
      </c>
      <c r="K119" s="13" t="s">
        <v>30</v>
      </c>
    </row>
    <row r="120" spans="1:12" s="11" customFormat="1" x14ac:dyDescent="0.3">
      <c r="A120" s="11" t="s">
        <v>226</v>
      </c>
      <c r="C120" s="11" t="s">
        <v>227</v>
      </c>
      <c r="G120" s="11">
        <v>0</v>
      </c>
      <c r="H120" s="12">
        <f>SUM(H121,H122,H123,H124)</f>
        <v>21960.82</v>
      </c>
      <c r="J120" s="12">
        <f>SUM(J121,J122,J123,J124)</f>
        <v>21960.82</v>
      </c>
    </row>
    <row r="121" spans="1:12" s="13" customFormat="1" ht="129.6" x14ac:dyDescent="0.3">
      <c r="A121" s="13" t="s">
        <v>228</v>
      </c>
      <c r="B121" s="13" t="s">
        <v>30</v>
      </c>
      <c r="C121" s="13" t="s">
        <v>229</v>
      </c>
      <c r="D121" s="13" t="s">
        <v>230</v>
      </c>
      <c r="E121" s="13">
        <v>1</v>
      </c>
      <c r="F121" s="13" t="s">
        <v>231</v>
      </c>
      <c r="G121" s="14">
        <v>0</v>
      </c>
      <c r="H121" s="15">
        <f>IF(AND(ISNUMBER(E121),ISNUMBER(G121)),ROUND(PRODUCT(PRODUCT(E121, G121), 1 - L121), 2),"")</f>
        <v>0</v>
      </c>
      <c r="I121" s="16">
        <v>0</v>
      </c>
      <c r="J121" s="15">
        <f>IF(AND(ISNUMBER(H121)),ROUND(PRODUCT(H121, SUM(I121,"1")), 2),"")</f>
        <v>0</v>
      </c>
      <c r="K121" s="13" t="s">
        <v>30</v>
      </c>
      <c r="L121" s="13">
        <v>0</v>
      </c>
    </row>
    <row r="122" spans="1:12" s="13" customFormat="1" ht="57.6" x14ac:dyDescent="0.3">
      <c r="A122" s="13" t="s">
        <v>232</v>
      </c>
      <c r="B122" s="13" t="s">
        <v>30</v>
      </c>
      <c r="C122" s="13" t="s">
        <v>233</v>
      </c>
      <c r="D122" s="13" t="s">
        <v>234</v>
      </c>
      <c r="E122" s="13">
        <v>5</v>
      </c>
      <c r="F122" s="13" t="s">
        <v>47</v>
      </c>
      <c r="G122" s="14">
        <v>1567.78</v>
      </c>
      <c r="H122" s="15">
        <f>IF(AND(ISNUMBER(E122),ISNUMBER(G122)),ROUND(PRODUCT(PRODUCT(E122, G122), 1 - L122), 2),"")</f>
        <v>7838.9</v>
      </c>
      <c r="I122" s="16">
        <v>0</v>
      </c>
      <c r="J122" s="15">
        <f>IF(AND(ISNUMBER(H122)),ROUND(PRODUCT(H122, SUM(I122,"1")), 2),"")</f>
        <v>7838.9</v>
      </c>
      <c r="K122" s="13" t="s">
        <v>30</v>
      </c>
      <c r="L122" s="13">
        <v>0</v>
      </c>
    </row>
    <row r="123" spans="1:12" s="13" customFormat="1" ht="57.6" x14ac:dyDescent="0.3">
      <c r="A123" s="13" t="s">
        <v>235</v>
      </c>
      <c r="B123" s="13" t="s">
        <v>30</v>
      </c>
      <c r="C123" s="13" t="s">
        <v>236</v>
      </c>
      <c r="D123" s="13" t="s">
        <v>237</v>
      </c>
      <c r="E123" s="13">
        <v>8</v>
      </c>
      <c r="F123" s="13" t="s">
        <v>47</v>
      </c>
      <c r="G123" s="14">
        <v>1765.24</v>
      </c>
      <c r="H123" s="15">
        <f>IF(AND(ISNUMBER(E123),ISNUMBER(G123)),ROUND(PRODUCT(PRODUCT(E123, G123), 1 - L123), 2),"")</f>
        <v>14121.92</v>
      </c>
      <c r="I123" s="16">
        <v>0</v>
      </c>
      <c r="J123" s="15">
        <f>IF(AND(ISNUMBER(H123)),ROUND(PRODUCT(H123, SUM(I123,"1")), 2),"")</f>
        <v>14121.92</v>
      </c>
      <c r="K123" s="13" t="s">
        <v>30</v>
      </c>
      <c r="L123" s="13">
        <v>0</v>
      </c>
    </row>
    <row r="124" spans="1:12" s="13" customFormat="1" ht="144" x14ac:dyDescent="0.3">
      <c r="A124" s="13" t="s">
        <v>238</v>
      </c>
      <c r="B124" s="13" t="s">
        <v>30</v>
      </c>
      <c r="C124" s="13" t="s">
        <v>239</v>
      </c>
      <c r="D124" s="13" t="s">
        <v>240</v>
      </c>
      <c r="E124" s="13">
        <v>1</v>
      </c>
      <c r="F124" s="13" t="s">
        <v>231</v>
      </c>
      <c r="G124" s="14">
        <v>0</v>
      </c>
      <c r="H124" s="15">
        <f>IF(AND(ISNUMBER(E124),ISNUMBER(G124)),ROUND(PRODUCT(PRODUCT(E124, G124), 1 - L124), 2),"")</f>
        <v>0</v>
      </c>
      <c r="I124" s="16">
        <v>0</v>
      </c>
      <c r="J124" s="15">
        <f>IF(AND(ISNUMBER(H124)),ROUND(PRODUCT(H124, SUM(I124,"1")), 2),"")</f>
        <v>0</v>
      </c>
      <c r="K124" s="13" t="s">
        <v>30</v>
      </c>
      <c r="L124" s="13">
        <v>0</v>
      </c>
    </row>
    <row r="125" spans="1:12" s="11" customFormat="1" x14ac:dyDescent="0.3">
      <c r="A125" s="11" t="s">
        <v>241</v>
      </c>
      <c r="C125" s="11" t="s">
        <v>242</v>
      </c>
      <c r="G125" s="11">
        <v>0</v>
      </c>
      <c r="H125" s="12">
        <f>SUM(H126,H127,H128,H129,H130,H131,H132,H133,H134,H135,H136,H137,H138,H139,H140,H141,H142,H143)</f>
        <v>6783.55</v>
      </c>
      <c r="J125" s="12">
        <f>SUM(J126,J127,J128,J129,J130,J131,J132,J133,J134,J135,J136,J137,J138,J139,J140,J141,J142,J143)</f>
        <v>6783.55</v>
      </c>
    </row>
    <row r="126" spans="1:12" s="13" customFormat="1" ht="57.6" x14ac:dyDescent="0.3">
      <c r="A126" s="13" t="s">
        <v>243</v>
      </c>
      <c r="B126" s="13" t="s">
        <v>30</v>
      </c>
      <c r="C126" s="13" t="s">
        <v>244</v>
      </c>
      <c r="D126" s="13" t="s">
        <v>245</v>
      </c>
      <c r="E126" s="13">
        <v>21</v>
      </c>
      <c r="F126" s="13" t="s">
        <v>53</v>
      </c>
      <c r="G126" s="14">
        <v>0</v>
      </c>
      <c r="H126" s="15">
        <f t="shared" ref="H126:H143" si="4">IF(AND(ISNUMBER(E126),ISNUMBER(G126)),ROUND(PRODUCT(PRODUCT(E126, G126), 1 - L126), 2),"")</f>
        <v>0</v>
      </c>
      <c r="I126" s="16">
        <v>0</v>
      </c>
      <c r="J126" s="15">
        <f t="shared" ref="J126:J143" si="5">IF(AND(ISNUMBER(H126)),ROUND(PRODUCT(H126, SUM(I126,"1")), 2),"")</f>
        <v>0</v>
      </c>
      <c r="K126" s="13" t="s">
        <v>30</v>
      </c>
      <c r="L126" s="13">
        <v>0</v>
      </c>
    </row>
    <row r="127" spans="1:12" s="13" customFormat="1" ht="158.4" x14ac:dyDescent="0.3">
      <c r="A127" s="13" t="s">
        <v>246</v>
      </c>
      <c r="B127" s="13" t="s">
        <v>30</v>
      </c>
      <c r="C127" s="13" t="s">
        <v>247</v>
      </c>
      <c r="D127" s="13" t="s">
        <v>248</v>
      </c>
      <c r="E127" s="13">
        <v>123</v>
      </c>
      <c r="F127" s="13" t="s">
        <v>53</v>
      </c>
      <c r="G127" s="14">
        <v>0</v>
      </c>
      <c r="H127" s="15">
        <f t="shared" si="4"/>
        <v>0</v>
      </c>
      <c r="I127" s="16">
        <v>0</v>
      </c>
      <c r="J127" s="15">
        <f t="shared" si="5"/>
        <v>0</v>
      </c>
      <c r="K127" s="13" t="s">
        <v>30</v>
      </c>
      <c r="L127" s="13">
        <v>0</v>
      </c>
    </row>
    <row r="128" spans="1:12" s="13" customFormat="1" ht="144" x14ac:dyDescent="0.3">
      <c r="A128" s="13" t="s">
        <v>249</v>
      </c>
      <c r="B128" s="13" t="s">
        <v>30</v>
      </c>
      <c r="C128" s="13" t="s">
        <v>250</v>
      </c>
      <c r="D128" s="13" t="s">
        <v>251</v>
      </c>
      <c r="E128" s="13">
        <v>59</v>
      </c>
      <c r="F128" s="13" t="s">
        <v>53</v>
      </c>
      <c r="G128" s="14">
        <v>0</v>
      </c>
      <c r="H128" s="15">
        <f t="shared" si="4"/>
        <v>0</v>
      </c>
      <c r="I128" s="16">
        <v>0</v>
      </c>
      <c r="J128" s="15">
        <f t="shared" si="5"/>
        <v>0</v>
      </c>
      <c r="K128" s="13" t="s">
        <v>30</v>
      </c>
      <c r="L128" s="13">
        <v>0</v>
      </c>
    </row>
    <row r="129" spans="1:12" s="13" customFormat="1" ht="144" x14ac:dyDescent="0.3">
      <c r="A129" s="13" t="s">
        <v>252</v>
      </c>
      <c r="B129" s="13" t="s">
        <v>30</v>
      </c>
      <c r="C129" s="13" t="s">
        <v>253</v>
      </c>
      <c r="D129" s="13" t="s">
        <v>254</v>
      </c>
      <c r="E129" s="13">
        <v>1.1000000000000001</v>
      </c>
      <c r="F129" s="13" t="s">
        <v>53</v>
      </c>
      <c r="G129" s="14">
        <v>0</v>
      </c>
      <c r="H129" s="15">
        <f t="shared" si="4"/>
        <v>0</v>
      </c>
      <c r="I129" s="16">
        <v>0</v>
      </c>
      <c r="J129" s="15">
        <f t="shared" si="5"/>
        <v>0</v>
      </c>
      <c r="K129" s="13" t="s">
        <v>30</v>
      </c>
      <c r="L129" s="13">
        <v>0</v>
      </c>
    </row>
    <row r="130" spans="1:12" s="13" customFormat="1" ht="144" x14ac:dyDescent="0.3">
      <c r="A130" s="13" t="s">
        <v>255</v>
      </c>
      <c r="B130" s="13" t="s">
        <v>30</v>
      </c>
      <c r="C130" s="13" t="s">
        <v>256</v>
      </c>
      <c r="D130" s="13" t="s">
        <v>257</v>
      </c>
      <c r="E130" s="13">
        <v>13</v>
      </c>
      <c r="F130" s="13" t="s">
        <v>53</v>
      </c>
      <c r="G130" s="14">
        <v>0</v>
      </c>
      <c r="H130" s="15">
        <f t="shared" si="4"/>
        <v>0</v>
      </c>
      <c r="I130" s="16">
        <v>0</v>
      </c>
      <c r="J130" s="15">
        <f t="shared" si="5"/>
        <v>0</v>
      </c>
      <c r="K130" s="13" t="s">
        <v>30</v>
      </c>
      <c r="L130" s="13">
        <v>0</v>
      </c>
    </row>
    <row r="131" spans="1:12" s="13" customFormat="1" ht="144" x14ac:dyDescent="0.3">
      <c r="A131" s="13" t="s">
        <v>258</v>
      </c>
      <c r="B131" s="13" t="s">
        <v>30</v>
      </c>
      <c r="C131" s="13" t="s">
        <v>259</v>
      </c>
      <c r="D131" s="13" t="s">
        <v>260</v>
      </c>
      <c r="E131" s="13">
        <v>75</v>
      </c>
      <c r="F131" s="13" t="s">
        <v>53</v>
      </c>
      <c r="G131" s="14">
        <v>0</v>
      </c>
      <c r="H131" s="15">
        <f t="shared" si="4"/>
        <v>0</v>
      </c>
      <c r="I131" s="16">
        <v>0</v>
      </c>
      <c r="J131" s="15">
        <f t="shared" si="5"/>
        <v>0</v>
      </c>
      <c r="K131" s="13" t="s">
        <v>30</v>
      </c>
      <c r="L131" s="13">
        <v>0</v>
      </c>
    </row>
    <row r="132" spans="1:12" s="13" customFormat="1" ht="244.8" x14ac:dyDescent="0.3">
      <c r="A132" s="13" t="s">
        <v>261</v>
      </c>
      <c r="B132" s="13" t="s">
        <v>30</v>
      </c>
      <c r="C132" s="13" t="s">
        <v>262</v>
      </c>
      <c r="D132" s="13" t="s">
        <v>263</v>
      </c>
      <c r="E132" s="13">
        <v>1</v>
      </c>
      <c r="F132" s="13" t="s">
        <v>47</v>
      </c>
      <c r="G132" s="14">
        <v>0</v>
      </c>
      <c r="H132" s="15">
        <f t="shared" si="4"/>
        <v>0</v>
      </c>
      <c r="I132" s="16">
        <v>0</v>
      </c>
      <c r="J132" s="15">
        <f t="shared" si="5"/>
        <v>0</v>
      </c>
      <c r="K132" s="13" t="s">
        <v>30</v>
      </c>
      <c r="L132" s="13">
        <v>0</v>
      </c>
    </row>
    <row r="133" spans="1:12" s="13" customFormat="1" ht="230.4" x14ac:dyDescent="0.3">
      <c r="A133" s="13" t="s">
        <v>264</v>
      </c>
      <c r="B133" s="13" t="s">
        <v>30</v>
      </c>
      <c r="C133" s="13" t="s">
        <v>265</v>
      </c>
      <c r="D133" s="13" t="s">
        <v>266</v>
      </c>
      <c r="E133" s="13">
        <v>2</v>
      </c>
      <c r="F133" s="13" t="s">
        <v>47</v>
      </c>
      <c r="G133" s="14">
        <v>0</v>
      </c>
      <c r="H133" s="15">
        <f t="shared" si="4"/>
        <v>0</v>
      </c>
      <c r="I133" s="16">
        <v>0</v>
      </c>
      <c r="J133" s="15">
        <f t="shared" si="5"/>
        <v>0</v>
      </c>
      <c r="K133" s="13" t="s">
        <v>30</v>
      </c>
      <c r="L133" s="13">
        <v>0</v>
      </c>
    </row>
    <row r="134" spans="1:12" s="13" customFormat="1" ht="28.8" x14ac:dyDescent="0.3">
      <c r="A134" s="13" t="s">
        <v>267</v>
      </c>
      <c r="B134" s="13" t="s">
        <v>30</v>
      </c>
      <c r="C134" s="13" t="s">
        <v>268</v>
      </c>
      <c r="D134" s="13" t="s">
        <v>269</v>
      </c>
      <c r="E134" s="13">
        <v>40</v>
      </c>
      <c r="F134" s="13" t="s">
        <v>52</v>
      </c>
      <c r="G134" s="14">
        <v>0</v>
      </c>
      <c r="H134" s="15">
        <f t="shared" si="4"/>
        <v>0</v>
      </c>
      <c r="I134" s="16">
        <v>0</v>
      </c>
      <c r="J134" s="15">
        <f t="shared" si="5"/>
        <v>0</v>
      </c>
      <c r="K134" s="13" t="s">
        <v>30</v>
      </c>
      <c r="L134" s="13">
        <v>0</v>
      </c>
    </row>
    <row r="135" spans="1:12" s="13" customFormat="1" ht="28.8" x14ac:dyDescent="0.3">
      <c r="A135" s="13" t="s">
        <v>270</v>
      </c>
      <c r="B135" s="13" t="s">
        <v>30</v>
      </c>
      <c r="C135" s="13" t="s">
        <v>271</v>
      </c>
      <c r="D135" s="13" t="s">
        <v>272</v>
      </c>
      <c r="E135" s="13">
        <v>420</v>
      </c>
      <c r="F135" s="13" t="s">
        <v>52</v>
      </c>
      <c r="G135" s="14">
        <v>0</v>
      </c>
      <c r="H135" s="15">
        <f t="shared" si="4"/>
        <v>0</v>
      </c>
      <c r="I135" s="16">
        <v>0</v>
      </c>
      <c r="J135" s="15">
        <f t="shared" si="5"/>
        <v>0</v>
      </c>
      <c r="K135" s="13" t="s">
        <v>30</v>
      </c>
      <c r="L135" s="13">
        <v>0</v>
      </c>
    </row>
    <row r="136" spans="1:12" s="13" customFormat="1" ht="28.8" x14ac:dyDescent="0.3">
      <c r="A136" s="13" t="s">
        <v>273</v>
      </c>
      <c r="B136" s="13" t="s">
        <v>30</v>
      </c>
      <c r="C136" s="13" t="s">
        <v>274</v>
      </c>
      <c r="D136" s="13" t="s">
        <v>275</v>
      </c>
      <c r="E136" s="13">
        <v>72</v>
      </c>
      <c r="F136" s="13" t="s">
        <v>52</v>
      </c>
      <c r="G136" s="14">
        <v>0</v>
      </c>
      <c r="H136" s="15">
        <f t="shared" si="4"/>
        <v>0</v>
      </c>
      <c r="I136" s="16">
        <v>0</v>
      </c>
      <c r="J136" s="15">
        <f t="shared" si="5"/>
        <v>0</v>
      </c>
      <c r="K136" s="13" t="s">
        <v>30</v>
      </c>
      <c r="L136" s="13">
        <v>0</v>
      </c>
    </row>
    <row r="137" spans="1:12" s="13" customFormat="1" ht="43.2" x14ac:dyDescent="0.3">
      <c r="A137" s="13" t="s">
        <v>276</v>
      </c>
      <c r="B137" s="13" t="s">
        <v>30</v>
      </c>
      <c r="C137" s="13" t="s">
        <v>277</v>
      </c>
      <c r="D137" s="13" t="s">
        <v>278</v>
      </c>
      <c r="E137" s="13">
        <v>202</v>
      </c>
      <c r="F137" s="13" t="s">
        <v>52</v>
      </c>
      <c r="G137" s="14">
        <v>0</v>
      </c>
      <c r="H137" s="15">
        <f t="shared" si="4"/>
        <v>0</v>
      </c>
      <c r="I137" s="16">
        <v>0</v>
      </c>
      <c r="J137" s="15">
        <f t="shared" si="5"/>
        <v>0</v>
      </c>
      <c r="K137" s="13" t="s">
        <v>30</v>
      </c>
      <c r="L137" s="13">
        <v>0</v>
      </c>
    </row>
    <row r="138" spans="1:12" s="13" customFormat="1" ht="28.8" x14ac:dyDescent="0.3">
      <c r="A138" s="13" t="s">
        <v>279</v>
      </c>
      <c r="B138" s="13" t="s">
        <v>30</v>
      </c>
      <c r="C138" s="13" t="s">
        <v>280</v>
      </c>
      <c r="D138" s="13" t="s">
        <v>281</v>
      </c>
      <c r="E138" s="13">
        <v>250</v>
      </c>
      <c r="F138" s="13" t="s">
        <v>52</v>
      </c>
      <c r="G138" s="14">
        <v>0</v>
      </c>
      <c r="H138" s="15">
        <f t="shared" si="4"/>
        <v>0</v>
      </c>
      <c r="I138" s="16">
        <v>0</v>
      </c>
      <c r="J138" s="15">
        <f t="shared" si="5"/>
        <v>0</v>
      </c>
      <c r="K138" s="13" t="s">
        <v>30</v>
      </c>
      <c r="L138" s="13">
        <v>0</v>
      </c>
    </row>
    <row r="139" spans="1:12" s="13" customFormat="1" ht="28.8" x14ac:dyDescent="0.3">
      <c r="A139" s="13" t="s">
        <v>282</v>
      </c>
      <c r="B139" s="13" t="s">
        <v>30</v>
      </c>
      <c r="C139" s="13" t="s">
        <v>283</v>
      </c>
      <c r="D139" s="13" t="s">
        <v>284</v>
      </c>
      <c r="E139" s="13">
        <v>1</v>
      </c>
      <c r="F139" s="13" t="s">
        <v>38</v>
      </c>
      <c r="G139" s="14">
        <v>1225.95</v>
      </c>
      <c r="H139" s="15">
        <f t="shared" si="4"/>
        <v>1225.95</v>
      </c>
      <c r="I139" s="16">
        <v>0</v>
      </c>
      <c r="J139" s="15">
        <f t="shared" si="5"/>
        <v>1225.95</v>
      </c>
      <c r="K139" s="13" t="s">
        <v>30</v>
      </c>
      <c r="L139" s="13">
        <v>0</v>
      </c>
    </row>
    <row r="140" spans="1:12" s="13" customFormat="1" ht="43.2" x14ac:dyDescent="0.3">
      <c r="A140" s="13" t="s">
        <v>285</v>
      </c>
      <c r="B140" s="13" t="s">
        <v>30</v>
      </c>
      <c r="C140" s="13" t="s">
        <v>286</v>
      </c>
      <c r="D140" s="13" t="s">
        <v>287</v>
      </c>
      <c r="E140" s="13">
        <v>3</v>
      </c>
      <c r="F140" s="13" t="s">
        <v>47</v>
      </c>
      <c r="G140" s="14">
        <v>694.7</v>
      </c>
      <c r="H140" s="15">
        <f t="shared" si="4"/>
        <v>2084.1</v>
      </c>
      <c r="I140" s="16">
        <v>0</v>
      </c>
      <c r="J140" s="15">
        <f t="shared" si="5"/>
        <v>2084.1</v>
      </c>
      <c r="K140" s="13" t="s">
        <v>30</v>
      </c>
      <c r="L140" s="13">
        <v>0</v>
      </c>
    </row>
    <row r="141" spans="1:12" s="13" customFormat="1" x14ac:dyDescent="0.3">
      <c r="A141" s="13" t="s">
        <v>288</v>
      </c>
      <c r="B141" s="13" t="s">
        <v>30</v>
      </c>
      <c r="C141" s="13" t="s">
        <v>286</v>
      </c>
      <c r="D141" s="13" t="s">
        <v>289</v>
      </c>
      <c r="E141" s="13">
        <v>1</v>
      </c>
      <c r="F141" s="13" t="s">
        <v>47</v>
      </c>
      <c r="G141" s="14">
        <v>408.65</v>
      </c>
      <c r="H141" s="15">
        <f t="shared" si="4"/>
        <v>408.65</v>
      </c>
      <c r="I141" s="16">
        <v>0</v>
      </c>
      <c r="J141" s="15">
        <f t="shared" si="5"/>
        <v>408.65</v>
      </c>
      <c r="K141" s="13" t="s">
        <v>30</v>
      </c>
      <c r="L141" s="13">
        <v>0</v>
      </c>
    </row>
    <row r="142" spans="1:12" s="13" customFormat="1" x14ac:dyDescent="0.3">
      <c r="A142" s="13" t="s">
        <v>290</v>
      </c>
      <c r="B142" s="13" t="s">
        <v>30</v>
      </c>
      <c r="C142" s="13" t="s">
        <v>286</v>
      </c>
      <c r="D142" s="13" t="s">
        <v>291</v>
      </c>
      <c r="E142" s="13">
        <v>5</v>
      </c>
      <c r="F142" s="13" t="s">
        <v>47</v>
      </c>
      <c r="G142" s="14">
        <v>474.03</v>
      </c>
      <c r="H142" s="15">
        <f t="shared" si="4"/>
        <v>2370.15</v>
      </c>
      <c r="I142" s="16">
        <v>0</v>
      </c>
      <c r="J142" s="15">
        <f t="shared" si="5"/>
        <v>2370.15</v>
      </c>
      <c r="K142" s="13" t="s">
        <v>30</v>
      </c>
      <c r="L142" s="13">
        <v>0</v>
      </c>
    </row>
    <row r="143" spans="1:12" s="13" customFormat="1" x14ac:dyDescent="0.3">
      <c r="A143" s="13" t="s">
        <v>292</v>
      </c>
      <c r="B143" s="13" t="s">
        <v>30</v>
      </c>
      <c r="C143" s="13" t="s">
        <v>286</v>
      </c>
      <c r="D143" s="13" t="s">
        <v>293</v>
      </c>
      <c r="E143" s="13">
        <v>1</v>
      </c>
      <c r="F143" s="13" t="s">
        <v>47</v>
      </c>
      <c r="G143" s="14">
        <v>694.7</v>
      </c>
      <c r="H143" s="15">
        <f t="shared" si="4"/>
        <v>694.7</v>
      </c>
      <c r="I143" s="16">
        <v>0</v>
      </c>
      <c r="J143" s="15">
        <f t="shared" si="5"/>
        <v>694.7</v>
      </c>
      <c r="K143" s="13" t="s">
        <v>30</v>
      </c>
      <c r="L143" s="13">
        <v>0</v>
      </c>
    </row>
    <row r="144" spans="1:12" s="11" customFormat="1" x14ac:dyDescent="0.3">
      <c r="A144" s="11" t="s">
        <v>298</v>
      </c>
      <c r="C144" s="11" t="s">
        <v>299</v>
      </c>
      <c r="G144" s="11">
        <v>0</v>
      </c>
      <c r="H144" s="12">
        <f>SUM(H145,H148,)</f>
        <v>1961.55</v>
      </c>
      <c r="J144" s="12">
        <f>SUM(J145,J148,)</f>
        <v>1961.55</v>
      </c>
    </row>
    <row r="145" spans="1:12" s="11" customFormat="1" x14ac:dyDescent="0.3">
      <c r="A145" s="11" t="s">
        <v>300</v>
      </c>
      <c r="C145" s="11" t="s">
        <v>50</v>
      </c>
      <c r="G145" s="11">
        <v>0</v>
      </c>
      <c r="H145" s="12">
        <v>0</v>
      </c>
      <c r="J145" s="12">
        <v>0</v>
      </c>
    </row>
    <row r="146" spans="1:12" s="13" customFormat="1" ht="409.6" x14ac:dyDescent="0.3">
      <c r="C146" s="13" t="s">
        <v>28</v>
      </c>
      <c r="D146" s="13" t="s">
        <v>29</v>
      </c>
      <c r="G146" s="13">
        <v>0</v>
      </c>
      <c r="K146" s="13" t="s">
        <v>30</v>
      </c>
    </row>
    <row r="147" spans="1:12" s="13" customFormat="1" ht="172.8" x14ac:dyDescent="0.3">
      <c r="C147" s="13" t="s">
        <v>301</v>
      </c>
      <c r="D147" s="13" t="s">
        <v>302</v>
      </c>
      <c r="G147" s="13">
        <v>0</v>
      </c>
      <c r="K147" s="13" t="s">
        <v>30</v>
      </c>
    </row>
    <row r="148" spans="1:12" s="11" customFormat="1" x14ac:dyDescent="0.3">
      <c r="A148" s="11" t="s">
        <v>303</v>
      </c>
      <c r="C148" s="11" t="s">
        <v>295</v>
      </c>
      <c r="G148" s="11">
        <v>0</v>
      </c>
      <c r="H148" s="12">
        <f>SUM(H149,)</f>
        <v>1961.55</v>
      </c>
      <c r="J148" s="12">
        <f>SUM(J149,)</f>
        <v>1961.55</v>
      </c>
    </row>
    <row r="149" spans="1:12" s="13" customFormat="1" ht="100.8" x14ac:dyDescent="0.3">
      <c r="A149" s="13" t="s">
        <v>304</v>
      </c>
      <c r="B149" s="13" t="s">
        <v>30</v>
      </c>
      <c r="C149" s="13" t="s">
        <v>305</v>
      </c>
      <c r="D149" s="13" t="s">
        <v>306</v>
      </c>
      <c r="E149" s="13">
        <v>15</v>
      </c>
      <c r="F149" s="13" t="s">
        <v>47</v>
      </c>
      <c r="G149" s="14">
        <v>130.77000000000001</v>
      </c>
      <c r="H149" s="15">
        <f t="shared" ref="H149" si="6">IF(AND(ISNUMBER(E149),ISNUMBER(G149)),ROUND(PRODUCT(PRODUCT(E149, G149), 1 - L149), 2),"")</f>
        <v>1961.55</v>
      </c>
      <c r="I149" s="16">
        <v>0</v>
      </c>
      <c r="J149" s="15">
        <f t="shared" ref="J149" si="7">IF(AND(ISNUMBER(H149)),ROUND(PRODUCT(H149, SUM(I149,"1")), 2),"")</f>
        <v>1961.55</v>
      </c>
      <c r="K149" s="13" t="s">
        <v>30</v>
      </c>
      <c r="L149" s="13">
        <v>0</v>
      </c>
    </row>
    <row r="150" spans="1:12" s="11" customFormat="1" x14ac:dyDescent="0.3">
      <c r="A150" s="11" t="s">
        <v>307</v>
      </c>
      <c r="C150" s="11" t="s">
        <v>308</v>
      </c>
      <c r="G150" s="11">
        <v>0</v>
      </c>
      <c r="H150" s="12">
        <f>SUM(H151,H154)</f>
        <v>735.6</v>
      </c>
      <c r="J150" s="12">
        <f>SUM(J151,J154)</f>
        <v>735.6</v>
      </c>
    </row>
    <row r="151" spans="1:12" s="11" customFormat="1" x14ac:dyDescent="0.3">
      <c r="A151" s="11" t="s">
        <v>309</v>
      </c>
      <c r="C151" s="11" t="s">
        <v>50</v>
      </c>
      <c r="G151" s="11">
        <v>0</v>
      </c>
      <c r="H151" s="12">
        <v>0</v>
      </c>
      <c r="J151" s="12">
        <v>0</v>
      </c>
    </row>
    <row r="152" spans="1:12" s="13" customFormat="1" ht="409.6" x14ac:dyDescent="0.3">
      <c r="C152" s="13" t="s">
        <v>28</v>
      </c>
      <c r="D152" s="13" t="s">
        <v>29</v>
      </c>
      <c r="G152" s="13">
        <v>0</v>
      </c>
      <c r="K152" s="13" t="s">
        <v>30</v>
      </c>
    </row>
    <row r="153" spans="1:12" s="13" customFormat="1" ht="158.4" x14ac:dyDescent="0.3">
      <c r="C153" s="13" t="s">
        <v>310</v>
      </c>
      <c r="D153" s="13" t="s">
        <v>311</v>
      </c>
      <c r="G153" s="13">
        <v>0</v>
      </c>
      <c r="K153" s="13" t="s">
        <v>30</v>
      </c>
    </row>
    <row r="154" spans="1:12" s="11" customFormat="1" x14ac:dyDescent="0.3">
      <c r="A154" s="11" t="s">
        <v>312</v>
      </c>
      <c r="C154" s="11" t="s">
        <v>49</v>
      </c>
      <c r="G154" s="11">
        <v>0</v>
      </c>
      <c r="H154" s="12">
        <f>SUM(H155)</f>
        <v>735.6</v>
      </c>
      <c r="J154" s="12">
        <f>SUM(,J155)</f>
        <v>735.6</v>
      </c>
    </row>
    <row r="155" spans="1:12" s="13" customFormat="1" x14ac:dyDescent="0.3">
      <c r="A155" s="13" t="s">
        <v>313</v>
      </c>
      <c r="B155" s="13" t="s">
        <v>30</v>
      </c>
      <c r="C155" s="13" t="s">
        <v>314</v>
      </c>
      <c r="D155" s="13" t="s">
        <v>315</v>
      </c>
      <c r="E155" s="13">
        <v>10</v>
      </c>
      <c r="F155" s="13" t="s">
        <v>47</v>
      </c>
      <c r="G155" s="14">
        <v>73.56</v>
      </c>
      <c r="H155" s="15">
        <f>IF(AND(ISNUMBER(E155),ISNUMBER(G155)),ROUND(PRODUCT(PRODUCT(E155, G155), 1 - L155), 2),"")</f>
        <v>735.6</v>
      </c>
      <c r="I155" s="16">
        <v>0</v>
      </c>
      <c r="J155" s="15">
        <f>IF(AND(ISNUMBER(H155)),ROUND(PRODUCT(H155, SUM(I155,"1")), 2),"")</f>
        <v>735.6</v>
      </c>
      <c r="K155" s="13" t="s">
        <v>30</v>
      </c>
      <c r="L155" s="13">
        <v>0</v>
      </c>
    </row>
    <row r="156" spans="1:12" s="11" customFormat="1" x14ac:dyDescent="0.3">
      <c r="A156" s="11" t="s">
        <v>318</v>
      </c>
      <c r="C156" s="11" t="s">
        <v>319</v>
      </c>
      <c r="G156" s="11">
        <v>0</v>
      </c>
      <c r="H156" s="12">
        <f>SUM(H157,H160,H206,H247,H259,H261,H272,H273,H274,H290)</f>
        <v>168075.78</v>
      </c>
      <c r="J156" s="12">
        <f>SUM(J157,J160,J206,J247,J259,J261,J272,J273,J274,J290)</f>
        <v>168075.78</v>
      </c>
    </row>
    <row r="157" spans="1:12" s="11" customFormat="1" x14ac:dyDescent="0.3">
      <c r="A157" s="11" t="s">
        <v>320</v>
      </c>
      <c r="C157" s="11" t="s">
        <v>316</v>
      </c>
      <c r="G157" s="11">
        <v>0</v>
      </c>
      <c r="H157" s="12">
        <v>0</v>
      </c>
      <c r="J157" s="12">
        <v>0</v>
      </c>
    </row>
    <row r="158" spans="1:12" s="13" customFormat="1" ht="409.6" x14ac:dyDescent="0.3">
      <c r="C158" s="13" t="s">
        <v>321</v>
      </c>
      <c r="D158" s="13" t="s">
        <v>322</v>
      </c>
      <c r="G158" s="13">
        <v>0</v>
      </c>
      <c r="K158" s="13" t="s">
        <v>30</v>
      </c>
    </row>
    <row r="159" spans="1:12" s="13" customFormat="1" ht="345.6" x14ac:dyDescent="0.3">
      <c r="C159" s="13" t="s">
        <v>323</v>
      </c>
      <c r="D159" s="13" t="s">
        <v>324</v>
      </c>
      <c r="G159" s="13">
        <v>0</v>
      </c>
      <c r="K159" s="13" t="s">
        <v>30</v>
      </c>
    </row>
    <row r="160" spans="1:12" s="11" customFormat="1" x14ac:dyDescent="0.3">
      <c r="A160" s="11" t="s">
        <v>325</v>
      </c>
      <c r="C160" s="11" t="s">
        <v>326</v>
      </c>
      <c r="G160" s="11">
        <v>0</v>
      </c>
      <c r="H160" s="12">
        <f>SUM(H161,H162,H163,H164,H165,H166,H167,H168,H169,H170,H171,H172,H173,H174,H175,H176,H177,H178,H179,H180,H181,H182,H183,H184,H185,H186,H187,H188,H189,H190,H191,H192,H193,H194,H195,H196,H197,H198,H199,H200,H201,H202,H203,H204,H205)</f>
        <v>56034.03</v>
      </c>
      <c r="J160" s="12">
        <f>SUM(J161,J162,J163,J164,J165,J166,J167,J168,J169,J170,J171,J172,J173,J174,J175,J176,J177,J178,J179,J180,J181,J182,J183,J184,J185,J186,J187,J188,J189,J190,J191,J192,J193,J194,J195,J196,J197,J198,J199,J200,J201,J202,J203,J204,J205)</f>
        <v>56034.03</v>
      </c>
    </row>
    <row r="161" spans="1:12" s="13" customFormat="1" ht="216" x14ac:dyDescent="0.3">
      <c r="A161" s="13" t="s">
        <v>327</v>
      </c>
      <c r="B161" s="13" t="s">
        <v>30</v>
      </c>
      <c r="C161" s="13" t="s">
        <v>328</v>
      </c>
      <c r="D161" s="13" t="s">
        <v>329</v>
      </c>
      <c r="E161" s="13">
        <v>4</v>
      </c>
      <c r="F161" s="13" t="s">
        <v>186</v>
      </c>
      <c r="G161" s="14">
        <v>1593.73</v>
      </c>
      <c r="H161" s="15">
        <f t="shared" ref="H161:H205" si="8">IF(AND(ISNUMBER(E161),ISNUMBER(G161)),ROUND(PRODUCT(PRODUCT(E161, G161), 1 - L161), 2),"")</f>
        <v>6374.92</v>
      </c>
      <c r="I161" s="16">
        <v>0</v>
      </c>
      <c r="J161" s="15">
        <f t="shared" ref="J161:J205" si="9">IF(AND(ISNUMBER(H161)),ROUND(PRODUCT(H161, SUM(I161,"1")), 2),"")</f>
        <v>6374.92</v>
      </c>
      <c r="K161" s="13" t="s">
        <v>30</v>
      </c>
      <c r="L161" s="13">
        <v>0</v>
      </c>
    </row>
    <row r="162" spans="1:12" s="13" customFormat="1" ht="100.8" x14ac:dyDescent="0.3">
      <c r="A162" s="13" t="s">
        <v>330</v>
      </c>
      <c r="B162" s="13" t="s">
        <v>30</v>
      </c>
      <c r="C162" s="13" t="s">
        <v>331</v>
      </c>
      <c r="D162" s="13" t="s">
        <v>332</v>
      </c>
      <c r="E162" s="13">
        <v>1</v>
      </c>
      <c r="F162" s="13" t="s">
        <v>186</v>
      </c>
      <c r="G162" s="14">
        <v>1593.73</v>
      </c>
      <c r="H162" s="15">
        <f t="shared" si="8"/>
        <v>1593.73</v>
      </c>
      <c r="I162" s="16">
        <v>0</v>
      </c>
      <c r="J162" s="15">
        <f t="shared" si="9"/>
        <v>1593.73</v>
      </c>
      <c r="K162" s="13" t="s">
        <v>30</v>
      </c>
      <c r="L162" s="13">
        <v>0</v>
      </c>
    </row>
    <row r="163" spans="1:12" s="13" customFormat="1" ht="187.2" x14ac:dyDescent="0.3">
      <c r="A163" s="13" t="s">
        <v>333</v>
      </c>
      <c r="B163" s="13" t="s">
        <v>30</v>
      </c>
      <c r="C163" s="13" t="s">
        <v>334</v>
      </c>
      <c r="D163" s="13" t="s">
        <v>335</v>
      </c>
      <c r="E163" s="13">
        <v>1</v>
      </c>
      <c r="F163" s="13" t="s">
        <v>186</v>
      </c>
      <c r="G163" s="14">
        <v>2176.29</v>
      </c>
      <c r="H163" s="15">
        <f t="shared" si="8"/>
        <v>2176.29</v>
      </c>
      <c r="I163" s="16">
        <v>0</v>
      </c>
      <c r="J163" s="15">
        <f t="shared" si="9"/>
        <v>2176.29</v>
      </c>
      <c r="K163" s="13" t="s">
        <v>30</v>
      </c>
      <c r="L163" s="13">
        <v>0</v>
      </c>
    </row>
    <row r="164" spans="1:12" s="13" customFormat="1" ht="158.4" x14ac:dyDescent="0.3">
      <c r="A164" s="13" t="s">
        <v>336</v>
      </c>
      <c r="B164" s="13" t="s">
        <v>30</v>
      </c>
      <c r="C164" s="13" t="s">
        <v>337</v>
      </c>
      <c r="D164" s="13" t="s">
        <v>338</v>
      </c>
      <c r="E164" s="13">
        <v>2</v>
      </c>
      <c r="F164" s="13" t="s">
        <v>186</v>
      </c>
      <c r="G164" s="14">
        <v>495.94</v>
      </c>
      <c r="H164" s="15">
        <f t="shared" si="8"/>
        <v>991.88</v>
      </c>
      <c r="I164" s="16">
        <v>0</v>
      </c>
      <c r="J164" s="15">
        <f t="shared" si="9"/>
        <v>991.88</v>
      </c>
      <c r="K164" s="13" t="s">
        <v>30</v>
      </c>
      <c r="L164" s="13">
        <v>0</v>
      </c>
    </row>
    <row r="165" spans="1:12" s="13" customFormat="1" ht="115.2" x14ac:dyDescent="0.3">
      <c r="A165" s="13" t="s">
        <v>339</v>
      </c>
      <c r="B165" s="13" t="s">
        <v>30</v>
      </c>
      <c r="C165" s="13" t="s">
        <v>340</v>
      </c>
      <c r="D165" s="13" t="s">
        <v>341</v>
      </c>
      <c r="E165" s="13">
        <v>4</v>
      </c>
      <c r="F165" s="13" t="s">
        <v>186</v>
      </c>
      <c r="G165" s="14">
        <v>1941.35</v>
      </c>
      <c r="H165" s="15">
        <f t="shared" si="8"/>
        <v>7765.4</v>
      </c>
      <c r="I165" s="16">
        <v>0</v>
      </c>
      <c r="J165" s="15">
        <f t="shared" si="9"/>
        <v>7765.4</v>
      </c>
      <c r="K165" s="13" t="s">
        <v>30</v>
      </c>
      <c r="L165" s="13">
        <v>0</v>
      </c>
    </row>
    <row r="166" spans="1:12" s="13" customFormat="1" ht="158.4" x14ac:dyDescent="0.3">
      <c r="A166" s="13" t="s">
        <v>342</v>
      </c>
      <c r="B166" s="13" t="s">
        <v>30</v>
      </c>
      <c r="C166" s="13" t="s">
        <v>343</v>
      </c>
      <c r="D166" s="13" t="s">
        <v>344</v>
      </c>
      <c r="E166" s="13">
        <v>2</v>
      </c>
      <c r="F166" s="13" t="s">
        <v>186</v>
      </c>
      <c r="G166" s="14">
        <v>770.14</v>
      </c>
      <c r="H166" s="15">
        <f t="shared" si="8"/>
        <v>1540.28</v>
      </c>
      <c r="I166" s="16">
        <v>0</v>
      </c>
      <c r="J166" s="15">
        <f t="shared" si="9"/>
        <v>1540.28</v>
      </c>
      <c r="K166" s="13" t="s">
        <v>30</v>
      </c>
      <c r="L166" s="13">
        <v>0</v>
      </c>
    </row>
    <row r="167" spans="1:12" s="13" customFormat="1" ht="57.6" x14ac:dyDescent="0.3">
      <c r="A167" s="13" t="s">
        <v>345</v>
      </c>
      <c r="B167" s="13" t="s">
        <v>30</v>
      </c>
      <c r="C167" s="13" t="s">
        <v>346</v>
      </c>
      <c r="D167" s="13" t="s">
        <v>347</v>
      </c>
      <c r="E167" s="13">
        <v>1</v>
      </c>
      <c r="F167" s="13" t="s">
        <v>186</v>
      </c>
      <c r="G167" s="14">
        <v>196.15</v>
      </c>
      <c r="H167" s="15">
        <f t="shared" si="8"/>
        <v>196.15</v>
      </c>
      <c r="I167" s="16">
        <v>0</v>
      </c>
      <c r="J167" s="15">
        <f t="shared" si="9"/>
        <v>196.15</v>
      </c>
      <c r="K167" s="13" t="s">
        <v>30</v>
      </c>
      <c r="L167" s="13">
        <v>0</v>
      </c>
    </row>
    <row r="168" spans="1:12" s="13" customFormat="1" ht="57.6" x14ac:dyDescent="0.3">
      <c r="A168" s="13" t="s">
        <v>348</v>
      </c>
      <c r="B168" s="13" t="s">
        <v>30</v>
      </c>
      <c r="C168" s="13" t="s">
        <v>349</v>
      </c>
      <c r="D168" s="13" t="s">
        <v>350</v>
      </c>
      <c r="E168" s="13">
        <v>28</v>
      </c>
      <c r="F168" s="13" t="s">
        <v>351</v>
      </c>
      <c r="G168" s="14">
        <v>85.28</v>
      </c>
      <c r="H168" s="15">
        <f t="shared" si="8"/>
        <v>2387.84</v>
      </c>
      <c r="I168" s="16">
        <v>0</v>
      </c>
      <c r="J168" s="15">
        <f t="shared" si="9"/>
        <v>2387.84</v>
      </c>
      <c r="K168" s="13" t="s">
        <v>30</v>
      </c>
      <c r="L168" s="13">
        <v>0</v>
      </c>
    </row>
    <row r="169" spans="1:12" s="13" customFormat="1" ht="388.8" x14ac:dyDescent="0.3">
      <c r="A169" s="13" t="s">
        <v>352</v>
      </c>
      <c r="B169" s="13" t="s">
        <v>30</v>
      </c>
      <c r="C169" s="13" t="s">
        <v>353</v>
      </c>
      <c r="D169" s="13" t="s">
        <v>354</v>
      </c>
      <c r="E169" s="13">
        <v>7</v>
      </c>
      <c r="F169" s="13" t="s">
        <v>351</v>
      </c>
      <c r="G169" s="14">
        <v>40.049999999999997</v>
      </c>
      <c r="H169" s="15">
        <f t="shared" si="8"/>
        <v>280.35000000000002</v>
      </c>
      <c r="I169" s="16">
        <v>0</v>
      </c>
      <c r="J169" s="15">
        <f t="shared" si="9"/>
        <v>280.35000000000002</v>
      </c>
      <c r="K169" s="13" t="s">
        <v>30</v>
      </c>
      <c r="L169" s="13">
        <v>0</v>
      </c>
    </row>
    <row r="170" spans="1:12" s="13" customFormat="1" ht="187.2" x14ac:dyDescent="0.3">
      <c r="A170" s="13" t="s">
        <v>355</v>
      </c>
      <c r="B170" s="13" t="s">
        <v>30</v>
      </c>
      <c r="C170" s="13" t="s">
        <v>356</v>
      </c>
      <c r="D170" s="13" t="s">
        <v>357</v>
      </c>
      <c r="E170" s="13">
        <v>1</v>
      </c>
      <c r="F170" s="13" t="s">
        <v>351</v>
      </c>
      <c r="G170" s="14">
        <v>635.61</v>
      </c>
      <c r="H170" s="15">
        <f t="shared" si="8"/>
        <v>635.61</v>
      </c>
      <c r="I170" s="16">
        <v>0</v>
      </c>
      <c r="J170" s="15">
        <f t="shared" si="9"/>
        <v>635.61</v>
      </c>
      <c r="K170" s="13" t="s">
        <v>30</v>
      </c>
      <c r="L170" s="13">
        <v>0</v>
      </c>
    </row>
    <row r="171" spans="1:12" s="13" customFormat="1" ht="144" x14ac:dyDescent="0.3">
      <c r="A171" s="13" t="s">
        <v>358</v>
      </c>
      <c r="B171" s="13" t="s">
        <v>30</v>
      </c>
      <c r="C171" s="13" t="s">
        <v>359</v>
      </c>
      <c r="D171" s="13" t="s">
        <v>360</v>
      </c>
      <c r="E171" s="13">
        <v>3</v>
      </c>
      <c r="F171" s="13" t="s">
        <v>186</v>
      </c>
      <c r="G171" s="14">
        <v>479.71</v>
      </c>
      <c r="H171" s="15">
        <f t="shared" si="8"/>
        <v>1439.13</v>
      </c>
      <c r="I171" s="16">
        <v>0</v>
      </c>
      <c r="J171" s="15">
        <f t="shared" si="9"/>
        <v>1439.13</v>
      </c>
      <c r="K171" s="13" t="s">
        <v>30</v>
      </c>
      <c r="L171" s="13">
        <v>0</v>
      </c>
    </row>
    <row r="172" spans="1:12" s="13" customFormat="1" ht="187.2" x14ac:dyDescent="0.3">
      <c r="A172" s="13" t="s">
        <v>361</v>
      </c>
      <c r="B172" s="13" t="s">
        <v>30</v>
      </c>
      <c r="C172" s="13" t="s">
        <v>362</v>
      </c>
      <c r="D172" s="13" t="s">
        <v>363</v>
      </c>
      <c r="E172" s="13">
        <v>1</v>
      </c>
      <c r="F172" s="13" t="s">
        <v>186</v>
      </c>
      <c r="G172" s="14">
        <v>1151.47</v>
      </c>
      <c r="H172" s="15">
        <f t="shared" si="8"/>
        <v>1151.47</v>
      </c>
      <c r="I172" s="16">
        <v>0</v>
      </c>
      <c r="J172" s="15">
        <f t="shared" si="9"/>
        <v>1151.47</v>
      </c>
      <c r="K172" s="13" t="s">
        <v>30</v>
      </c>
      <c r="L172" s="13">
        <v>0</v>
      </c>
    </row>
    <row r="173" spans="1:12" s="13" customFormat="1" ht="187.2" x14ac:dyDescent="0.3">
      <c r="A173" s="13" t="s">
        <v>364</v>
      </c>
      <c r="B173" s="13" t="s">
        <v>30</v>
      </c>
      <c r="C173" s="13" t="s">
        <v>365</v>
      </c>
      <c r="D173" s="13" t="s">
        <v>366</v>
      </c>
      <c r="E173" s="13">
        <v>6</v>
      </c>
      <c r="F173" s="13" t="s">
        <v>186</v>
      </c>
      <c r="G173" s="14">
        <v>536.88</v>
      </c>
      <c r="H173" s="15">
        <f t="shared" si="8"/>
        <v>3221.28</v>
      </c>
      <c r="I173" s="16">
        <v>0</v>
      </c>
      <c r="J173" s="15">
        <f t="shared" si="9"/>
        <v>3221.28</v>
      </c>
      <c r="K173" s="13" t="s">
        <v>30</v>
      </c>
      <c r="L173" s="13">
        <v>0</v>
      </c>
    </row>
    <row r="174" spans="1:12" s="13" customFormat="1" ht="360" x14ac:dyDescent="0.3">
      <c r="A174" s="13" t="s">
        <v>367</v>
      </c>
      <c r="B174" s="13" t="s">
        <v>30</v>
      </c>
      <c r="C174" s="13" t="s">
        <v>368</v>
      </c>
      <c r="D174" s="13" t="s">
        <v>369</v>
      </c>
      <c r="E174" s="13">
        <v>10</v>
      </c>
      <c r="F174" s="13" t="s">
        <v>351</v>
      </c>
      <c r="G174" s="14">
        <v>163.06</v>
      </c>
      <c r="H174" s="15">
        <f t="shared" si="8"/>
        <v>1630.6</v>
      </c>
      <c r="I174" s="16">
        <v>0</v>
      </c>
      <c r="J174" s="15">
        <f t="shared" si="9"/>
        <v>1630.6</v>
      </c>
      <c r="K174" s="13" t="s">
        <v>30</v>
      </c>
      <c r="L174" s="13">
        <v>0</v>
      </c>
    </row>
    <row r="175" spans="1:12" s="13" customFormat="1" ht="374.4" x14ac:dyDescent="0.3">
      <c r="A175" s="13" t="s">
        <v>370</v>
      </c>
      <c r="B175" s="13" t="s">
        <v>30</v>
      </c>
      <c r="C175" s="13" t="s">
        <v>371</v>
      </c>
      <c r="D175" s="13" t="s">
        <v>372</v>
      </c>
      <c r="E175" s="13">
        <v>6</v>
      </c>
      <c r="F175" s="13" t="s">
        <v>351</v>
      </c>
      <c r="G175" s="14">
        <v>257.45</v>
      </c>
      <c r="H175" s="15">
        <f t="shared" si="8"/>
        <v>1544.7</v>
      </c>
      <c r="I175" s="16">
        <v>0</v>
      </c>
      <c r="J175" s="15">
        <f t="shared" si="9"/>
        <v>1544.7</v>
      </c>
      <c r="K175" s="13" t="s">
        <v>30</v>
      </c>
      <c r="L175" s="13">
        <v>0</v>
      </c>
    </row>
    <row r="176" spans="1:12" s="13" customFormat="1" ht="409.6" x14ac:dyDescent="0.3">
      <c r="A176" s="13" t="s">
        <v>373</v>
      </c>
      <c r="B176" s="13" t="s">
        <v>30</v>
      </c>
      <c r="C176" s="13" t="s">
        <v>374</v>
      </c>
      <c r="D176" s="13" t="s">
        <v>375</v>
      </c>
      <c r="E176" s="13">
        <v>1</v>
      </c>
      <c r="F176" s="13" t="s">
        <v>351</v>
      </c>
      <c r="G176" s="14">
        <v>355.02</v>
      </c>
      <c r="H176" s="15">
        <f t="shared" si="8"/>
        <v>355.02</v>
      </c>
      <c r="I176" s="16">
        <v>0</v>
      </c>
      <c r="J176" s="15">
        <f t="shared" si="9"/>
        <v>355.02</v>
      </c>
      <c r="K176" s="13" t="s">
        <v>30</v>
      </c>
      <c r="L176" s="13">
        <v>0</v>
      </c>
    </row>
    <row r="177" spans="1:12" s="13" customFormat="1" ht="216" x14ac:dyDescent="0.3">
      <c r="A177" s="13" t="s">
        <v>376</v>
      </c>
      <c r="B177" s="13" t="s">
        <v>30</v>
      </c>
      <c r="C177" s="13" t="s">
        <v>377</v>
      </c>
      <c r="D177" s="13" t="s">
        <v>378</v>
      </c>
      <c r="E177" s="13">
        <v>1</v>
      </c>
      <c r="F177" s="13" t="s">
        <v>351</v>
      </c>
      <c r="G177" s="14">
        <v>137.31</v>
      </c>
      <c r="H177" s="15">
        <f t="shared" si="8"/>
        <v>137.31</v>
      </c>
      <c r="I177" s="16">
        <v>0</v>
      </c>
      <c r="J177" s="15">
        <f t="shared" si="9"/>
        <v>137.31</v>
      </c>
      <c r="K177" s="13" t="s">
        <v>30</v>
      </c>
      <c r="L177" s="13">
        <v>0</v>
      </c>
    </row>
    <row r="178" spans="1:12" s="13" customFormat="1" ht="331.2" x14ac:dyDescent="0.3">
      <c r="A178" s="13" t="s">
        <v>379</v>
      </c>
      <c r="B178" s="13" t="s">
        <v>30</v>
      </c>
      <c r="C178" s="13" t="s">
        <v>380</v>
      </c>
      <c r="D178" s="13" t="s">
        <v>381</v>
      </c>
      <c r="E178" s="13">
        <v>3</v>
      </c>
      <c r="F178" s="13" t="s">
        <v>351</v>
      </c>
      <c r="G178" s="14">
        <v>264.83999999999997</v>
      </c>
      <c r="H178" s="15">
        <f t="shared" si="8"/>
        <v>794.52</v>
      </c>
      <c r="I178" s="16">
        <v>0</v>
      </c>
      <c r="J178" s="15">
        <f t="shared" si="9"/>
        <v>794.52</v>
      </c>
      <c r="K178" s="13" t="s">
        <v>30</v>
      </c>
      <c r="L178" s="13">
        <v>0</v>
      </c>
    </row>
    <row r="179" spans="1:12" s="13" customFormat="1" ht="259.2" x14ac:dyDescent="0.3">
      <c r="A179" s="13" t="s">
        <v>382</v>
      </c>
      <c r="B179" s="13" t="s">
        <v>30</v>
      </c>
      <c r="C179" s="13" t="s">
        <v>383</v>
      </c>
      <c r="D179" s="13" t="s">
        <v>384</v>
      </c>
      <c r="E179" s="13">
        <v>1</v>
      </c>
      <c r="F179" s="13" t="s">
        <v>351</v>
      </c>
      <c r="G179" s="14">
        <v>716.35</v>
      </c>
      <c r="H179" s="15">
        <f t="shared" si="8"/>
        <v>716.35</v>
      </c>
      <c r="I179" s="16">
        <v>0</v>
      </c>
      <c r="J179" s="15">
        <f t="shared" si="9"/>
        <v>716.35</v>
      </c>
      <c r="K179" s="13" t="s">
        <v>30</v>
      </c>
      <c r="L179" s="13">
        <v>0</v>
      </c>
    </row>
    <row r="180" spans="1:12" s="13" customFormat="1" ht="144" x14ac:dyDescent="0.3">
      <c r="A180" s="13" t="s">
        <v>385</v>
      </c>
      <c r="B180" s="13" t="s">
        <v>30</v>
      </c>
      <c r="C180" s="13" t="s">
        <v>386</v>
      </c>
      <c r="D180" s="13" t="s">
        <v>387</v>
      </c>
      <c r="E180" s="13">
        <v>10</v>
      </c>
      <c r="F180" s="13" t="s">
        <v>351</v>
      </c>
      <c r="G180" s="14">
        <v>58.38</v>
      </c>
      <c r="H180" s="15">
        <f t="shared" si="8"/>
        <v>583.79999999999995</v>
      </c>
      <c r="I180" s="16">
        <v>0</v>
      </c>
      <c r="J180" s="15">
        <f t="shared" si="9"/>
        <v>583.79999999999995</v>
      </c>
      <c r="K180" s="13" t="s">
        <v>30</v>
      </c>
      <c r="L180" s="13">
        <v>0</v>
      </c>
    </row>
    <row r="181" spans="1:12" s="13" customFormat="1" ht="172.8" x14ac:dyDescent="0.3">
      <c r="A181" s="13" t="s">
        <v>388</v>
      </c>
      <c r="B181" s="13" t="s">
        <v>30</v>
      </c>
      <c r="C181" s="13" t="s">
        <v>389</v>
      </c>
      <c r="D181" s="13" t="s">
        <v>390</v>
      </c>
      <c r="E181" s="13">
        <v>10</v>
      </c>
      <c r="F181" s="13" t="s">
        <v>351</v>
      </c>
      <c r="G181" s="14">
        <v>152.69999999999999</v>
      </c>
      <c r="H181" s="15">
        <f t="shared" si="8"/>
        <v>1527</v>
      </c>
      <c r="I181" s="16">
        <v>0</v>
      </c>
      <c r="J181" s="15">
        <f t="shared" si="9"/>
        <v>1527</v>
      </c>
      <c r="K181" s="13" t="s">
        <v>30</v>
      </c>
      <c r="L181" s="13">
        <v>0</v>
      </c>
    </row>
    <row r="182" spans="1:12" s="13" customFormat="1" ht="187.2" x14ac:dyDescent="0.3">
      <c r="A182" s="13" t="s">
        <v>391</v>
      </c>
      <c r="B182" s="13" t="s">
        <v>30</v>
      </c>
      <c r="C182" s="13" t="s">
        <v>392</v>
      </c>
      <c r="D182" s="13" t="s">
        <v>393</v>
      </c>
      <c r="E182" s="13">
        <v>10</v>
      </c>
      <c r="F182" s="13" t="s">
        <v>351</v>
      </c>
      <c r="G182" s="14">
        <v>56.07</v>
      </c>
      <c r="H182" s="15">
        <f t="shared" si="8"/>
        <v>560.70000000000005</v>
      </c>
      <c r="I182" s="16">
        <v>0</v>
      </c>
      <c r="J182" s="15">
        <f t="shared" si="9"/>
        <v>560.70000000000005</v>
      </c>
      <c r="K182" s="13" t="s">
        <v>30</v>
      </c>
      <c r="L182" s="13">
        <v>0</v>
      </c>
    </row>
    <row r="183" spans="1:12" s="13" customFormat="1" ht="187.2" x14ac:dyDescent="0.3">
      <c r="A183" s="13" t="s">
        <v>394</v>
      </c>
      <c r="B183" s="13" t="s">
        <v>30</v>
      </c>
      <c r="C183" s="13" t="s">
        <v>395</v>
      </c>
      <c r="D183" s="13" t="s">
        <v>396</v>
      </c>
      <c r="E183" s="13">
        <v>10</v>
      </c>
      <c r="F183" s="13" t="s">
        <v>351</v>
      </c>
      <c r="G183" s="14">
        <v>53.69</v>
      </c>
      <c r="H183" s="15">
        <f t="shared" si="8"/>
        <v>536.9</v>
      </c>
      <c r="I183" s="16">
        <v>0</v>
      </c>
      <c r="J183" s="15">
        <f t="shared" si="9"/>
        <v>536.9</v>
      </c>
      <c r="K183" s="13" t="s">
        <v>30</v>
      </c>
      <c r="L183" s="13">
        <v>0</v>
      </c>
    </row>
    <row r="184" spans="1:12" s="13" customFormat="1" ht="144" x14ac:dyDescent="0.3">
      <c r="A184" s="13" t="s">
        <v>397</v>
      </c>
      <c r="B184" s="13" t="s">
        <v>30</v>
      </c>
      <c r="C184" s="13" t="s">
        <v>398</v>
      </c>
      <c r="D184" s="13" t="s">
        <v>399</v>
      </c>
      <c r="E184" s="13">
        <v>10</v>
      </c>
      <c r="F184" s="13" t="s">
        <v>351</v>
      </c>
      <c r="G184" s="14">
        <v>29.81</v>
      </c>
      <c r="H184" s="15">
        <f t="shared" si="8"/>
        <v>298.10000000000002</v>
      </c>
      <c r="I184" s="16">
        <v>0</v>
      </c>
      <c r="J184" s="15">
        <f t="shared" si="9"/>
        <v>298.10000000000002</v>
      </c>
      <c r="K184" s="13" t="s">
        <v>30</v>
      </c>
      <c r="L184" s="13">
        <v>0</v>
      </c>
    </row>
    <row r="185" spans="1:12" s="13" customFormat="1" ht="115.2" x14ac:dyDescent="0.3">
      <c r="A185" s="13" t="s">
        <v>400</v>
      </c>
      <c r="B185" s="13" t="s">
        <v>30</v>
      </c>
      <c r="C185" s="13" t="s">
        <v>401</v>
      </c>
      <c r="D185" s="13" t="s">
        <v>402</v>
      </c>
      <c r="E185" s="13">
        <v>2</v>
      </c>
      <c r="F185" s="13" t="s">
        <v>186</v>
      </c>
      <c r="G185" s="14">
        <v>1071.1600000000001</v>
      </c>
      <c r="H185" s="15">
        <f t="shared" si="8"/>
        <v>2142.3200000000002</v>
      </c>
      <c r="I185" s="16">
        <v>0</v>
      </c>
      <c r="J185" s="15">
        <f t="shared" si="9"/>
        <v>2142.3200000000002</v>
      </c>
      <c r="K185" s="13" t="s">
        <v>30</v>
      </c>
      <c r="L185" s="13">
        <v>0</v>
      </c>
    </row>
    <row r="186" spans="1:12" s="13" customFormat="1" ht="129.6" x14ac:dyDescent="0.3">
      <c r="A186" s="13" t="s">
        <v>403</v>
      </c>
      <c r="B186" s="13" t="s">
        <v>30</v>
      </c>
      <c r="C186" s="13" t="s">
        <v>404</v>
      </c>
      <c r="D186" s="13" t="s">
        <v>405</v>
      </c>
      <c r="E186" s="13">
        <v>1</v>
      </c>
      <c r="F186" s="13" t="s">
        <v>351</v>
      </c>
      <c r="G186" s="14">
        <v>164.76</v>
      </c>
      <c r="H186" s="15">
        <f t="shared" si="8"/>
        <v>164.76</v>
      </c>
      <c r="I186" s="16">
        <v>0</v>
      </c>
      <c r="J186" s="15">
        <f t="shared" si="9"/>
        <v>164.76</v>
      </c>
      <c r="K186" s="13" t="s">
        <v>30</v>
      </c>
      <c r="L186" s="13">
        <v>0</v>
      </c>
    </row>
    <row r="187" spans="1:12" s="13" customFormat="1" ht="259.2" x14ac:dyDescent="0.3">
      <c r="A187" s="13" t="s">
        <v>406</v>
      </c>
      <c r="B187" s="13" t="s">
        <v>30</v>
      </c>
      <c r="C187" s="13" t="s">
        <v>407</v>
      </c>
      <c r="D187" s="13" t="s">
        <v>408</v>
      </c>
      <c r="E187" s="13">
        <v>6</v>
      </c>
      <c r="F187" s="13" t="s">
        <v>351</v>
      </c>
      <c r="G187" s="14">
        <v>932.74</v>
      </c>
      <c r="H187" s="15">
        <f t="shared" si="8"/>
        <v>5596.44</v>
      </c>
      <c r="I187" s="16">
        <v>0</v>
      </c>
      <c r="J187" s="15">
        <f t="shared" si="9"/>
        <v>5596.44</v>
      </c>
      <c r="K187" s="13" t="s">
        <v>30</v>
      </c>
      <c r="L187" s="13">
        <v>0</v>
      </c>
    </row>
    <row r="188" spans="1:12" s="13" customFormat="1" ht="172.8" x14ac:dyDescent="0.3">
      <c r="A188" s="13" t="s">
        <v>409</v>
      </c>
      <c r="B188" s="13" t="s">
        <v>30</v>
      </c>
      <c r="C188" s="13" t="s">
        <v>410</v>
      </c>
      <c r="D188" s="13" t="s">
        <v>411</v>
      </c>
      <c r="E188" s="13">
        <v>2</v>
      </c>
      <c r="F188" s="13" t="s">
        <v>351</v>
      </c>
      <c r="G188" s="14">
        <v>297.5</v>
      </c>
      <c r="H188" s="15">
        <f t="shared" si="8"/>
        <v>595</v>
      </c>
      <c r="I188" s="16">
        <v>0</v>
      </c>
      <c r="J188" s="15">
        <f t="shared" si="9"/>
        <v>595</v>
      </c>
      <c r="K188" s="13" t="s">
        <v>30</v>
      </c>
      <c r="L188" s="13">
        <v>0</v>
      </c>
    </row>
    <row r="189" spans="1:12" s="13" customFormat="1" ht="230.4" x14ac:dyDescent="0.3">
      <c r="A189" s="13" t="s">
        <v>412</v>
      </c>
      <c r="B189" s="13" t="s">
        <v>30</v>
      </c>
      <c r="C189" s="13" t="s">
        <v>413</v>
      </c>
      <c r="D189" s="13" t="s">
        <v>414</v>
      </c>
      <c r="E189" s="13">
        <v>7</v>
      </c>
      <c r="F189" s="13" t="s">
        <v>351</v>
      </c>
      <c r="G189" s="14">
        <v>208.48</v>
      </c>
      <c r="H189" s="15">
        <f t="shared" si="8"/>
        <v>1459.36</v>
      </c>
      <c r="I189" s="16">
        <v>0</v>
      </c>
      <c r="J189" s="15">
        <f t="shared" si="9"/>
        <v>1459.36</v>
      </c>
      <c r="K189" s="13" t="s">
        <v>30</v>
      </c>
      <c r="L189" s="13">
        <v>0</v>
      </c>
    </row>
    <row r="190" spans="1:12" s="13" customFormat="1" ht="57.6" x14ac:dyDescent="0.3">
      <c r="A190" s="13" t="s">
        <v>415</v>
      </c>
      <c r="B190" s="13" t="s">
        <v>30</v>
      </c>
      <c r="C190" s="13" t="s">
        <v>416</v>
      </c>
      <c r="D190" s="13" t="s">
        <v>417</v>
      </c>
      <c r="E190" s="13">
        <v>2</v>
      </c>
      <c r="F190" s="13" t="s">
        <v>186</v>
      </c>
      <c r="G190" s="14">
        <v>116.87</v>
      </c>
      <c r="H190" s="15">
        <f t="shared" si="8"/>
        <v>233.74</v>
      </c>
      <c r="I190" s="16">
        <v>0</v>
      </c>
      <c r="J190" s="15">
        <f t="shared" si="9"/>
        <v>233.74</v>
      </c>
      <c r="K190" s="13" t="s">
        <v>30</v>
      </c>
      <c r="L190" s="13">
        <v>0</v>
      </c>
    </row>
    <row r="191" spans="1:12" s="13" customFormat="1" ht="57.6" x14ac:dyDescent="0.3">
      <c r="A191" s="13" t="s">
        <v>418</v>
      </c>
      <c r="B191" s="13" t="s">
        <v>30</v>
      </c>
      <c r="C191" s="13" t="s">
        <v>419</v>
      </c>
      <c r="D191" s="13" t="s">
        <v>420</v>
      </c>
      <c r="E191" s="13">
        <v>2</v>
      </c>
      <c r="F191" s="13" t="s">
        <v>186</v>
      </c>
      <c r="G191" s="14">
        <v>245.19</v>
      </c>
      <c r="H191" s="15">
        <f t="shared" si="8"/>
        <v>490.38</v>
      </c>
      <c r="I191" s="16">
        <v>0</v>
      </c>
      <c r="J191" s="15">
        <f t="shared" si="9"/>
        <v>490.38</v>
      </c>
      <c r="K191" s="13" t="s">
        <v>30</v>
      </c>
      <c r="L191" s="13">
        <v>0</v>
      </c>
    </row>
    <row r="192" spans="1:12" s="13" customFormat="1" ht="57.6" x14ac:dyDescent="0.3">
      <c r="A192" s="13" t="s">
        <v>421</v>
      </c>
      <c r="B192" s="13" t="s">
        <v>30</v>
      </c>
      <c r="C192" s="13" t="s">
        <v>422</v>
      </c>
      <c r="D192" s="13" t="s">
        <v>423</v>
      </c>
      <c r="E192" s="13">
        <v>1</v>
      </c>
      <c r="F192" s="13" t="s">
        <v>186</v>
      </c>
      <c r="G192" s="14">
        <v>490.38</v>
      </c>
      <c r="H192" s="15">
        <f t="shared" si="8"/>
        <v>490.38</v>
      </c>
      <c r="I192" s="16">
        <v>0</v>
      </c>
      <c r="J192" s="15">
        <f t="shared" si="9"/>
        <v>490.38</v>
      </c>
      <c r="K192" s="13" t="s">
        <v>30</v>
      </c>
      <c r="L192" s="13">
        <v>0</v>
      </c>
    </row>
    <row r="193" spans="1:12" s="13" customFormat="1" ht="57.6" x14ac:dyDescent="0.3">
      <c r="A193" s="13" t="s">
        <v>424</v>
      </c>
      <c r="B193" s="13" t="s">
        <v>30</v>
      </c>
      <c r="C193" s="13" t="s">
        <v>425</v>
      </c>
      <c r="D193" s="13" t="s">
        <v>426</v>
      </c>
      <c r="E193" s="13">
        <v>1</v>
      </c>
      <c r="F193" s="13" t="s">
        <v>351</v>
      </c>
      <c r="G193" s="14">
        <v>945.62</v>
      </c>
      <c r="H193" s="15">
        <f t="shared" si="8"/>
        <v>945.62</v>
      </c>
      <c r="I193" s="16">
        <v>0</v>
      </c>
      <c r="J193" s="15">
        <f t="shared" si="9"/>
        <v>945.62</v>
      </c>
      <c r="K193" s="13" t="s">
        <v>30</v>
      </c>
      <c r="L193" s="13">
        <v>0</v>
      </c>
    </row>
    <row r="194" spans="1:12" s="13" customFormat="1" ht="43.2" x14ac:dyDescent="0.3">
      <c r="A194" s="13" t="s">
        <v>427</v>
      </c>
      <c r="B194" s="13" t="s">
        <v>30</v>
      </c>
      <c r="C194" s="13" t="s">
        <v>428</v>
      </c>
      <c r="D194" s="13" t="s">
        <v>429</v>
      </c>
      <c r="E194" s="13">
        <v>1</v>
      </c>
      <c r="F194" s="13" t="s">
        <v>351</v>
      </c>
      <c r="G194" s="14">
        <v>160.19</v>
      </c>
      <c r="H194" s="15">
        <f t="shared" si="8"/>
        <v>160.19</v>
      </c>
      <c r="I194" s="16">
        <v>0</v>
      </c>
      <c r="J194" s="15">
        <f t="shared" si="9"/>
        <v>160.19</v>
      </c>
      <c r="K194" s="13" t="s">
        <v>30</v>
      </c>
      <c r="L194" s="13">
        <v>0</v>
      </c>
    </row>
    <row r="195" spans="1:12" s="13" customFormat="1" x14ac:dyDescent="0.3">
      <c r="A195" s="13" t="s">
        <v>430</v>
      </c>
      <c r="B195" s="13" t="s">
        <v>30</v>
      </c>
      <c r="C195" s="13" t="s">
        <v>431</v>
      </c>
      <c r="D195" s="13" t="s">
        <v>432</v>
      </c>
      <c r="E195" s="13">
        <v>1</v>
      </c>
      <c r="F195" s="13" t="s">
        <v>351</v>
      </c>
      <c r="G195" s="14">
        <v>137.31</v>
      </c>
      <c r="H195" s="15">
        <f t="shared" si="8"/>
        <v>137.31</v>
      </c>
      <c r="I195" s="16">
        <v>0</v>
      </c>
      <c r="J195" s="15">
        <f t="shared" si="9"/>
        <v>137.31</v>
      </c>
      <c r="K195" s="13" t="s">
        <v>30</v>
      </c>
      <c r="L195" s="13">
        <v>0</v>
      </c>
    </row>
    <row r="196" spans="1:12" s="13" customFormat="1" x14ac:dyDescent="0.3">
      <c r="A196" s="13" t="s">
        <v>433</v>
      </c>
      <c r="B196" s="13" t="s">
        <v>30</v>
      </c>
      <c r="C196" s="13" t="s">
        <v>434</v>
      </c>
      <c r="D196" s="13" t="s">
        <v>435</v>
      </c>
      <c r="E196" s="13">
        <v>3</v>
      </c>
      <c r="F196" s="13" t="s">
        <v>351</v>
      </c>
      <c r="G196" s="14">
        <v>183.08</v>
      </c>
      <c r="H196" s="15">
        <f t="shared" si="8"/>
        <v>549.24</v>
      </c>
      <c r="I196" s="16">
        <v>0</v>
      </c>
      <c r="J196" s="15">
        <f t="shared" si="9"/>
        <v>549.24</v>
      </c>
      <c r="K196" s="13" t="s">
        <v>30</v>
      </c>
      <c r="L196" s="13">
        <v>0</v>
      </c>
    </row>
    <row r="197" spans="1:12" s="13" customFormat="1" ht="28.8" x14ac:dyDescent="0.3">
      <c r="A197" s="13" t="s">
        <v>436</v>
      </c>
      <c r="B197" s="13" t="s">
        <v>30</v>
      </c>
      <c r="C197" s="13" t="s">
        <v>437</v>
      </c>
      <c r="D197" s="13" t="s">
        <v>438</v>
      </c>
      <c r="E197" s="13">
        <v>32</v>
      </c>
      <c r="F197" s="13" t="s">
        <v>351</v>
      </c>
      <c r="G197" s="14">
        <v>5.72</v>
      </c>
      <c r="H197" s="15">
        <f t="shared" si="8"/>
        <v>183.04</v>
      </c>
      <c r="I197" s="16">
        <v>0</v>
      </c>
      <c r="J197" s="15">
        <f t="shared" si="9"/>
        <v>183.04</v>
      </c>
      <c r="K197" s="13" t="s">
        <v>30</v>
      </c>
      <c r="L197" s="13">
        <v>0</v>
      </c>
    </row>
    <row r="198" spans="1:12" s="13" customFormat="1" ht="129.6" x14ac:dyDescent="0.3">
      <c r="A198" s="13" t="s">
        <v>439</v>
      </c>
      <c r="B198" s="13" t="s">
        <v>30</v>
      </c>
      <c r="C198" s="13" t="s">
        <v>440</v>
      </c>
      <c r="D198" s="13" t="s">
        <v>441</v>
      </c>
      <c r="E198" s="13">
        <v>2</v>
      </c>
      <c r="F198" s="13" t="s">
        <v>186</v>
      </c>
      <c r="G198" s="14">
        <v>387.65</v>
      </c>
      <c r="H198" s="15">
        <f t="shared" si="8"/>
        <v>775.3</v>
      </c>
      <c r="I198" s="16">
        <v>0</v>
      </c>
      <c r="J198" s="15">
        <f t="shared" si="9"/>
        <v>775.3</v>
      </c>
      <c r="K198" s="13" t="s">
        <v>30</v>
      </c>
      <c r="L198" s="13">
        <v>0</v>
      </c>
    </row>
    <row r="199" spans="1:12" s="13" customFormat="1" ht="216" x14ac:dyDescent="0.3">
      <c r="A199" s="13" t="s">
        <v>442</v>
      </c>
      <c r="B199" s="13" t="s">
        <v>30</v>
      </c>
      <c r="C199" s="13" t="s">
        <v>440</v>
      </c>
      <c r="D199" s="13" t="s">
        <v>443</v>
      </c>
      <c r="E199" s="13">
        <v>2</v>
      </c>
      <c r="F199" s="13" t="s">
        <v>186</v>
      </c>
      <c r="G199" s="14">
        <v>547.02</v>
      </c>
      <c r="H199" s="15">
        <f t="shared" si="8"/>
        <v>1094.04</v>
      </c>
      <c r="I199" s="16">
        <v>0</v>
      </c>
      <c r="J199" s="15">
        <f t="shared" si="9"/>
        <v>1094.04</v>
      </c>
      <c r="K199" s="13" t="s">
        <v>30</v>
      </c>
      <c r="L199" s="13">
        <v>0</v>
      </c>
    </row>
    <row r="200" spans="1:12" s="13" customFormat="1" ht="115.2" x14ac:dyDescent="0.3">
      <c r="A200" s="13" t="s">
        <v>444</v>
      </c>
      <c r="B200" s="13" t="s">
        <v>30</v>
      </c>
      <c r="C200" s="13" t="s">
        <v>440</v>
      </c>
      <c r="D200" s="13" t="s">
        <v>445</v>
      </c>
      <c r="E200" s="13">
        <v>1</v>
      </c>
      <c r="F200" s="13" t="s">
        <v>186</v>
      </c>
      <c r="G200" s="14">
        <v>493.9</v>
      </c>
      <c r="H200" s="15">
        <f t="shared" si="8"/>
        <v>493.9</v>
      </c>
      <c r="I200" s="16">
        <v>0</v>
      </c>
      <c r="J200" s="15">
        <f t="shared" si="9"/>
        <v>493.9</v>
      </c>
      <c r="K200" s="13" t="s">
        <v>30</v>
      </c>
      <c r="L200" s="13">
        <v>0</v>
      </c>
    </row>
    <row r="201" spans="1:12" s="13" customFormat="1" ht="43.2" x14ac:dyDescent="0.3">
      <c r="A201" s="13" t="s">
        <v>446</v>
      </c>
      <c r="B201" s="13" t="s">
        <v>30</v>
      </c>
      <c r="C201" s="13" t="s">
        <v>447</v>
      </c>
      <c r="D201" s="13" t="s">
        <v>448</v>
      </c>
      <c r="E201" s="13">
        <v>10</v>
      </c>
      <c r="F201" s="13" t="s">
        <v>186</v>
      </c>
      <c r="G201" s="14">
        <v>10.51</v>
      </c>
      <c r="H201" s="15">
        <f t="shared" si="8"/>
        <v>105.1</v>
      </c>
      <c r="I201" s="16">
        <v>0</v>
      </c>
      <c r="J201" s="15">
        <f t="shared" si="9"/>
        <v>105.1</v>
      </c>
      <c r="K201" s="13" t="s">
        <v>30</v>
      </c>
      <c r="L201" s="13">
        <v>0</v>
      </c>
    </row>
    <row r="202" spans="1:12" s="13" customFormat="1" ht="57.6" x14ac:dyDescent="0.3">
      <c r="A202" s="13" t="s">
        <v>449</v>
      </c>
      <c r="B202" s="13" t="s">
        <v>30</v>
      </c>
      <c r="C202" s="13" t="s">
        <v>447</v>
      </c>
      <c r="D202" s="13" t="s">
        <v>450</v>
      </c>
      <c r="E202" s="13">
        <v>1</v>
      </c>
      <c r="F202" s="13" t="s">
        <v>186</v>
      </c>
      <c r="G202" s="14">
        <v>12.99</v>
      </c>
      <c r="H202" s="15">
        <f t="shared" si="8"/>
        <v>12.99</v>
      </c>
      <c r="I202" s="16">
        <v>0</v>
      </c>
      <c r="J202" s="15">
        <f t="shared" si="9"/>
        <v>12.99</v>
      </c>
      <c r="K202" s="13" t="s">
        <v>30</v>
      </c>
      <c r="L202" s="13">
        <v>0</v>
      </c>
    </row>
    <row r="203" spans="1:12" s="13" customFormat="1" ht="57.6" x14ac:dyDescent="0.3">
      <c r="A203" s="13" t="s">
        <v>451</v>
      </c>
      <c r="B203" s="13" t="s">
        <v>30</v>
      </c>
      <c r="C203" s="13" t="s">
        <v>452</v>
      </c>
      <c r="D203" s="13" t="s">
        <v>453</v>
      </c>
      <c r="E203" s="13">
        <v>3</v>
      </c>
      <c r="F203" s="13" t="s">
        <v>186</v>
      </c>
      <c r="G203" s="14">
        <v>122.59</v>
      </c>
      <c r="H203" s="15">
        <f t="shared" si="8"/>
        <v>367.77</v>
      </c>
      <c r="I203" s="16">
        <v>0</v>
      </c>
      <c r="J203" s="15">
        <f t="shared" si="9"/>
        <v>367.77</v>
      </c>
      <c r="K203" s="13" t="s">
        <v>30</v>
      </c>
      <c r="L203" s="13">
        <v>0</v>
      </c>
    </row>
    <row r="204" spans="1:12" s="13" customFormat="1" ht="43.2" x14ac:dyDescent="0.3">
      <c r="A204" s="13" t="s">
        <v>454</v>
      </c>
      <c r="B204" s="13" t="s">
        <v>30</v>
      </c>
      <c r="C204" s="13" t="s">
        <v>452</v>
      </c>
      <c r="D204" s="13" t="s">
        <v>455</v>
      </c>
      <c r="E204" s="13">
        <v>1</v>
      </c>
      <c r="F204" s="13" t="s">
        <v>186</v>
      </c>
      <c r="G204" s="14">
        <v>163.46</v>
      </c>
      <c r="H204" s="15">
        <f t="shared" si="8"/>
        <v>163.46</v>
      </c>
      <c r="I204" s="16">
        <v>0</v>
      </c>
      <c r="J204" s="15">
        <f t="shared" si="9"/>
        <v>163.46</v>
      </c>
      <c r="K204" s="13" t="s">
        <v>30</v>
      </c>
      <c r="L204" s="13">
        <v>0</v>
      </c>
    </row>
    <row r="205" spans="1:12" s="13" customFormat="1" ht="100.8" x14ac:dyDescent="0.3">
      <c r="A205" s="13" t="s">
        <v>456</v>
      </c>
      <c r="B205" s="13" t="s">
        <v>30</v>
      </c>
      <c r="C205" s="13" t="s">
        <v>457</v>
      </c>
      <c r="D205" s="13" t="s">
        <v>458</v>
      </c>
      <c r="E205" s="13">
        <v>3</v>
      </c>
      <c r="F205" s="13" t="s">
        <v>186</v>
      </c>
      <c r="G205" s="14">
        <v>478.12</v>
      </c>
      <c r="H205" s="15">
        <f t="shared" si="8"/>
        <v>1434.36</v>
      </c>
      <c r="I205" s="16">
        <v>0</v>
      </c>
      <c r="J205" s="15">
        <f t="shared" si="9"/>
        <v>1434.36</v>
      </c>
      <c r="K205" s="13" t="s">
        <v>30</v>
      </c>
      <c r="L205" s="13">
        <v>0</v>
      </c>
    </row>
    <row r="206" spans="1:12" s="11" customFormat="1" x14ac:dyDescent="0.3">
      <c r="A206" s="11" t="s">
        <v>459</v>
      </c>
      <c r="C206" s="11" t="s">
        <v>460</v>
      </c>
      <c r="G206" s="11">
        <v>0</v>
      </c>
      <c r="H206" s="12">
        <f>SUM(H207,H208,H209,H210,H211,H212,H213,H214,H215,H216,H217,H218,H219,H220,H221,H222,H223,H224,H225,H226,H227,H228,H229,H230,H231,H232,H233,H234,H235,H236,H237,H238,H239,H240,H241,H242,H243,H244,H245,H246)</f>
        <v>37010.559999999998</v>
      </c>
      <c r="J206" s="12">
        <f>SUM(J207,J208,J209,J210,J211,J212,J213,J214,J215,J216,J217,J218,J219,J220,J221,J222,J223,J224,J225,J226,J227,J228,J229,J230,J231,J232,J233,J234,J235,J236,J237,J238,J239,J240,J241,J242,J243,J244,J245,J246)</f>
        <v>37010.559999999998</v>
      </c>
    </row>
    <row r="207" spans="1:12" s="13" customFormat="1" ht="115.2" x14ac:dyDescent="0.3">
      <c r="A207" s="17" t="s">
        <v>461</v>
      </c>
      <c r="B207" s="17" t="s">
        <v>30</v>
      </c>
      <c r="C207" s="17" t="s">
        <v>462</v>
      </c>
      <c r="D207" s="17" t="s">
        <v>463</v>
      </c>
      <c r="E207" s="17">
        <v>190</v>
      </c>
      <c r="F207" s="17" t="s">
        <v>48</v>
      </c>
      <c r="G207" s="18">
        <v>1.41</v>
      </c>
      <c r="H207" s="19">
        <f t="shared" ref="H207:H246" si="10">IF(AND(ISNUMBER(E207),ISNUMBER(G207)),ROUND(PRODUCT(PRODUCT(E207, G207), 1 - L207), 2),"")</f>
        <v>267.89999999999998</v>
      </c>
      <c r="I207" s="20">
        <v>0</v>
      </c>
      <c r="J207" s="19">
        <f t="shared" ref="J207:J246" si="11">IF(AND(ISNUMBER(H207)),ROUND(PRODUCT(H207, SUM(I207,"1")), 2),"")</f>
        <v>267.89999999999998</v>
      </c>
      <c r="K207" s="13" t="s">
        <v>30</v>
      </c>
      <c r="L207" s="13">
        <v>0</v>
      </c>
    </row>
    <row r="208" spans="1:12" s="13" customFormat="1" ht="115.2" x14ac:dyDescent="0.3">
      <c r="A208" s="17" t="s">
        <v>464</v>
      </c>
      <c r="B208" s="17" t="s">
        <v>30</v>
      </c>
      <c r="C208" s="17" t="s">
        <v>465</v>
      </c>
      <c r="D208" s="17" t="s">
        <v>466</v>
      </c>
      <c r="E208" s="17">
        <v>260</v>
      </c>
      <c r="F208" s="17" t="s">
        <v>48</v>
      </c>
      <c r="G208" s="18">
        <v>1.76</v>
      </c>
      <c r="H208" s="19">
        <f t="shared" si="10"/>
        <v>457.6</v>
      </c>
      <c r="I208" s="20">
        <v>0</v>
      </c>
      <c r="J208" s="19">
        <f t="shared" si="11"/>
        <v>457.6</v>
      </c>
      <c r="K208" s="13" t="s">
        <v>30</v>
      </c>
      <c r="L208" s="13">
        <v>0</v>
      </c>
    </row>
    <row r="209" spans="1:12" s="13" customFormat="1" ht="115.2" x14ac:dyDescent="0.3">
      <c r="A209" s="17" t="s">
        <v>467</v>
      </c>
      <c r="B209" s="17" t="s">
        <v>30</v>
      </c>
      <c r="C209" s="17" t="s">
        <v>468</v>
      </c>
      <c r="D209" s="17" t="s">
        <v>469</v>
      </c>
      <c r="E209" s="17">
        <v>70</v>
      </c>
      <c r="F209" s="17" t="s">
        <v>48</v>
      </c>
      <c r="G209" s="18">
        <v>2.8</v>
      </c>
      <c r="H209" s="19">
        <f t="shared" si="10"/>
        <v>196</v>
      </c>
      <c r="I209" s="20">
        <v>0</v>
      </c>
      <c r="J209" s="19">
        <f t="shared" si="11"/>
        <v>196</v>
      </c>
      <c r="K209" s="13" t="s">
        <v>30</v>
      </c>
      <c r="L209" s="13">
        <v>0</v>
      </c>
    </row>
    <row r="210" spans="1:12" s="13" customFormat="1" ht="115.2" x14ac:dyDescent="0.3">
      <c r="A210" s="17" t="s">
        <v>470</v>
      </c>
      <c r="B210" s="17" t="s">
        <v>30</v>
      </c>
      <c r="C210" s="17" t="s">
        <v>471</v>
      </c>
      <c r="D210" s="17" t="s">
        <v>472</v>
      </c>
      <c r="E210" s="17">
        <v>130</v>
      </c>
      <c r="F210" s="17" t="s">
        <v>48</v>
      </c>
      <c r="G210" s="18">
        <v>4.5999999999999996</v>
      </c>
      <c r="H210" s="19">
        <f t="shared" si="10"/>
        <v>598</v>
      </c>
      <c r="I210" s="20">
        <v>0</v>
      </c>
      <c r="J210" s="19">
        <f t="shared" si="11"/>
        <v>598</v>
      </c>
      <c r="K210" s="13" t="s">
        <v>30</v>
      </c>
      <c r="L210" s="13">
        <v>0</v>
      </c>
    </row>
    <row r="211" spans="1:12" s="13" customFormat="1" ht="115.2" x14ac:dyDescent="0.3">
      <c r="A211" s="17" t="s">
        <v>473</v>
      </c>
      <c r="B211" s="17" t="s">
        <v>30</v>
      </c>
      <c r="C211" s="17" t="s">
        <v>474</v>
      </c>
      <c r="D211" s="17" t="s">
        <v>475</v>
      </c>
      <c r="E211" s="17">
        <v>65</v>
      </c>
      <c r="F211" s="17" t="s">
        <v>48</v>
      </c>
      <c r="G211" s="18">
        <v>8.5</v>
      </c>
      <c r="H211" s="19">
        <f t="shared" si="10"/>
        <v>552.5</v>
      </c>
      <c r="I211" s="20">
        <v>0</v>
      </c>
      <c r="J211" s="19">
        <f t="shared" si="11"/>
        <v>552.5</v>
      </c>
      <c r="K211" s="13" t="s">
        <v>30</v>
      </c>
      <c r="L211" s="13">
        <v>0</v>
      </c>
    </row>
    <row r="212" spans="1:12" s="13" customFormat="1" ht="115.2" x14ac:dyDescent="0.3">
      <c r="A212" s="17" t="s">
        <v>476</v>
      </c>
      <c r="B212" s="17" t="s">
        <v>30</v>
      </c>
      <c r="C212" s="17" t="s">
        <v>477</v>
      </c>
      <c r="D212" s="17" t="s">
        <v>478</v>
      </c>
      <c r="E212" s="17">
        <v>10</v>
      </c>
      <c r="F212" s="17" t="s">
        <v>48</v>
      </c>
      <c r="G212" s="18">
        <v>10</v>
      </c>
      <c r="H212" s="19">
        <f t="shared" si="10"/>
        <v>100</v>
      </c>
      <c r="I212" s="20">
        <v>0</v>
      </c>
      <c r="J212" s="19">
        <f t="shared" si="11"/>
        <v>100</v>
      </c>
      <c r="K212" s="13" t="s">
        <v>30</v>
      </c>
      <c r="L212" s="13">
        <v>0</v>
      </c>
    </row>
    <row r="213" spans="1:12" s="13" customFormat="1" ht="158.4" x14ac:dyDescent="0.3">
      <c r="A213" s="13" t="s">
        <v>479</v>
      </c>
      <c r="B213" s="13" t="s">
        <v>30</v>
      </c>
      <c r="C213" s="13" t="s">
        <v>480</v>
      </c>
      <c r="D213" s="13" t="s">
        <v>481</v>
      </c>
      <c r="E213" s="13">
        <v>1</v>
      </c>
      <c r="F213" s="13" t="s">
        <v>186</v>
      </c>
      <c r="G213" s="14">
        <v>161.99</v>
      </c>
      <c r="H213" s="15">
        <f t="shared" si="10"/>
        <v>161.99</v>
      </c>
      <c r="I213" s="16">
        <v>0</v>
      </c>
      <c r="J213" s="15">
        <f t="shared" si="11"/>
        <v>161.99</v>
      </c>
      <c r="K213" s="13" t="s">
        <v>30</v>
      </c>
      <c r="L213" s="13">
        <v>0</v>
      </c>
    </row>
    <row r="214" spans="1:12" s="13" customFormat="1" ht="158.4" x14ac:dyDescent="0.3">
      <c r="A214" s="13" t="s">
        <v>482</v>
      </c>
      <c r="B214" s="13" t="s">
        <v>30</v>
      </c>
      <c r="C214" s="13" t="s">
        <v>483</v>
      </c>
      <c r="D214" s="13" t="s">
        <v>484</v>
      </c>
      <c r="E214" s="13">
        <v>1</v>
      </c>
      <c r="F214" s="13" t="s">
        <v>186</v>
      </c>
      <c r="G214" s="14">
        <v>242.74</v>
      </c>
      <c r="H214" s="15">
        <f t="shared" si="10"/>
        <v>242.74</v>
      </c>
      <c r="I214" s="16">
        <v>0</v>
      </c>
      <c r="J214" s="15">
        <f t="shared" si="11"/>
        <v>242.74</v>
      </c>
      <c r="K214" s="13" t="s">
        <v>30</v>
      </c>
      <c r="L214" s="13">
        <v>0</v>
      </c>
    </row>
    <row r="215" spans="1:12" s="13" customFormat="1" ht="158.4" x14ac:dyDescent="0.3">
      <c r="A215" s="13" t="s">
        <v>485</v>
      </c>
      <c r="B215" s="13" t="s">
        <v>30</v>
      </c>
      <c r="C215" s="13" t="s">
        <v>486</v>
      </c>
      <c r="D215" s="13" t="s">
        <v>487</v>
      </c>
      <c r="E215" s="13">
        <v>3</v>
      </c>
      <c r="F215" s="13" t="s">
        <v>186</v>
      </c>
      <c r="G215" s="14">
        <v>92.86</v>
      </c>
      <c r="H215" s="15">
        <f t="shared" si="10"/>
        <v>278.58</v>
      </c>
      <c r="I215" s="16">
        <v>0</v>
      </c>
      <c r="J215" s="15">
        <f t="shared" si="11"/>
        <v>278.58</v>
      </c>
      <c r="K215" s="13" t="s">
        <v>30</v>
      </c>
      <c r="L215" s="13">
        <v>0</v>
      </c>
    </row>
    <row r="216" spans="1:12" s="13" customFormat="1" ht="100.8" x14ac:dyDescent="0.3">
      <c r="A216" s="13" t="s">
        <v>488</v>
      </c>
      <c r="B216" s="13" t="s">
        <v>30</v>
      </c>
      <c r="C216" s="13" t="s">
        <v>489</v>
      </c>
      <c r="D216" s="13" t="s">
        <v>490</v>
      </c>
      <c r="E216" s="13">
        <v>1</v>
      </c>
      <c r="F216" s="13" t="s">
        <v>186</v>
      </c>
      <c r="G216" s="14">
        <v>1200.3800000000001</v>
      </c>
      <c r="H216" s="15">
        <f t="shared" si="10"/>
        <v>1200.3800000000001</v>
      </c>
      <c r="I216" s="16">
        <v>0</v>
      </c>
      <c r="J216" s="15">
        <f t="shared" si="11"/>
        <v>1200.3800000000001</v>
      </c>
      <c r="K216" s="13" t="s">
        <v>30</v>
      </c>
      <c r="L216" s="13">
        <v>0</v>
      </c>
    </row>
    <row r="217" spans="1:12" s="13" customFormat="1" ht="100.8" x14ac:dyDescent="0.3">
      <c r="A217" s="13" t="s">
        <v>491</v>
      </c>
      <c r="B217" s="13" t="s">
        <v>30</v>
      </c>
      <c r="C217" s="13" t="s">
        <v>492</v>
      </c>
      <c r="D217" s="13" t="s">
        <v>493</v>
      </c>
      <c r="E217" s="13">
        <v>1</v>
      </c>
      <c r="F217" s="13" t="s">
        <v>186</v>
      </c>
      <c r="G217" s="14">
        <v>9686.7099999999991</v>
      </c>
      <c r="H217" s="15">
        <f t="shared" si="10"/>
        <v>9686.7099999999991</v>
      </c>
      <c r="I217" s="16">
        <v>0</v>
      </c>
      <c r="J217" s="15">
        <f t="shared" si="11"/>
        <v>9686.7099999999991</v>
      </c>
      <c r="K217" s="13" t="s">
        <v>30</v>
      </c>
      <c r="L217" s="13">
        <v>0</v>
      </c>
    </row>
    <row r="218" spans="1:12" s="13" customFormat="1" ht="86.4" x14ac:dyDescent="0.3">
      <c r="A218" s="13" t="s">
        <v>494</v>
      </c>
      <c r="B218" s="13" t="s">
        <v>30</v>
      </c>
      <c r="C218" s="13" t="s">
        <v>495</v>
      </c>
      <c r="D218" s="13" t="s">
        <v>496</v>
      </c>
      <c r="E218" s="13">
        <v>1</v>
      </c>
      <c r="F218" s="13" t="s">
        <v>186</v>
      </c>
      <c r="G218" s="14">
        <v>340</v>
      </c>
      <c r="H218" s="15">
        <f t="shared" si="10"/>
        <v>340</v>
      </c>
      <c r="I218" s="16">
        <v>0</v>
      </c>
      <c r="J218" s="15">
        <f t="shared" si="11"/>
        <v>340</v>
      </c>
      <c r="K218" s="13" t="s">
        <v>30</v>
      </c>
      <c r="L218" s="13">
        <v>0</v>
      </c>
    </row>
    <row r="219" spans="1:12" s="13" customFormat="1" ht="86.4" x14ac:dyDescent="0.3">
      <c r="A219" s="13" t="s">
        <v>497</v>
      </c>
      <c r="B219" s="13" t="s">
        <v>30</v>
      </c>
      <c r="C219" s="13" t="s">
        <v>495</v>
      </c>
      <c r="D219" s="13" t="s">
        <v>498</v>
      </c>
      <c r="E219" s="13">
        <v>1</v>
      </c>
      <c r="F219" s="13" t="s">
        <v>186</v>
      </c>
      <c r="G219" s="14">
        <v>201.87</v>
      </c>
      <c r="H219" s="15">
        <f t="shared" si="10"/>
        <v>201.87</v>
      </c>
      <c r="I219" s="16">
        <v>0</v>
      </c>
      <c r="J219" s="15">
        <f t="shared" si="11"/>
        <v>201.87</v>
      </c>
      <c r="K219" s="13" t="s">
        <v>30</v>
      </c>
      <c r="L219" s="13">
        <v>0</v>
      </c>
    </row>
    <row r="220" spans="1:12" s="13" customFormat="1" ht="86.4" x14ac:dyDescent="0.3">
      <c r="A220" s="13" t="s">
        <v>499</v>
      </c>
      <c r="B220" s="13" t="s">
        <v>30</v>
      </c>
      <c r="C220" s="13" t="s">
        <v>495</v>
      </c>
      <c r="D220" s="13" t="s">
        <v>500</v>
      </c>
      <c r="E220" s="13">
        <v>2</v>
      </c>
      <c r="F220" s="13" t="s">
        <v>186</v>
      </c>
      <c r="G220" s="14">
        <v>37.28</v>
      </c>
      <c r="H220" s="15">
        <f t="shared" si="10"/>
        <v>74.56</v>
      </c>
      <c r="I220" s="16">
        <v>0</v>
      </c>
      <c r="J220" s="15">
        <f t="shared" si="11"/>
        <v>74.56</v>
      </c>
      <c r="K220" s="13" t="s">
        <v>30</v>
      </c>
      <c r="L220" s="13">
        <v>0</v>
      </c>
    </row>
    <row r="221" spans="1:12" s="13" customFormat="1" ht="86.4" x14ac:dyDescent="0.3">
      <c r="A221" s="13" t="s">
        <v>501</v>
      </c>
      <c r="B221" s="13" t="s">
        <v>30</v>
      </c>
      <c r="C221" s="13" t="s">
        <v>495</v>
      </c>
      <c r="D221" s="13" t="s">
        <v>502</v>
      </c>
      <c r="E221" s="13">
        <v>1</v>
      </c>
      <c r="F221" s="13" t="s">
        <v>186</v>
      </c>
      <c r="G221" s="14">
        <v>217.4</v>
      </c>
      <c r="H221" s="15">
        <f t="shared" si="10"/>
        <v>217.4</v>
      </c>
      <c r="I221" s="16">
        <v>0</v>
      </c>
      <c r="J221" s="15">
        <f t="shared" si="11"/>
        <v>217.4</v>
      </c>
      <c r="K221" s="13" t="s">
        <v>30</v>
      </c>
      <c r="L221" s="13">
        <v>0</v>
      </c>
    </row>
    <row r="222" spans="1:12" s="13" customFormat="1" ht="86.4" x14ac:dyDescent="0.3">
      <c r="A222" s="13" t="s">
        <v>503</v>
      </c>
      <c r="B222" s="13" t="s">
        <v>30</v>
      </c>
      <c r="C222" s="13" t="s">
        <v>495</v>
      </c>
      <c r="D222" s="13" t="s">
        <v>504</v>
      </c>
      <c r="E222" s="13">
        <v>1</v>
      </c>
      <c r="F222" s="13" t="s">
        <v>186</v>
      </c>
      <c r="G222" s="14">
        <v>37.76</v>
      </c>
      <c r="H222" s="15">
        <f t="shared" si="10"/>
        <v>37.76</v>
      </c>
      <c r="I222" s="16">
        <v>0</v>
      </c>
      <c r="J222" s="15">
        <f t="shared" si="11"/>
        <v>37.76</v>
      </c>
      <c r="K222" s="13" t="s">
        <v>30</v>
      </c>
      <c r="L222" s="13">
        <v>0</v>
      </c>
    </row>
    <row r="223" spans="1:12" s="13" customFormat="1" ht="86.4" x14ac:dyDescent="0.3">
      <c r="A223" s="13" t="s">
        <v>505</v>
      </c>
      <c r="B223" s="13" t="s">
        <v>30</v>
      </c>
      <c r="C223" s="13" t="s">
        <v>495</v>
      </c>
      <c r="D223" s="13" t="s">
        <v>506</v>
      </c>
      <c r="E223" s="13">
        <v>2</v>
      </c>
      <c r="F223" s="13" t="s">
        <v>186</v>
      </c>
      <c r="G223" s="14">
        <v>114.42</v>
      </c>
      <c r="H223" s="15">
        <f t="shared" si="10"/>
        <v>228.84</v>
      </c>
      <c r="I223" s="16">
        <v>0</v>
      </c>
      <c r="J223" s="15">
        <f t="shared" si="11"/>
        <v>228.84</v>
      </c>
      <c r="K223" s="13" t="s">
        <v>30</v>
      </c>
      <c r="L223" s="13">
        <v>0</v>
      </c>
    </row>
    <row r="224" spans="1:12" s="13" customFormat="1" ht="86.4" x14ac:dyDescent="0.3">
      <c r="A224" s="13" t="s">
        <v>507</v>
      </c>
      <c r="B224" s="13" t="s">
        <v>30</v>
      </c>
      <c r="C224" s="13" t="s">
        <v>495</v>
      </c>
      <c r="D224" s="13" t="s">
        <v>508</v>
      </c>
      <c r="E224" s="13">
        <v>2</v>
      </c>
      <c r="F224" s="13" t="s">
        <v>186</v>
      </c>
      <c r="G224" s="14">
        <v>35.01</v>
      </c>
      <c r="H224" s="15">
        <f t="shared" si="10"/>
        <v>70.02</v>
      </c>
      <c r="I224" s="16">
        <v>0</v>
      </c>
      <c r="J224" s="15">
        <f t="shared" si="11"/>
        <v>70.02</v>
      </c>
      <c r="K224" s="13" t="s">
        <v>30</v>
      </c>
      <c r="L224" s="13">
        <v>0</v>
      </c>
    </row>
    <row r="225" spans="1:12" s="13" customFormat="1" ht="86.4" x14ac:dyDescent="0.3">
      <c r="A225" s="13" t="s">
        <v>509</v>
      </c>
      <c r="B225" s="13" t="s">
        <v>30</v>
      </c>
      <c r="C225" s="13" t="s">
        <v>495</v>
      </c>
      <c r="D225" s="13" t="s">
        <v>510</v>
      </c>
      <c r="E225" s="13">
        <v>1</v>
      </c>
      <c r="F225" s="13" t="s">
        <v>186</v>
      </c>
      <c r="G225" s="14">
        <v>320.38</v>
      </c>
      <c r="H225" s="15">
        <f t="shared" si="10"/>
        <v>320.38</v>
      </c>
      <c r="I225" s="16">
        <v>0</v>
      </c>
      <c r="J225" s="15">
        <f t="shared" si="11"/>
        <v>320.38</v>
      </c>
      <c r="K225" s="13" t="s">
        <v>30</v>
      </c>
      <c r="L225" s="13">
        <v>0</v>
      </c>
    </row>
    <row r="226" spans="1:12" s="13" customFormat="1" ht="86.4" x14ac:dyDescent="0.3">
      <c r="A226" s="13" t="s">
        <v>511</v>
      </c>
      <c r="B226" s="13" t="s">
        <v>30</v>
      </c>
      <c r="C226" s="13" t="s">
        <v>495</v>
      </c>
      <c r="D226" s="13" t="s">
        <v>512</v>
      </c>
      <c r="E226" s="13">
        <v>2</v>
      </c>
      <c r="F226" s="13" t="s">
        <v>186</v>
      </c>
      <c r="G226" s="14">
        <v>117.33</v>
      </c>
      <c r="H226" s="15">
        <f t="shared" si="10"/>
        <v>234.66</v>
      </c>
      <c r="I226" s="16">
        <v>0</v>
      </c>
      <c r="J226" s="15">
        <f t="shared" si="11"/>
        <v>234.66</v>
      </c>
      <c r="K226" s="13" t="s">
        <v>30</v>
      </c>
      <c r="L226" s="13">
        <v>0</v>
      </c>
    </row>
    <row r="227" spans="1:12" s="13" customFormat="1" ht="86.4" x14ac:dyDescent="0.3">
      <c r="A227" s="13" t="s">
        <v>513</v>
      </c>
      <c r="B227" s="13" t="s">
        <v>30</v>
      </c>
      <c r="C227" s="13" t="s">
        <v>514</v>
      </c>
      <c r="D227" s="13" t="s">
        <v>515</v>
      </c>
      <c r="E227" s="13">
        <v>3</v>
      </c>
      <c r="G227" s="14">
        <v>263.17</v>
      </c>
      <c r="H227" s="15">
        <f t="shared" si="10"/>
        <v>789.51</v>
      </c>
      <c r="I227" s="16">
        <v>0</v>
      </c>
      <c r="J227" s="15">
        <f t="shared" si="11"/>
        <v>789.51</v>
      </c>
      <c r="K227" s="13" t="s">
        <v>30</v>
      </c>
      <c r="L227" s="13">
        <v>0</v>
      </c>
    </row>
    <row r="228" spans="1:12" s="13" customFormat="1" ht="86.4" x14ac:dyDescent="0.3">
      <c r="A228" s="13" t="s">
        <v>516</v>
      </c>
      <c r="B228" s="13" t="s">
        <v>30</v>
      </c>
      <c r="C228" s="13" t="s">
        <v>514</v>
      </c>
      <c r="D228" s="13" t="s">
        <v>517</v>
      </c>
      <c r="E228" s="13">
        <v>6</v>
      </c>
      <c r="G228" s="14">
        <v>97.42</v>
      </c>
      <c r="H228" s="15">
        <f t="shared" si="10"/>
        <v>584.52</v>
      </c>
      <c r="I228" s="16">
        <v>0</v>
      </c>
      <c r="J228" s="15">
        <f t="shared" si="11"/>
        <v>584.52</v>
      </c>
      <c r="K228" s="13" t="s">
        <v>30</v>
      </c>
      <c r="L228" s="13">
        <v>0</v>
      </c>
    </row>
    <row r="229" spans="1:12" s="13" customFormat="1" ht="28.8" x14ac:dyDescent="0.3">
      <c r="A229" s="13" t="s">
        <v>518</v>
      </c>
      <c r="B229" s="13" t="s">
        <v>30</v>
      </c>
      <c r="C229" s="13" t="s">
        <v>519</v>
      </c>
      <c r="D229" s="13" t="s">
        <v>520</v>
      </c>
      <c r="E229" s="13">
        <v>3</v>
      </c>
      <c r="G229" s="14">
        <v>34.33</v>
      </c>
      <c r="H229" s="15">
        <f t="shared" si="10"/>
        <v>102.99</v>
      </c>
      <c r="I229" s="16">
        <v>0</v>
      </c>
      <c r="J229" s="15">
        <f t="shared" si="11"/>
        <v>102.99</v>
      </c>
      <c r="K229" s="13" t="s">
        <v>30</v>
      </c>
      <c r="L229" s="13">
        <v>0</v>
      </c>
    </row>
    <row r="230" spans="1:12" s="13" customFormat="1" ht="57.6" x14ac:dyDescent="0.3">
      <c r="A230" s="13" t="s">
        <v>521</v>
      </c>
      <c r="B230" s="13" t="s">
        <v>30</v>
      </c>
      <c r="C230" s="13" t="s">
        <v>522</v>
      </c>
      <c r="D230" s="13" t="s">
        <v>523</v>
      </c>
      <c r="E230" s="13">
        <v>1</v>
      </c>
      <c r="F230" s="13" t="s">
        <v>186</v>
      </c>
      <c r="G230" s="14">
        <v>308.94</v>
      </c>
      <c r="H230" s="15">
        <f t="shared" si="10"/>
        <v>308.94</v>
      </c>
      <c r="I230" s="16">
        <v>0</v>
      </c>
      <c r="J230" s="15">
        <f t="shared" si="11"/>
        <v>308.94</v>
      </c>
      <c r="K230" s="13" t="s">
        <v>30</v>
      </c>
      <c r="L230" s="13">
        <v>0</v>
      </c>
    </row>
    <row r="231" spans="1:12" s="13" customFormat="1" ht="57.6" x14ac:dyDescent="0.3">
      <c r="A231" s="13" t="s">
        <v>524</v>
      </c>
      <c r="B231" s="13" t="s">
        <v>30</v>
      </c>
      <c r="C231" s="13" t="s">
        <v>522</v>
      </c>
      <c r="D231" s="13" t="s">
        <v>525</v>
      </c>
      <c r="E231" s="13">
        <v>2</v>
      </c>
      <c r="F231" s="13" t="s">
        <v>186</v>
      </c>
      <c r="G231" s="14">
        <v>56.27</v>
      </c>
      <c r="H231" s="15">
        <f t="shared" si="10"/>
        <v>112.54</v>
      </c>
      <c r="I231" s="16">
        <v>0</v>
      </c>
      <c r="J231" s="15">
        <f t="shared" si="11"/>
        <v>112.54</v>
      </c>
      <c r="K231" s="13" t="s">
        <v>30</v>
      </c>
      <c r="L231" s="13">
        <v>0</v>
      </c>
    </row>
    <row r="232" spans="1:12" s="13" customFormat="1" ht="57.6" x14ac:dyDescent="0.3">
      <c r="A232" s="13" t="s">
        <v>526</v>
      </c>
      <c r="B232" s="13" t="s">
        <v>30</v>
      </c>
      <c r="C232" s="13" t="s">
        <v>527</v>
      </c>
      <c r="D232" s="13" t="s">
        <v>528</v>
      </c>
      <c r="E232" s="13">
        <v>1</v>
      </c>
      <c r="F232" s="13" t="s">
        <v>186</v>
      </c>
      <c r="G232" s="14">
        <v>4725.62</v>
      </c>
      <c r="H232" s="15">
        <f t="shared" si="10"/>
        <v>4725.62</v>
      </c>
      <c r="I232" s="16">
        <v>0</v>
      </c>
      <c r="J232" s="15">
        <f t="shared" si="11"/>
        <v>4725.62</v>
      </c>
      <c r="K232" s="13" t="s">
        <v>30</v>
      </c>
      <c r="L232" s="13">
        <v>0</v>
      </c>
    </row>
    <row r="233" spans="1:12" s="13" customFormat="1" ht="57.6" x14ac:dyDescent="0.3">
      <c r="A233" s="13" t="s">
        <v>529</v>
      </c>
      <c r="B233" s="13" t="s">
        <v>30</v>
      </c>
      <c r="C233" s="13" t="s">
        <v>527</v>
      </c>
      <c r="D233" s="13" t="s">
        <v>528</v>
      </c>
      <c r="E233" s="13">
        <v>2</v>
      </c>
      <c r="F233" s="13" t="s">
        <v>186</v>
      </c>
      <c r="G233" s="14">
        <v>4725.62</v>
      </c>
      <c r="H233" s="15">
        <f t="shared" si="10"/>
        <v>9451.24</v>
      </c>
      <c r="I233" s="16">
        <v>0</v>
      </c>
      <c r="J233" s="15">
        <f t="shared" si="11"/>
        <v>9451.24</v>
      </c>
      <c r="K233" s="13" t="s">
        <v>30</v>
      </c>
      <c r="L233" s="13">
        <v>0</v>
      </c>
    </row>
    <row r="234" spans="1:12" s="13" customFormat="1" ht="57.6" x14ac:dyDescent="0.3">
      <c r="A234" s="13" t="s">
        <v>530</v>
      </c>
      <c r="B234" s="13" t="s">
        <v>30</v>
      </c>
      <c r="C234" s="13" t="s">
        <v>531</v>
      </c>
      <c r="D234" s="13" t="s">
        <v>532</v>
      </c>
      <c r="E234" s="13">
        <v>2</v>
      </c>
      <c r="F234" s="13" t="s">
        <v>186</v>
      </c>
      <c r="G234" s="14">
        <v>34.29</v>
      </c>
      <c r="H234" s="15">
        <f t="shared" si="10"/>
        <v>68.58</v>
      </c>
      <c r="I234" s="16">
        <v>0</v>
      </c>
      <c r="J234" s="15">
        <f t="shared" si="11"/>
        <v>68.58</v>
      </c>
      <c r="K234" s="13" t="s">
        <v>30</v>
      </c>
      <c r="L234" s="13">
        <v>0</v>
      </c>
    </row>
    <row r="235" spans="1:12" s="13" customFormat="1" ht="57.6" x14ac:dyDescent="0.3">
      <c r="A235" s="13" t="s">
        <v>533</v>
      </c>
      <c r="B235" s="13" t="s">
        <v>30</v>
      </c>
      <c r="C235" s="13" t="s">
        <v>531</v>
      </c>
      <c r="D235" s="13" t="s">
        <v>534</v>
      </c>
      <c r="E235" s="13">
        <v>2</v>
      </c>
      <c r="F235" s="13" t="s">
        <v>186</v>
      </c>
      <c r="G235" s="14">
        <v>8.17</v>
      </c>
      <c r="H235" s="15">
        <f t="shared" si="10"/>
        <v>16.34</v>
      </c>
      <c r="I235" s="16">
        <v>0</v>
      </c>
      <c r="J235" s="15">
        <f t="shared" si="11"/>
        <v>16.34</v>
      </c>
      <c r="K235" s="13" t="s">
        <v>30</v>
      </c>
      <c r="L235" s="13">
        <v>0</v>
      </c>
    </row>
    <row r="236" spans="1:12" s="13" customFormat="1" ht="86.4" x14ac:dyDescent="0.3">
      <c r="A236" s="13" t="s">
        <v>535</v>
      </c>
      <c r="B236" s="13" t="s">
        <v>30</v>
      </c>
      <c r="C236" s="13" t="s">
        <v>495</v>
      </c>
      <c r="D236" s="13" t="s">
        <v>536</v>
      </c>
      <c r="E236" s="13">
        <v>3</v>
      </c>
      <c r="F236" s="13" t="s">
        <v>186</v>
      </c>
      <c r="G236" s="14">
        <v>873.15</v>
      </c>
      <c r="H236" s="15">
        <f t="shared" si="10"/>
        <v>2619.4499999999998</v>
      </c>
      <c r="I236" s="16">
        <v>0</v>
      </c>
      <c r="J236" s="15">
        <f t="shared" si="11"/>
        <v>2619.4499999999998</v>
      </c>
      <c r="K236" s="13" t="s">
        <v>30</v>
      </c>
      <c r="L236" s="13">
        <v>0</v>
      </c>
    </row>
    <row r="237" spans="1:12" s="13" customFormat="1" ht="86.4" x14ac:dyDescent="0.3">
      <c r="A237" s="13" t="s">
        <v>537</v>
      </c>
      <c r="B237" s="13" t="s">
        <v>30</v>
      </c>
      <c r="C237" s="13" t="s">
        <v>495</v>
      </c>
      <c r="D237" s="13" t="s">
        <v>538</v>
      </c>
      <c r="E237" s="13">
        <v>3</v>
      </c>
      <c r="F237" s="13" t="s">
        <v>186</v>
      </c>
      <c r="G237" s="14">
        <v>28.72</v>
      </c>
      <c r="H237" s="15">
        <f t="shared" si="10"/>
        <v>86.16</v>
      </c>
      <c r="I237" s="16">
        <v>0</v>
      </c>
      <c r="J237" s="15">
        <f t="shared" si="11"/>
        <v>86.16</v>
      </c>
      <c r="K237" s="13" t="s">
        <v>30</v>
      </c>
      <c r="L237" s="13">
        <v>0</v>
      </c>
    </row>
    <row r="238" spans="1:12" s="13" customFormat="1" ht="86.4" x14ac:dyDescent="0.3">
      <c r="A238" s="13" t="s">
        <v>539</v>
      </c>
      <c r="B238" s="13" t="s">
        <v>30</v>
      </c>
      <c r="C238" s="13" t="s">
        <v>495</v>
      </c>
      <c r="D238" s="13" t="s">
        <v>538</v>
      </c>
      <c r="E238" s="13">
        <v>3</v>
      </c>
      <c r="F238" s="13" t="s">
        <v>186</v>
      </c>
      <c r="G238" s="14">
        <v>28.72</v>
      </c>
      <c r="H238" s="15">
        <f t="shared" si="10"/>
        <v>86.16</v>
      </c>
      <c r="I238" s="16">
        <v>0</v>
      </c>
      <c r="J238" s="15">
        <f t="shared" si="11"/>
        <v>86.16</v>
      </c>
      <c r="K238" s="13" t="s">
        <v>30</v>
      </c>
      <c r="L238" s="13">
        <v>0</v>
      </c>
    </row>
    <row r="239" spans="1:12" s="13" customFormat="1" ht="86.4" x14ac:dyDescent="0.3">
      <c r="A239" s="13" t="s">
        <v>540</v>
      </c>
      <c r="B239" s="13" t="s">
        <v>30</v>
      </c>
      <c r="C239" s="13" t="s">
        <v>495</v>
      </c>
      <c r="D239" s="13" t="s">
        <v>541</v>
      </c>
      <c r="E239" s="13">
        <v>3</v>
      </c>
      <c r="F239" s="13" t="s">
        <v>186</v>
      </c>
      <c r="G239" s="14">
        <v>82.95</v>
      </c>
      <c r="H239" s="15">
        <f t="shared" si="10"/>
        <v>248.85</v>
      </c>
      <c r="I239" s="16">
        <v>0</v>
      </c>
      <c r="J239" s="15">
        <f t="shared" si="11"/>
        <v>248.85</v>
      </c>
      <c r="K239" s="13" t="s">
        <v>30</v>
      </c>
      <c r="L239" s="13">
        <v>0</v>
      </c>
    </row>
    <row r="240" spans="1:12" s="13" customFormat="1" ht="86.4" x14ac:dyDescent="0.3">
      <c r="A240" s="13" t="s">
        <v>542</v>
      </c>
      <c r="B240" s="13" t="s">
        <v>30</v>
      </c>
      <c r="C240" s="13" t="s">
        <v>495</v>
      </c>
      <c r="D240" s="13" t="s">
        <v>541</v>
      </c>
      <c r="E240" s="13">
        <v>3</v>
      </c>
      <c r="F240" s="13" t="s">
        <v>186</v>
      </c>
      <c r="G240" s="14">
        <v>82.95</v>
      </c>
      <c r="H240" s="15">
        <f t="shared" si="10"/>
        <v>248.85</v>
      </c>
      <c r="I240" s="16">
        <v>0</v>
      </c>
      <c r="J240" s="15">
        <f t="shared" si="11"/>
        <v>248.85</v>
      </c>
      <c r="K240" s="13" t="s">
        <v>30</v>
      </c>
      <c r="L240" s="13">
        <v>0</v>
      </c>
    </row>
    <row r="241" spans="1:12" s="13" customFormat="1" ht="86.4" x14ac:dyDescent="0.3">
      <c r="A241" s="13" t="s">
        <v>543</v>
      </c>
      <c r="B241" s="13" t="s">
        <v>30</v>
      </c>
      <c r="C241" s="13" t="s">
        <v>495</v>
      </c>
      <c r="D241" s="13" t="s">
        <v>544</v>
      </c>
      <c r="E241" s="13">
        <v>3</v>
      </c>
      <c r="F241" s="13" t="s">
        <v>186</v>
      </c>
      <c r="G241" s="14">
        <v>24.52</v>
      </c>
      <c r="H241" s="15">
        <f t="shared" si="10"/>
        <v>73.56</v>
      </c>
      <c r="I241" s="16">
        <v>0</v>
      </c>
      <c r="J241" s="15">
        <f t="shared" si="11"/>
        <v>73.56</v>
      </c>
      <c r="K241" s="13" t="s">
        <v>30</v>
      </c>
      <c r="L241" s="13">
        <v>0</v>
      </c>
    </row>
    <row r="242" spans="1:12" s="13" customFormat="1" ht="86.4" x14ac:dyDescent="0.3">
      <c r="A242" s="13" t="s">
        <v>545</v>
      </c>
      <c r="B242" s="13" t="s">
        <v>30</v>
      </c>
      <c r="C242" s="13" t="s">
        <v>495</v>
      </c>
      <c r="D242" s="13" t="s">
        <v>546</v>
      </c>
      <c r="E242" s="13">
        <v>3</v>
      </c>
      <c r="F242" s="13" t="s">
        <v>186</v>
      </c>
      <c r="G242" s="14">
        <v>50.24</v>
      </c>
      <c r="H242" s="15">
        <f t="shared" si="10"/>
        <v>150.72</v>
      </c>
      <c r="I242" s="16">
        <v>0</v>
      </c>
      <c r="J242" s="15">
        <f t="shared" si="11"/>
        <v>150.72</v>
      </c>
      <c r="K242" s="13" t="s">
        <v>30</v>
      </c>
      <c r="L242" s="13">
        <v>0</v>
      </c>
    </row>
    <row r="243" spans="1:12" s="13" customFormat="1" ht="86.4" x14ac:dyDescent="0.3">
      <c r="A243" s="13" t="s">
        <v>547</v>
      </c>
      <c r="B243" s="13" t="s">
        <v>30</v>
      </c>
      <c r="C243" s="13" t="s">
        <v>495</v>
      </c>
      <c r="D243" s="13" t="s">
        <v>548</v>
      </c>
      <c r="E243" s="13">
        <v>3</v>
      </c>
      <c r="F243" s="13" t="s">
        <v>186</v>
      </c>
      <c r="G243" s="14">
        <v>245.19</v>
      </c>
      <c r="H243" s="15">
        <f t="shared" si="10"/>
        <v>735.57</v>
      </c>
      <c r="I243" s="16">
        <v>0</v>
      </c>
      <c r="J243" s="15">
        <f t="shared" si="11"/>
        <v>735.57</v>
      </c>
      <c r="K243" s="13" t="s">
        <v>30</v>
      </c>
      <c r="L243" s="13">
        <v>0</v>
      </c>
    </row>
    <row r="244" spans="1:12" s="13" customFormat="1" ht="86.4" x14ac:dyDescent="0.3">
      <c r="A244" s="13" t="s">
        <v>549</v>
      </c>
      <c r="B244" s="13" t="s">
        <v>30</v>
      </c>
      <c r="C244" s="13" t="s">
        <v>495</v>
      </c>
      <c r="D244" s="13" t="s">
        <v>550</v>
      </c>
      <c r="E244" s="13">
        <v>3</v>
      </c>
      <c r="F244" s="13" t="s">
        <v>186</v>
      </c>
      <c r="G244" s="14">
        <v>181.9</v>
      </c>
      <c r="H244" s="15">
        <f t="shared" si="10"/>
        <v>545.70000000000005</v>
      </c>
      <c r="I244" s="16">
        <v>0</v>
      </c>
      <c r="J244" s="15">
        <f t="shared" si="11"/>
        <v>545.70000000000005</v>
      </c>
      <c r="K244" s="13" t="s">
        <v>30</v>
      </c>
      <c r="L244" s="13">
        <v>0</v>
      </c>
    </row>
    <row r="245" spans="1:12" s="13" customFormat="1" ht="86.4" x14ac:dyDescent="0.3">
      <c r="A245" s="13" t="s">
        <v>551</v>
      </c>
      <c r="B245" s="13" t="s">
        <v>30</v>
      </c>
      <c r="C245" s="13" t="s">
        <v>495</v>
      </c>
      <c r="D245" s="13" t="s">
        <v>552</v>
      </c>
      <c r="E245" s="13">
        <v>3</v>
      </c>
      <c r="F245" s="13" t="s">
        <v>186</v>
      </c>
      <c r="G245" s="14">
        <v>32.83</v>
      </c>
      <c r="H245" s="15">
        <f t="shared" si="10"/>
        <v>98.49</v>
      </c>
      <c r="I245" s="16">
        <v>0</v>
      </c>
      <c r="J245" s="15">
        <f t="shared" si="11"/>
        <v>98.49</v>
      </c>
      <c r="K245" s="13" t="s">
        <v>30</v>
      </c>
      <c r="L245" s="13">
        <v>0</v>
      </c>
    </row>
    <row r="246" spans="1:12" s="13" customFormat="1" ht="86.4" x14ac:dyDescent="0.3">
      <c r="A246" s="13" t="s">
        <v>553</v>
      </c>
      <c r="B246" s="13" t="s">
        <v>30</v>
      </c>
      <c r="C246" s="13" t="s">
        <v>514</v>
      </c>
      <c r="D246" s="13" t="s">
        <v>554</v>
      </c>
      <c r="E246" s="13">
        <v>3</v>
      </c>
      <c r="F246" s="13" t="s">
        <v>186</v>
      </c>
      <c r="G246" s="14">
        <v>162.96</v>
      </c>
      <c r="H246" s="15">
        <f t="shared" si="10"/>
        <v>488.88</v>
      </c>
      <c r="I246" s="16">
        <v>0</v>
      </c>
      <c r="J246" s="15">
        <f t="shared" si="11"/>
        <v>488.88</v>
      </c>
      <c r="K246" s="13" t="s">
        <v>30</v>
      </c>
      <c r="L246" s="13">
        <v>0</v>
      </c>
    </row>
    <row r="247" spans="1:12" s="11" customFormat="1" x14ac:dyDescent="0.3">
      <c r="A247" s="11" t="s">
        <v>555</v>
      </c>
      <c r="C247" s="11" t="s">
        <v>556</v>
      </c>
      <c r="G247" s="11">
        <v>0</v>
      </c>
      <c r="H247" s="12">
        <f>SUM(H248,H249,H250,H251,H252,H253,H254,H255,H256,H257,H258)</f>
        <v>19576.009999999998</v>
      </c>
      <c r="J247" s="12">
        <f>SUM(J248,J249,J250,J251,J252,J253,J254,J255,J256,J257,J258)</f>
        <v>19576.009999999998</v>
      </c>
    </row>
    <row r="248" spans="1:12" s="13" customFormat="1" ht="302.39999999999998" x14ac:dyDescent="0.3">
      <c r="A248" s="13" t="s">
        <v>557</v>
      </c>
      <c r="B248" s="13" t="s">
        <v>30</v>
      </c>
      <c r="C248" s="13" t="s">
        <v>558</v>
      </c>
      <c r="D248" s="13" t="s">
        <v>559</v>
      </c>
      <c r="E248" s="13">
        <v>20</v>
      </c>
      <c r="F248" s="13" t="s">
        <v>48</v>
      </c>
      <c r="G248" s="14">
        <v>23.22</v>
      </c>
      <c r="H248" s="15">
        <f t="shared" ref="H248:H258" si="12">IF(AND(ISNUMBER(E248),ISNUMBER(G248)),ROUND(PRODUCT(PRODUCT(E248, G248), 1 - L248), 2),"")</f>
        <v>464.4</v>
      </c>
      <c r="I248" s="16">
        <v>0</v>
      </c>
      <c r="J248" s="15">
        <f t="shared" ref="J248:J258" si="13">IF(AND(ISNUMBER(H248)),ROUND(PRODUCT(H248, SUM(I248,"1")), 2),"")</f>
        <v>464.4</v>
      </c>
      <c r="K248" s="13" t="s">
        <v>30</v>
      </c>
      <c r="L248" s="13">
        <v>0</v>
      </c>
    </row>
    <row r="249" spans="1:12" s="13" customFormat="1" ht="302.39999999999998" x14ac:dyDescent="0.3">
      <c r="A249" s="13" t="s">
        <v>560</v>
      </c>
      <c r="B249" s="13" t="s">
        <v>30</v>
      </c>
      <c r="C249" s="13" t="s">
        <v>561</v>
      </c>
      <c r="D249" s="13" t="s">
        <v>562</v>
      </c>
      <c r="E249" s="13">
        <v>20</v>
      </c>
      <c r="F249" s="13" t="s">
        <v>48</v>
      </c>
      <c r="G249" s="14">
        <v>11.26</v>
      </c>
      <c r="H249" s="15">
        <f t="shared" si="12"/>
        <v>225.2</v>
      </c>
      <c r="I249" s="16">
        <v>0</v>
      </c>
      <c r="J249" s="15">
        <f t="shared" si="13"/>
        <v>225.2</v>
      </c>
      <c r="K249" s="13" t="s">
        <v>30</v>
      </c>
      <c r="L249" s="13">
        <v>0</v>
      </c>
    </row>
    <row r="250" spans="1:12" s="13" customFormat="1" ht="302.39999999999998" x14ac:dyDescent="0.3">
      <c r="A250" s="13" t="s">
        <v>563</v>
      </c>
      <c r="B250" s="13" t="s">
        <v>30</v>
      </c>
      <c r="C250" s="13" t="s">
        <v>564</v>
      </c>
      <c r="D250" s="13" t="s">
        <v>565</v>
      </c>
      <c r="E250" s="13">
        <v>65</v>
      </c>
      <c r="F250" s="13" t="s">
        <v>48</v>
      </c>
      <c r="G250" s="14">
        <v>15.05</v>
      </c>
      <c r="H250" s="15">
        <f t="shared" si="12"/>
        <v>978.25</v>
      </c>
      <c r="I250" s="16">
        <v>0</v>
      </c>
      <c r="J250" s="15">
        <f t="shared" si="13"/>
        <v>978.25</v>
      </c>
      <c r="K250" s="13" t="s">
        <v>30</v>
      </c>
      <c r="L250" s="13">
        <v>0</v>
      </c>
    </row>
    <row r="251" spans="1:12" s="13" customFormat="1" ht="302.39999999999998" x14ac:dyDescent="0.3">
      <c r="A251" s="13" t="s">
        <v>566</v>
      </c>
      <c r="B251" s="13" t="s">
        <v>30</v>
      </c>
      <c r="C251" s="13" t="s">
        <v>567</v>
      </c>
      <c r="D251" s="13" t="s">
        <v>568</v>
      </c>
      <c r="E251" s="13">
        <v>15</v>
      </c>
      <c r="F251" s="13" t="s">
        <v>48</v>
      </c>
      <c r="G251" s="14">
        <v>20.94</v>
      </c>
      <c r="H251" s="15">
        <f t="shared" si="12"/>
        <v>314.10000000000002</v>
      </c>
      <c r="I251" s="16">
        <v>0</v>
      </c>
      <c r="J251" s="15">
        <f t="shared" si="13"/>
        <v>314.10000000000002</v>
      </c>
      <c r="K251" s="13" t="s">
        <v>30</v>
      </c>
      <c r="L251" s="13">
        <v>0</v>
      </c>
    </row>
    <row r="252" spans="1:12" s="13" customFormat="1" ht="302.39999999999998" x14ac:dyDescent="0.3">
      <c r="A252" s="13" t="s">
        <v>569</v>
      </c>
      <c r="B252" s="13" t="s">
        <v>30</v>
      </c>
      <c r="C252" s="13" t="s">
        <v>570</v>
      </c>
      <c r="D252" s="13" t="s">
        <v>571</v>
      </c>
      <c r="E252" s="13">
        <v>120</v>
      </c>
      <c r="F252" s="13" t="s">
        <v>48</v>
      </c>
      <c r="G252" s="14">
        <v>33.81</v>
      </c>
      <c r="H252" s="15">
        <f t="shared" si="12"/>
        <v>4057.2</v>
      </c>
      <c r="I252" s="16">
        <v>0</v>
      </c>
      <c r="J252" s="15">
        <f t="shared" si="13"/>
        <v>4057.2</v>
      </c>
      <c r="K252" s="13" t="s">
        <v>30</v>
      </c>
      <c r="L252" s="13">
        <v>0</v>
      </c>
    </row>
    <row r="253" spans="1:12" s="13" customFormat="1" ht="273.60000000000002" x14ac:dyDescent="0.3">
      <c r="A253" s="13" t="s">
        <v>572</v>
      </c>
      <c r="B253" s="13" t="s">
        <v>30</v>
      </c>
      <c r="C253" s="13" t="s">
        <v>573</v>
      </c>
      <c r="D253" s="13" t="s">
        <v>574</v>
      </c>
      <c r="E253" s="13">
        <v>1</v>
      </c>
      <c r="F253" s="13" t="s">
        <v>186</v>
      </c>
      <c r="G253" s="14">
        <v>721.02</v>
      </c>
      <c r="H253" s="15">
        <f t="shared" si="12"/>
        <v>721.02</v>
      </c>
      <c r="I253" s="16">
        <v>0</v>
      </c>
      <c r="J253" s="15">
        <f t="shared" si="13"/>
        <v>721.02</v>
      </c>
      <c r="K253" s="13" t="s">
        <v>30</v>
      </c>
      <c r="L253" s="13">
        <v>0</v>
      </c>
    </row>
    <row r="254" spans="1:12" s="13" customFormat="1" ht="288" x14ac:dyDescent="0.3">
      <c r="A254" s="13" t="s">
        <v>575</v>
      </c>
      <c r="B254" s="13" t="s">
        <v>30</v>
      </c>
      <c r="C254" s="13" t="s">
        <v>576</v>
      </c>
      <c r="D254" s="13" t="s">
        <v>577</v>
      </c>
      <c r="E254" s="13">
        <v>7</v>
      </c>
      <c r="F254" s="13" t="s">
        <v>186</v>
      </c>
      <c r="G254" s="14">
        <v>1048.6400000000001</v>
      </c>
      <c r="H254" s="15">
        <f t="shared" si="12"/>
        <v>7340.48</v>
      </c>
      <c r="I254" s="16">
        <v>0</v>
      </c>
      <c r="J254" s="15">
        <f t="shared" si="13"/>
        <v>7340.48</v>
      </c>
      <c r="K254" s="13" t="s">
        <v>30</v>
      </c>
      <c r="L254" s="13">
        <v>0</v>
      </c>
    </row>
    <row r="255" spans="1:12" s="13" customFormat="1" ht="331.2" x14ac:dyDescent="0.3">
      <c r="A255" s="13" t="s">
        <v>578</v>
      </c>
      <c r="B255" s="13" t="s">
        <v>30</v>
      </c>
      <c r="C255" s="13" t="s">
        <v>579</v>
      </c>
      <c r="D255" s="13" t="s">
        <v>580</v>
      </c>
      <c r="E255" s="13">
        <v>6</v>
      </c>
      <c r="F255" s="13" t="s">
        <v>186</v>
      </c>
      <c r="G255" s="14">
        <v>434.26</v>
      </c>
      <c r="H255" s="15">
        <f t="shared" si="12"/>
        <v>2605.56</v>
      </c>
      <c r="I255" s="16">
        <v>0</v>
      </c>
      <c r="J255" s="15">
        <f t="shared" si="13"/>
        <v>2605.56</v>
      </c>
      <c r="K255" s="13" t="s">
        <v>30</v>
      </c>
      <c r="L255" s="13">
        <v>0</v>
      </c>
    </row>
    <row r="256" spans="1:12" s="13" customFormat="1" ht="288" x14ac:dyDescent="0.3">
      <c r="A256" s="13" t="s">
        <v>581</v>
      </c>
      <c r="B256" s="13" t="s">
        <v>30</v>
      </c>
      <c r="C256" s="13" t="s">
        <v>582</v>
      </c>
      <c r="D256" s="13" t="s">
        <v>583</v>
      </c>
      <c r="E256" s="13">
        <v>1</v>
      </c>
      <c r="F256" s="13" t="s">
        <v>186</v>
      </c>
      <c r="G256" s="14">
        <v>1202.53</v>
      </c>
      <c r="H256" s="15">
        <f t="shared" si="12"/>
        <v>1202.53</v>
      </c>
      <c r="I256" s="16">
        <v>0</v>
      </c>
      <c r="J256" s="15">
        <f t="shared" si="13"/>
        <v>1202.53</v>
      </c>
      <c r="K256" s="13" t="s">
        <v>30</v>
      </c>
      <c r="L256" s="13">
        <v>0</v>
      </c>
    </row>
    <row r="257" spans="1:12" s="13" customFormat="1" ht="28.8" x14ac:dyDescent="0.3">
      <c r="A257" s="13" t="s">
        <v>584</v>
      </c>
      <c r="B257" s="13" t="s">
        <v>30</v>
      </c>
      <c r="C257" s="13" t="s">
        <v>585</v>
      </c>
      <c r="D257" s="13" t="s">
        <v>586</v>
      </c>
      <c r="E257" s="13">
        <v>2</v>
      </c>
      <c r="F257" s="13" t="s">
        <v>186</v>
      </c>
      <c r="G257" s="14">
        <v>612.97</v>
      </c>
      <c r="H257" s="15">
        <f t="shared" si="12"/>
        <v>1225.94</v>
      </c>
      <c r="I257" s="16">
        <v>0</v>
      </c>
      <c r="J257" s="15">
        <f t="shared" si="13"/>
        <v>1225.94</v>
      </c>
      <c r="K257" s="13" t="s">
        <v>30</v>
      </c>
      <c r="L257" s="13">
        <v>0</v>
      </c>
    </row>
    <row r="258" spans="1:12" s="13" customFormat="1" ht="28.8" x14ac:dyDescent="0.3">
      <c r="A258" s="13" t="s">
        <v>587</v>
      </c>
      <c r="B258" s="13" t="s">
        <v>30</v>
      </c>
      <c r="C258" s="13" t="s">
        <v>588</v>
      </c>
      <c r="D258" s="13" t="s">
        <v>589</v>
      </c>
      <c r="E258" s="13">
        <v>3</v>
      </c>
      <c r="F258" s="13" t="s">
        <v>186</v>
      </c>
      <c r="G258" s="14">
        <v>147.11000000000001</v>
      </c>
      <c r="H258" s="15">
        <f t="shared" si="12"/>
        <v>441.33</v>
      </c>
      <c r="I258" s="16">
        <v>0</v>
      </c>
      <c r="J258" s="15">
        <f t="shared" si="13"/>
        <v>441.33</v>
      </c>
      <c r="K258" s="13" t="s">
        <v>30</v>
      </c>
      <c r="L258" s="13">
        <v>0</v>
      </c>
    </row>
    <row r="259" spans="1:12" s="11" customFormat="1" x14ac:dyDescent="0.3">
      <c r="A259" s="11" t="s">
        <v>590</v>
      </c>
      <c r="C259" s="11" t="s">
        <v>591</v>
      </c>
      <c r="G259" s="11">
        <v>0</v>
      </c>
      <c r="H259" s="12">
        <f>SUM(H260)</f>
        <v>24518.98</v>
      </c>
      <c r="J259" s="12">
        <f>SUM(J260)</f>
        <v>24518.98</v>
      </c>
    </row>
    <row r="260" spans="1:12" s="13" customFormat="1" ht="172.8" x14ac:dyDescent="0.3">
      <c r="A260" s="13" t="s">
        <v>592</v>
      </c>
      <c r="B260" s="13" t="s">
        <v>30</v>
      </c>
      <c r="C260" s="13" t="s">
        <v>593</v>
      </c>
      <c r="D260" s="13" t="s">
        <v>594</v>
      </c>
      <c r="E260" s="13">
        <v>1</v>
      </c>
      <c r="F260" s="13" t="s">
        <v>231</v>
      </c>
      <c r="G260" s="14">
        <v>24518.98</v>
      </c>
      <c r="H260" s="15">
        <f>IF(AND(ISNUMBER(E260),ISNUMBER(G260)),ROUND(PRODUCT(PRODUCT(E260, G260), 1 - L260), 2),"")</f>
        <v>24518.98</v>
      </c>
      <c r="I260" s="16">
        <v>0</v>
      </c>
      <c r="J260" s="15">
        <f>IF(AND(ISNUMBER(H260)),ROUND(PRODUCT(H260, SUM(I260,"1")), 2),"")</f>
        <v>24518.98</v>
      </c>
      <c r="K260" s="13" t="s">
        <v>30</v>
      </c>
      <c r="L260" s="13">
        <v>0</v>
      </c>
    </row>
    <row r="261" spans="1:12" s="11" customFormat="1" x14ac:dyDescent="0.3">
      <c r="A261" s="11" t="s">
        <v>595</v>
      </c>
      <c r="C261" s="11" t="s">
        <v>596</v>
      </c>
      <c r="G261" s="11">
        <v>0</v>
      </c>
      <c r="H261" s="12">
        <f>SUM(H262,H263,H264,H265,H266,H267,H268,H269,H270,H271)</f>
        <v>12203.71</v>
      </c>
      <c r="J261" s="12">
        <f>SUM(J262,J263,J264,J265,J266,J267,J268,J269,J270,J271)</f>
        <v>12203.71</v>
      </c>
    </row>
    <row r="262" spans="1:12" s="13" customFormat="1" ht="331.2" x14ac:dyDescent="0.3">
      <c r="A262" s="13" t="s">
        <v>597</v>
      </c>
      <c r="B262" s="13" t="s">
        <v>30</v>
      </c>
      <c r="C262" s="13" t="s">
        <v>598</v>
      </c>
      <c r="D262" s="13" t="s">
        <v>599</v>
      </c>
      <c r="E262" s="13">
        <v>10</v>
      </c>
      <c r="F262" s="13" t="s">
        <v>48</v>
      </c>
      <c r="G262" s="14">
        <v>17.079999999999998</v>
      </c>
      <c r="H262" s="15">
        <f t="shared" ref="H262:H271" si="14">IF(AND(ISNUMBER(E262),ISNUMBER(G262)),ROUND(PRODUCT(PRODUCT(E262, G262), 1 - L262), 2),"")</f>
        <v>170.8</v>
      </c>
      <c r="I262" s="16">
        <v>0</v>
      </c>
      <c r="J262" s="15">
        <f t="shared" ref="J262:J271" si="15">IF(AND(ISNUMBER(H262)),ROUND(PRODUCT(H262, SUM(I262,"1")), 2),"")</f>
        <v>170.8</v>
      </c>
      <c r="K262" s="13" t="s">
        <v>30</v>
      </c>
      <c r="L262" s="13">
        <v>0</v>
      </c>
    </row>
    <row r="263" spans="1:12" s="13" customFormat="1" ht="331.2" x14ac:dyDescent="0.3">
      <c r="A263" s="13" t="s">
        <v>600</v>
      </c>
      <c r="B263" s="13" t="s">
        <v>30</v>
      </c>
      <c r="C263" s="13" t="s">
        <v>601</v>
      </c>
      <c r="D263" s="13" t="s">
        <v>602</v>
      </c>
      <c r="E263" s="13">
        <v>95</v>
      </c>
      <c r="F263" s="13" t="s">
        <v>48</v>
      </c>
      <c r="G263" s="14">
        <v>18.739999999999998</v>
      </c>
      <c r="H263" s="15">
        <f t="shared" si="14"/>
        <v>1780.3</v>
      </c>
      <c r="I263" s="16">
        <v>0</v>
      </c>
      <c r="J263" s="15">
        <f t="shared" si="15"/>
        <v>1780.3</v>
      </c>
      <c r="K263" s="13" t="s">
        <v>30</v>
      </c>
      <c r="L263" s="13">
        <v>0</v>
      </c>
    </row>
    <row r="264" spans="1:12" s="13" customFormat="1" ht="316.8" x14ac:dyDescent="0.3">
      <c r="A264" s="13" t="s">
        <v>603</v>
      </c>
      <c r="B264" s="13" t="s">
        <v>30</v>
      </c>
      <c r="C264" s="13" t="s">
        <v>604</v>
      </c>
      <c r="D264" s="13" t="s">
        <v>605</v>
      </c>
      <c r="E264" s="13">
        <v>55</v>
      </c>
      <c r="F264" s="13" t="s">
        <v>48</v>
      </c>
      <c r="G264" s="14">
        <v>20.12</v>
      </c>
      <c r="H264" s="15">
        <f t="shared" si="14"/>
        <v>1106.5999999999999</v>
      </c>
      <c r="I264" s="16">
        <v>0</v>
      </c>
      <c r="J264" s="15">
        <f t="shared" si="15"/>
        <v>1106.5999999999999</v>
      </c>
      <c r="K264" s="13" t="s">
        <v>30</v>
      </c>
      <c r="L264" s="13">
        <v>0</v>
      </c>
    </row>
    <row r="265" spans="1:12" s="13" customFormat="1" ht="316.8" x14ac:dyDescent="0.3">
      <c r="A265" s="13" t="s">
        <v>606</v>
      </c>
      <c r="B265" s="13" t="s">
        <v>30</v>
      </c>
      <c r="C265" s="13" t="s">
        <v>607</v>
      </c>
      <c r="D265" s="13" t="s">
        <v>608</v>
      </c>
      <c r="E265" s="13">
        <v>40</v>
      </c>
      <c r="F265" s="13" t="s">
        <v>48</v>
      </c>
      <c r="G265" s="14">
        <v>33.630000000000003</v>
      </c>
      <c r="H265" s="15">
        <f t="shared" si="14"/>
        <v>1345.2</v>
      </c>
      <c r="I265" s="16">
        <v>0</v>
      </c>
      <c r="J265" s="15">
        <f t="shared" si="15"/>
        <v>1345.2</v>
      </c>
      <c r="K265" s="13" t="s">
        <v>30</v>
      </c>
      <c r="L265" s="13">
        <v>0</v>
      </c>
    </row>
    <row r="266" spans="1:12" s="13" customFormat="1" ht="316.8" x14ac:dyDescent="0.3">
      <c r="A266" s="13" t="s">
        <v>609</v>
      </c>
      <c r="B266" s="13" t="s">
        <v>30</v>
      </c>
      <c r="C266" s="13" t="s">
        <v>610</v>
      </c>
      <c r="D266" s="13" t="s">
        <v>611</v>
      </c>
      <c r="E266" s="13">
        <v>10</v>
      </c>
      <c r="F266" s="13" t="s">
        <v>48</v>
      </c>
      <c r="G266" s="14">
        <v>15.42</v>
      </c>
      <c r="H266" s="15">
        <f t="shared" si="14"/>
        <v>154.19999999999999</v>
      </c>
      <c r="I266" s="16">
        <v>0</v>
      </c>
      <c r="J266" s="15">
        <f t="shared" si="15"/>
        <v>154.19999999999999</v>
      </c>
      <c r="K266" s="13" t="s">
        <v>30</v>
      </c>
      <c r="L266" s="13">
        <v>0</v>
      </c>
    </row>
    <row r="267" spans="1:12" s="13" customFormat="1" ht="316.8" x14ac:dyDescent="0.3">
      <c r="A267" s="13" t="s">
        <v>612</v>
      </c>
      <c r="B267" s="13" t="s">
        <v>30</v>
      </c>
      <c r="C267" s="13" t="s">
        <v>613</v>
      </c>
      <c r="D267" s="13" t="s">
        <v>614</v>
      </c>
      <c r="E267" s="13">
        <v>90</v>
      </c>
      <c r="F267" s="13" t="s">
        <v>48</v>
      </c>
      <c r="G267" s="14">
        <v>10.06</v>
      </c>
      <c r="H267" s="15">
        <f t="shared" si="14"/>
        <v>905.4</v>
      </c>
      <c r="I267" s="16">
        <v>0</v>
      </c>
      <c r="J267" s="15">
        <f t="shared" si="15"/>
        <v>905.4</v>
      </c>
      <c r="K267" s="13" t="s">
        <v>30</v>
      </c>
      <c r="L267" s="13">
        <v>0</v>
      </c>
    </row>
    <row r="268" spans="1:12" s="13" customFormat="1" ht="316.8" x14ac:dyDescent="0.3">
      <c r="A268" s="13" t="s">
        <v>615</v>
      </c>
      <c r="B268" s="13" t="s">
        <v>30</v>
      </c>
      <c r="C268" s="13" t="s">
        <v>616</v>
      </c>
      <c r="D268" s="13" t="s">
        <v>617</v>
      </c>
      <c r="E268" s="13">
        <v>210</v>
      </c>
      <c r="F268" s="13" t="s">
        <v>48</v>
      </c>
      <c r="G268" s="14">
        <v>10.63</v>
      </c>
      <c r="H268" s="15">
        <f t="shared" si="14"/>
        <v>2232.3000000000002</v>
      </c>
      <c r="I268" s="16">
        <v>0</v>
      </c>
      <c r="J268" s="15">
        <f t="shared" si="15"/>
        <v>2232.3000000000002</v>
      </c>
      <c r="K268" s="13" t="s">
        <v>30</v>
      </c>
      <c r="L268" s="13">
        <v>0</v>
      </c>
    </row>
    <row r="269" spans="1:12" s="13" customFormat="1" ht="374.4" x14ac:dyDescent="0.3">
      <c r="A269" s="13" t="s">
        <v>618</v>
      </c>
      <c r="B269" s="13" t="s">
        <v>30</v>
      </c>
      <c r="C269" s="13" t="s">
        <v>619</v>
      </c>
      <c r="D269" s="13" t="s">
        <v>620</v>
      </c>
      <c r="E269" s="13">
        <v>25</v>
      </c>
      <c r="F269" s="13" t="s">
        <v>48</v>
      </c>
      <c r="G269" s="14">
        <v>12.01</v>
      </c>
      <c r="H269" s="15">
        <f t="shared" si="14"/>
        <v>300.25</v>
      </c>
      <c r="I269" s="16">
        <v>0</v>
      </c>
      <c r="J269" s="15">
        <f t="shared" si="15"/>
        <v>300.25</v>
      </c>
      <c r="K269" s="13" t="s">
        <v>30</v>
      </c>
      <c r="L269" s="13">
        <v>0</v>
      </c>
    </row>
    <row r="270" spans="1:12" s="13" customFormat="1" ht="409.6" x14ac:dyDescent="0.3">
      <c r="A270" s="13" t="s">
        <v>621</v>
      </c>
      <c r="B270" s="13" t="s">
        <v>30</v>
      </c>
      <c r="C270" s="13" t="s">
        <v>622</v>
      </c>
      <c r="D270" s="13" t="s">
        <v>623</v>
      </c>
      <c r="E270" s="13">
        <v>130</v>
      </c>
      <c r="F270" s="13" t="s">
        <v>48</v>
      </c>
      <c r="G270" s="14">
        <v>20.58</v>
      </c>
      <c r="H270" s="15">
        <f t="shared" si="14"/>
        <v>2675.4</v>
      </c>
      <c r="I270" s="16">
        <v>0</v>
      </c>
      <c r="J270" s="15">
        <f t="shared" si="15"/>
        <v>2675.4</v>
      </c>
      <c r="K270" s="13" t="s">
        <v>30</v>
      </c>
      <c r="L270" s="13">
        <v>0</v>
      </c>
    </row>
    <row r="271" spans="1:12" s="13" customFormat="1" ht="409.6" x14ac:dyDescent="0.3">
      <c r="A271" s="13" t="s">
        <v>624</v>
      </c>
      <c r="B271" s="13" t="s">
        <v>30</v>
      </c>
      <c r="C271" s="13" t="s">
        <v>625</v>
      </c>
      <c r="D271" s="13" t="s">
        <v>626</v>
      </c>
      <c r="E271" s="13">
        <v>62</v>
      </c>
      <c r="F271" s="13" t="s">
        <v>48</v>
      </c>
      <c r="G271" s="14">
        <v>24.73</v>
      </c>
      <c r="H271" s="15">
        <f t="shared" si="14"/>
        <v>1533.26</v>
      </c>
      <c r="I271" s="16">
        <v>0</v>
      </c>
      <c r="J271" s="15">
        <f t="shared" si="15"/>
        <v>1533.26</v>
      </c>
      <c r="K271" s="13" t="s">
        <v>30</v>
      </c>
      <c r="L271" s="13">
        <v>0</v>
      </c>
    </row>
    <row r="272" spans="1:12" s="11" customFormat="1" x14ac:dyDescent="0.3">
      <c r="A272" s="11" t="s">
        <v>627</v>
      </c>
      <c r="C272" s="11" t="s">
        <v>317</v>
      </c>
      <c r="G272" s="11">
        <v>0</v>
      </c>
      <c r="H272" s="12">
        <v>0</v>
      </c>
      <c r="J272" s="12">
        <v>0</v>
      </c>
    </row>
    <row r="273" spans="1:12" s="11" customFormat="1" x14ac:dyDescent="0.3">
      <c r="A273" s="11" t="s">
        <v>628</v>
      </c>
      <c r="C273" s="11" t="s">
        <v>629</v>
      </c>
      <c r="G273" s="11">
        <v>0</v>
      </c>
      <c r="H273" s="12">
        <v>0</v>
      </c>
      <c r="J273" s="12">
        <v>0</v>
      </c>
    </row>
    <row r="274" spans="1:12" s="11" customFormat="1" x14ac:dyDescent="0.3">
      <c r="A274" s="11" t="s">
        <v>630</v>
      </c>
      <c r="C274" s="11" t="s">
        <v>296</v>
      </c>
      <c r="G274" s="11">
        <v>0</v>
      </c>
      <c r="H274" s="12">
        <f>SUM(H275,H276,H277,H278,H279,H280,H281,H282,H283,H284,H285,H286,H287,H288,H289)</f>
        <v>18732.490000000002</v>
      </c>
      <c r="J274" s="12">
        <f>SUM(J275,J276,J277,J278,J279,J280,J281,J282,J283,J284,J285,J286,J287,J288,J289)</f>
        <v>18732.490000000002</v>
      </c>
    </row>
    <row r="275" spans="1:12" s="13" customFormat="1" ht="409.6" x14ac:dyDescent="0.3">
      <c r="A275" s="13" t="s">
        <v>631</v>
      </c>
      <c r="B275" s="13" t="s">
        <v>30</v>
      </c>
      <c r="C275" s="13" t="s">
        <v>632</v>
      </c>
      <c r="D275" s="13" t="s">
        <v>633</v>
      </c>
      <c r="E275" s="13">
        <v>1</v>
      </c>
      <c r="F275" s="13" t="s">
        <v>215</v>
      </c>
      <c r="G275" s="14">
        <v>326.92</v>
      </c>
      <c r="H275" s="15">
        <f t="shared" ref="H275:H289" si="16">IF(AND(ISNUMBER(E275),ISNUMBER(G275)),ROUND(PRODUCT(PRODUCT(E275, G275), 1 - L275), 2),"")</f>
        <v>326.92</v>
      </c>
      <c r="I275" s="16">
        <v>0</v>
      </c>
      <c r="J275" s="15">
        <f t="shared" ref="J275:J289" si="17">IF(AND(ISNUMBER(H275)),ROUND(PRODUCT(H275, SUM(I275,"1")), 2),"")</f>
        <v>326.92</v>
      </c>
      <c r="K275" s="13" t="s">
        <v>30</v>
      </c>
      <c r="L275" s="13">
        <v>0</v>
      </c>
    </row>
    <row r="276" spans="1:12" s="13" customFormat="1" ht="57.6" x14ac:dyDescent="0.3">
      <c r="A276" s="13" t="s">
        <v>634</v>
      </c>
      <c r="B276" s="13" t="s">
        <v>30</v>
      </c>
      <c r="C276" s="13" t="s">
        <v>635</v>
      </c>
      <c r="D276" s="13" t="s">
        <v>636</v>
      </c>
      <c r="E276" s="13">
        <v>1</v>
      </c>
      <c r="F276" s="13" t="s">
        <v>215</v>
      </c>
      <c r="G276" s="14">
        <v>449.51</v>
      </c>
      <c r="H276" s="15">
        <f t="shared" si="16"/>
        <v>449.51</v>
      </c>
      <c r="I276" s="16">
        <v>0</v>
      </c>
      <c r="J276" s="15">
        <f t="shared" si="17"/>
        <v>449.51</v>
      </c>
      <c r="K276" s="13" t="s">
        <v>30</v>
      </c>
      <c r="L276" s="13">
        <v>0</v>
      </c>
    </row>
    <row r="277" spans="1:12" s="13" customFormat="1" ht="43.2" x14ac:dyDescent="0.3">
      <c r="A277" s="13" t="s">
        <v>637</v>
      </c>
      <c r="B277" s="13" t="s">
        <v>30</v>
      </c>
      <c r="C277" s="13" t="s">
        <v>638</v>
      </c>
      <c r="D277" s="13" t="s">
        <v>639</v>
      </c>
      <c r="E277" s="13">
        <v>1</v>
      </c>
      <c r="F277" s="13" t="s">
        <v>215</v>
      </c>
      <c r="G277" s="14">
        <v>163.46</v>
      </c>
      <c r="H277" s="15">
        <f t="shared" si="16"/>
        <v>163.46</v>
      </c>
      <c r="I277" s="16">
        <v>0</v>
      </c>
      <c r="J277" s="15">
        <f t="shared" si="17"/>
        <v>163.46</v>
      </c>
      <c r="K277" s="13" t="s">
        <v>30</v>
      </c>
      <c r="L277" s="13">
        <v>0</v>
      </c>
    </row>
    <row r="278" spans="1:12" s="13" customFormat="1" ht="100.8" x14ac:dyDescent="0.3">
      <c r="A278" s="13" t="s">
        <v>640</v>
      </c>
      <c r="B278" s="13" t="s">
        <v>30</v>
      </c>
      <c r="C278" s="13" t="s">
        <v>641</v>
      </c>
      <c r="D278" s="13" t="s">
        <v>642</v>
      </c>
      <c r="E278" s="13">
        <v>1</v>
      </c>
      <c r="F278" s="13" t="s">
        <v>215</v>
      </c>
      <c r="G278" s="14">
        <v>1225.95</v>
      </c>
      <c r="H278" s="15">
        <f t="shared" si="16"/>
        <v>1225.95</v>
      </c>
      <c r="I278" s="16">
        <v>0</v>
      </c>
      <c r="J278" s="15">
        <f t="shared" si="17"/>
        <v>1225.95</v>
      </c>
      <c r="K278" s="13" t="s">
        <v>30</v>
      </c>
      <c r="L278" s="13">
        <v>0</v>
      </c>
    </row>
    <row r="279" spans="1:12" s="13" customFormat="1" ht="57.6" x14ac:dyDescent="0.3">
      <c r="A279" s="13" t="s">
        <v>643</v>
      </c>
      <c r="B279" s="13" t="s">
        <v>30</v>
      </c>
      <c r="C279" s="13" t="s">
        <v>644</v>
      </c>
      <c r="D279" s="13" t="s">
        <v>645</v>
      </c>
      <c r="E279" s="13">
        <v>1</v>
      </c>
      <c r="F279" s="13" t="s">
        <v>186</v>
      </c>
      <c r="G279" s="14">
        <v>899.03</v>
      </c>
      <c r="H279" s="15">
        <f t="shared" si="16"/>
        <v>899.03</v>
      </c>
      <c r="I279" s="16">
        <v>0</v>
      </c>
      <c r="J279" s="15">
        <f t="shared" si="17"/>
        <v>899.03</v>
      </c>
      <c r="K279" s="13" t="s">
        <v>30</v>
      </c>
      <c r="L279" s="13">
        <v>0</v>
      </c>
    </row>
    <row r="280" spans="1:12" s="13" customFormat="1" ht="43.2" x14ac:dyDescent="0.3">
      <c r="A280" s="13" t="s">
        <v>646</v>
      </c>
      <c r="B280" s="13" t="s">
        <v>30</v>
      </c>
      <c r="C280" s="13" t="s">
        <v>647</v>
      </c>
      <c r="D280" s="13" t="s">
        <v>648</v>
      </c>
      <c r="E280" s="13">
        <v>1</v>
      </c>
      <c r="F280" s="13" t="s">
        <v>215</v>
      </c>
      <c r="G280" s="14">
        <v>719.22</v>
      </c>
      <c r="H280" s="15">
        <f t="shared" si="16"/>
        <v>719.22</v>
      </c>
      <c r="I280" s="16">
        <v>0</v>
      </c>
      <c r="J280" s="15">
        <f t="shared" si="17"/>
        <v>719.22</v>
      </c>
      <c r="K280" s="13" t="s">
        <v>30</v>
      </c>
      <c r="L280" s="13">
        <v>0</v>
      </c>
    </row>
    <row r="281" spans="1:12" s="13" customFormat="1" ht="86.4" x14ac:dyDescent="0.3">
      <c r="A281" s="13" t="s">
        <v>649</v>
      </c>
      <c r="B281" s="13" t="s">
        <v>30</v>
      </c>
      <c r="C281" s="13" t="s">
        <v>650</v>
      </c>
      <c r="D281" s="13" t="s">
        <v>651</v>
      </c>
      <c r="E281" s="13">
        <v>1</v>
      </c>
      <c r="F281" s="13" t="s">
        <v>231</v>
      </c>
      <c r="G281" s="14">
        <v>629.32000000000005</v>
      </c>
      <c r="H281" s="15">
        <f t="shared" si="16"/>
        <v>629.32000000000005</v>
      </c>
      <c r="I281" s="16">
        <v>0</v>
      </c>
      <c r="J281" s="15">
        <f t="shared" si="17"/>
        <v>629.32000000000005</v>
      </c>
      <c r="K281" s="13" t="s">
        <v>30</v>
      </c>
      <c r="L281" s="13">
        <v>0</v>
      </c>
    </row>
    <row r="282" spans="1:12" s="13" customFormat="1" ht="43.2" x14ac:dyDescent="0.3">
      <c r="A282" s="13" t="s">
        <v>652</v>
      </c>
      <c r="B282" s="13" t="s">
        <v>30</v>
      </c>
      <c r="C282" s="13" t="s">
        <v>653</v>
      </c>
      <c r="D282" s="13" t="s">
        <v>654</v>
      </c>
      <c r="E282" s="13">
        <v>1</v>
      </c>
      <c r="F282" s="13" t="s">
        <v>231</v>
      </c>
      <c r="G282" s="14">
        <v>2451.9</v>
      </c>
      <c r="H282" s="15">
        <f t="shared" si="16"/>
        <v>2451.9</v>
      </c>
      <c r="I282" s="16">
        <v>0</v>
      </c>
      <c r="J282" s="15">
        <f t="shared" si="17"/>
        <v>2451.9</v>
      </c>
      <c r="K282" s="13" t="s">
        <v>30</v>
      </c>
      <c r="L282" s="13">
        <v>0</v>
      </c>
    </row>
    <row r="283" spans="1:12" s="13" customFormat="1" ht="57.6" x14ac:dyDescent="0.3">
      <c r="A283" s="13" t="s">
        <v>655</v>
      </c>
      <c r="B283" s="13" t="s">
        <v>30</v>
      </c>
      <c r="C283" s="13" t="s">
        <v>656</v>
      </c>
      <c r="D283" s="13" t="s">
        <v>657</v>
      </c>
      <c r="E283" s="13">
        <v>1</v>
      </c>
      <c r="F283" s="13" t="s">
        <v>231</v>
      </c>
      <c r="G283" s="14">
        <v>2451.9</v>
      </c>
      <c r="H283" s="15">
        <f t="shared" si="16"/>
        <v>2451.9</v>
      </c>
      <c r="I283" s="16">
        <v>0</v>
      </c>
      <c r="J283" s="15">
        <f t="shared" si="17"/>
        <v>2451.9</v>
      </c>
      <c r="K283" s="13" t="s">
        <v>30</v>
      </c>
      <c r="L283" s="13">
        <v>0</v>
      </c>
    </row>
    <row r="284" spans="1:12" s="13" customFormat="1" ht="57.6" x14ac:dyDescent="0.3">
      <c r="A284" s="13" t="s">
        <v>658</v>
      </c>
      <c r="B284" s="13" t="s">
        <v>30</v>
      </c>
      <c r="C284" s="13" t="s">
        <v>659</v>
      </c>
      <c r="D284" s="13" t="s">
        <v>660</v>
      </c>
      <c r="E284" s="13">
        <v>1</v>
      </c>
      <c r="F284" s="13" t="s">
        <v>231</v>
      </c>
      <c r="G284" s="14">
        <v>449.51</v>
      </c>
      <c r="H284" s="15">
        <f t="shared" si="16"/>
        <v>449.51</v>
      </c>
      <c r="I284" s="16">
        <v>0</v>
      </c>
      <c r="J284" s="15">
        <f t="shared" si="17"/>
        <v>449.51</v>
      </c>
      <c r="K284" s="13" t="s">
        <v>30</v>
      </c>
      <c r="L284" s="13">
        <v>0</v>
      </c>
    </row>
    <row r="285" spans="1:12" s="13" customFormat="1" ht="28.8" x14ac:dyDescent="0.3">
      <c r="A285" s="13" t="s">
        <v>661</v>
      </c>
      <c r="B285" s="13" t="s">
        <v>30</v>
      </c>
      <c r="C285" s="13" t="s">
        <v>662</v>
      </c>
      <c r="D285" s="13" t="s">
        <v>663</v>
      </c>
      <c r="E285" s="13">
        <v>1</v>
      </c>
      <c r="F285" s="13" t="s">
        <v>231</v>
      </c>
      <c r="G285" s="14">
        <v>1225.95</v>
      </c>
      <c r="H285" s="15">
        <f t="shared" si="16"/>
        <v>1225.95</v>
      </c>
      <c r="I285" s="16">
        <v>0</v>
      </c>
      <c r="J285" s="15">
        <f t="shared" si="17"/>
        <v>1225.95</v>
      </c>
      <c r="K285" s="13" t="s">
        <v>30</v>
      </c>
      <c r="L285" s="13">
        <v>0</v>
      </c>
    </row>
    <row r="286" spans="1:12" s="13" customFormat="1" ht="28.8" x14ac:dyDescent="0.3">
      <c r="A286" s="13" t="s">
        <v>664</v>
      </c>
      <c r="B286" s="13" t="s">
        <v>30</v>
      </c>
      <c r="C286" s="13" t="s">
        <v>665</v>
      </c>
      <c r="D286" s="13" t="s">
        <v>666</v>
      </c>
      <c r="E286" s="13">
        <v>1</v>
      </c>
      <c r="F286" s="13" t="s">
        <v>231</v>
      </c>
      <c r="G286" s="14">
        <v>531.24</v>
      </c>
      <c r="H286" s="15">
        <f t="shared" si="16"/>
        <v>531.24</v>
      </c>
      <c r="I286" s="16">
        <v>0</v>
      </c>
      <c r="J286" s="15">
        <f t="shared" si="17"/>
        <v>531.24</v>
      </c>
      <c r="K286" s="13" t="s">
        <v>30</v>
      </c>
      <c r="L286" s="13">
        <v>0</v>
      </c>
    </row>
    <row r="287" spans="1:12" s="13" customFormat="1" ht="273.60000000000002" x14ac:dyDescent="0.3">
      <c r="A287" s="13" t="s">
        <v>667</v>
      </c>
      <c r="B287" s="13" t="s">
        <v>30</v>
      </c>
      <c r="C287" s="13" t="s">
        <v>668</v>
      </c>
      <c r="D287" s="13" t="s">
        <v>669</v>
      </c>
      <c r="E287" s="13">
        <v>1</v>
      </c>
      <c r="F287" s="13" t="s">
        <v>215</v>
      </c>
      <c r="G287" s="14">
        <v>4086.5</v>
      </c>
      <c r="H287" s="15">
        <f t="shared" si="16"/>
        <v>4086.5</v>
      </c>
      <c r="I287" s="16">
        <v>0</v>
      </c>
      <c r="J287" s="15">
        <f t="shared" si="17"/>
        <v>4086.5</v>
      </c>
      <c r="K287" s="13" t="s">
        <v>30</v>
      </c>
      <c r="L287" s="13">
        <v>0</v>
      </c>
    </row>
    <row r="288" spans="1:12" s="13" customFormat="1" ht="72" x14ac:dyDescent="0.3">
      <c r="A288" s="13" t="s">
        <v>670</v>
      </c>
      <c r="B288" s="13" t="s">
        <v>30</v>
      </c>
      <c r="C288" s="13" t="s">
        <v>671</v>
      </c>
      <c r="D288" s="13" t="s">
        <v>672</v>
      </c>
      <c r="E288" s="13">
        <v>1</v>
      </c>
      <c r="F288" s="13" t="s">
        <v>351</v>
      </c>
      <c r="G288" s="14">
        <v>1078.83</v>
      </c>
      <c r="H288" s="15">
        <f t="shared" si="16"/>
        <v>1078.83</v>
      </c>
      <c r="I288" s="16">
        <v>0</v>
      </c>
      <c r="J288" s="15">
        <f t="shared" si="17"/>
        <v>1078.83</v>
      </c>
      <c r="K288" s="13" t="s">
        <v>30</v>
      </c>
      <c r="L288" s="13">
        <v>0</v>
      </c>
    </row>
    <row r="289" spans="1:12" s="13" customFormat="1" ht="72" x14ac:dyDescent="0.3">
      <c r="A289" s="13" t="s">
        <v>673</v>
      </c>
      <c r="B289" s="13" t="s">
        <v>30</v>
      </c>
      <c r="C289" s="13" t="s">
        <v>674</v>
      </c>
      <c r="D289" s="13" t="s">
        <v>675</v>
      </c>
      <c r="E289" s="13">
        <v>1</v>
      </c>
      <c r="F289" s="13" t="s">
        <v>215</v>
      </c>
      <c r="G289" s="14">
        <v>2043.25</v>
      </c>
      <c r="H289" s="15">
        <f t="shared" si="16"/>
        <v>2043.25</v>
      </c>
      <c r="I289" s="16">
        <v>0</v>
      </c>
      <c r="J289" s="15">
        <f t="shared" si="17"/>
        <v>2043.25</v>
      </c>
      <c r="K289" s="13" t="s">
        <v>30</v>
      </c>
      <c r="L289" s="13">
        <v>0</v>
      </c>
    </row>
    <row r="290" spans="1:12" s="11" customFormat="1" x14ac:dyDescent="0.3">
      <c r="A290" s="11" t="s">
        <v>676</v>
      </c>
      <c r="C290" s="11" t="s">
        <v>297</v>
      </c>
      <c r="G290" s="11">
        <v>0</v>
      </c>
      <c r="H290" s="12">
        <v>0</v>
      </c>
      <c r="J290" s="12">
        <v>0</v>
      </c>
    </row>
    <row r="291" spans="1:12" s="11" customFormat="1" x14ac:dyDescent="0.3">
      <c r="A291" s="11" t="s">
        <v>677</v>
      </c>
      <c r="C291" s="11" t="s">
        <v>678</v>
      </c>
      <c r="G291" s="11">
        <v>0</v>
      </c>
      <c r="H291" s="12">
        <f>SUM(H292,H293,H294,H297,H298,)</f>
        <v>29436.5</v>
      </c>
      <c r="J291" s="12">
        <f>SUM(J292,J293,J294,J297,J298)</f>
        <v>29436.5</v>
      </c>
    </row>
    <row r="292" spans="1:12" s="11" customFormat="1" x14ac:dyDescent="0.3">
      <c r="A292" s="11" t="s">
        <v>679</v>
      </c>
      <c r="C292" s="11" t="s">
        <v>316</v>
      </c>
      <c r="G292" s="11">
        <v>0</v>
      </c>
      <c r="H292" s="12">
        <v>0</v>
      </c>
      <c r="J292" s="12">
        <v>0</v>
      </c>
    </row>
    <row r="293" spans="1:12" s="11" customFormat="1" x14ac:dyDescent="0.3">
      <c r="A293" s="11" t="s">
        <v>680</v>
      </c>
      <c r="C293" s="11" t="s">
        <v>681</v>
      </c>
      <c r="G293" s="11">
        <v>0</v>
      </c>
      <c r="H293" s="12">
        <v>0</v>
      </c>
      <c r="J293" s="12">
        <v>0</v>
      </c>
    </row>
    <row r="294" spans="1:12" s="11" customFormat="1" x14ac:dyDescent="0.3">
      <c r="A294" s="11" t="s">
        <v>682</v>
      </c>
      <c r="C294" s="11" t="s">
        <v>683</v>
      </c>
      <c r="G294" s="11">
        <v>0</v>
      </c>
      <c r="H294" s="12">
        <f>SUM(H295,H296)</f>
        <v>11631.9</v>
      </c>
      <c r="J294" s="12">
        <f>SUM(J295,J296)</f>
        <v>11631.9</v>
      </c>
    </row>
    <row r="295" spans="1:12" s="13" customFormat="1" ht="259.2" x14ac:dyDescent="0.3">
      <c r="A295" s="13" t="s">
        <v>684</v>
      </c>
      <c r="B295" s="13" t="s">
        <v>30</v>
      </c>
      <c r="C295" s="13" t="s">
        <v>685</v>
      </c>
      <c r="D295" s="13" t="s">
        <v>686</v>
      </c>
      <c r="E295" s="13">
        <v>210</v>
      </c>
      <c r="F295" s="13" t="s">
        <v>294</v>
      </c>
      <c r="G295" s="14">
        <v>28.07</v>
      </c>
      <c r="H295" s="15">
        <f>IF(AND(ISNUMBER(E295),ISNUMBER(G295)),ROUND(PRODUCT(PRODUCT(E295, G295), 1 - L295), 2),"")</f>
        <v>5894.7</v>
      </c>
      <c r="I295" s="16">
        <v>0</v>
      </c>
      <c r="J295" s="15">
        <f>IF(AND(ISNUMBER(H295)),ROUND(PRODUCT(H295, SUM(I295,"1")), 2),"")</f>
        <v>5894.7</v>
      </c>
      <c r="K295" s="13" t="s">
        <v>30</v>
      </c>
      <c r="L295" s="13">
        <v>0</v>
      </c>
    </row>
    <row r="296" spans="1:12" s="13" customFormat="1" ht="259.2" x14ac:dyDescent="0.3">
      <c r="A296" s="13" t="s">
        <v>687</v>
      </c>
      <c r="B296" s="13" t="s">
        <v>30</v>
      </c>
      <c r="C296" s="13" t="s">
        <v>688</v>
      </c>
      <c r="D296" s="13" t="s">
        <v>686</v>
      </c>
      <c r="E296" s="13">
        <v>120</v>
      </c>
      <c r="F296" s="13" t="s">
        <v>294</v>
      </c>
      <c r="G296" s="14">
        <v>47.81</v>
      </c>
      <c r="H296" s="15">
        <f>IF(AND(ISNUMBER(E296),ISNUMBER(G296)),ROUND(PRODUCT(PRODUCT(E296, G296), 1 - L296), 2),"")</f>
        <v>5737.2</v>
      </c>
      <c r="I296" s="16">
        <v>0</v>
      </c>
      <c r="J296" s="15">
        <f>IF(AND(ISNUMBER(H296)),ROUND(PRODUCT(H296, SUM(I296,"1")), 2),"")</f>
        <v>5737.2</v>
      </c>
      <c r="K296" s="13" t="s">
        <v>30</v>
      </c>
      <c r="L296" s="13">
        <v>0</v>
      </c>
    </row>
    <row r="297" spans="1:12" s="11" customFormat="1" x14ac:dyDescent="0.3">
      <c r="A297" s="11" t="s">
        <v>689</v>
      </c>
      <c r="C297" s="11" t="s">
        <v>690</v>
      </c>
      <c r="G297" s="11">
        <v>0</v>
      </c>
      <c r="H297" s="12">
        <v>0</v>
      </c>
      <c r="J297" s="12">
        <v>0</v>
      </c>
    </row>
    <row r="298" spans="1:12" s="11" customFormat="1" x14ac:dyDescent="0.3">
      <c r="A298" s="11" t="s">
        <v>691</v>
      </c>
      <c r="C298" s="11" t="s">
        <v>692</v>
      </c>
      <c r="G298" s="11">
        <v>0</v>
      </c>
      <c r="H298" s="12">
        <f>SUM(H299,H300,H301,H302)</f>
        <v>17804.599999999999</v>
      </c>
      <c r="J298" s="12">
        <f>SUM(J299,J300,J301,J302)</f>
        <v>17804.599999999999</v>
      </c>
    </row>
    <row r="299" spans="1:12" s="13" customFormat="1" ht="409.6" x14ac:dyDescent="0.3">
      <c r="A299" s="13" t="s">
        <v>693</v>
      </c>
      <c r="B299" s="13" t="s">
        <v>30</v>
      </c>
      <c r="C299" s="13" t="s">
        <v>694</v>
      </c>
      <c r="D299" s="13" t="s">
        <v>695</v>
      </c>
      <c r="E299" s="13">
        <v>5</v>
      </c>
      <c r="F299" s="13" t="s">
        <v>47</v>
      </c>
      <c r="G299" s="14">
        <v>555.59</v>
      </c>
      <c r="H299" s="15">
        <f>IF(AND(ISNUMBER(E299),ISNUMBER(G299)),ROUND(PRODUCT(PRODUCT(E299, G299), 1 - L299), 2),"")</f>
        <v>2777.95</v>
      </c>
      <c r="I299" s="16">
        <v>0</v>
      </c>
      <c r="J299" s="15">
        <f>IF(AND(ISNUMBER(H299)),ROUND(PRODUCT(H299, SUM(I299,"1")), 2),"")</f>
        <v>2777.95</v>
      </c>
      <c r="K299" s="13" t="s">
        <v>30</v>
      </c>
      <c r="L299" s="13">
        <v>0</v>
      </c>
    </row>
    <row r="300" spans="1:12" s="13" customFormat="1" ht="409.6" x14ac:dyDescent="0.3">
      <c r="A300" s="13" t="s">
        <v>696</v>
      </c>
      <c r="B300" s="13" t="s">
        <v>30</v>
      </c>
      <c r="C300" s="13" t="s">
        <v>694</v>
      </c>
      <c r="D300" s="13" t="s">
        <v>697</v>
      </c>
      <c r="E300" s="13">
        <v>12</v>
      </c>
      <c r="F300" s="13" t="s">
        <v>47</v>
      </c>
      <c r="G300" s="14">
        <v>411.55</v>
      </c>
      <c r="H300" s="15">
        <f>IF(AND(ISNUMBER(E300),ISNUMBER(G300)),ROUND(PRODUCT(PRODUCT(E300, G300), 1 - L300), 2),"")</f>
        <v>4938.6000000000004</v>
      </c>
      <c r="I300" s="16">
        <v>0</v>
      </c>
      <c r="J300" s="15">
        <f>IF(AND(ISNUMBER(H300)),ROUND(PRODUCT(H300, SUM(I300,"1")), 2),"")</f>
        <v>4938.6000000000004</v>
      </c>
      <c r="K300" s="13" t="s">
        <v>30</v>
      </c>
      <c r="L300" s="13">
        <v>0</v>
      </c>
    </row>
    <row r="301" spans="1:12" s="13" customFormat="1" ht="259.2" x14ac:dyDescent="0.3">
      <c r="A301" s="13" t="s">
        <v>698</v>
      </c>
      <c r="B301" s="13" t="s">
        <v>30</v>
      </c>
      <c r="C301" s="13" t="s">
        <v>688</v>
      </c>
      <c r="D301" s="13" t="s">
        <v>686</v>
      </c>
      <c r="E301" s="13">
        <v>120</v>
      </c>
      <c r="F301" s="13" t="s">
        <v>294</v>
      </c>
      <c r="G301" s="14">
        <v>47.81</v>
      </c>
      <c r="H301" s="15">
        <f>IF(AND(ISNUMBER(E301),ISNUMBER(G301)),ROUND(PRODUCT(PRODUCT(E301, G301), 1 - L301), 2),"")</f>
        <v>5737.2</v>
      </c>
      <c r="I301" s="16">
        <v>0</v>
      </c>
      <c r="J301" s="15">
        <f>IF(AND(ISNUMBER(H301)),ROUND(PRODUCT(H301, SUM(I301,"1")), 2),"")</f>
        <v>5737.2</v>
      </c>
      <c r="K301" s="13" t="s">
        <v>30</v>
      </c>
      <c r="L301" s="13">
        <v>0</v>
      </c>
    </row>
    <row r="302" spans="1:12" s="13" customFormat="1" ht="259.2" x14ac:dyDescent="0.3">
      <c r="A302" s="13" t="s">
        <v>699</v>
      </c>
      <c r="B302" s="13" t="s">
        <v>30</v>
      </c>
      <c r="C302" s="13" t="s">
        <v>685</v>
      </c>
      <c r="D302" s="13" t="s">
        <v>686</v>
      </c>
      <c r="E302" s="13">
        <v>155</v>
      </c>
      <c r="F302" s="13" t="s">
        <v>294</v>
      </c>
      <c r="G302" s="14">
        <v>28.07</v>
      </c>
      <c r="H302" s="15">
        <f>IF(AND(ISNUMBER(E302),ISNUMBER(G302)),ROUND(PRODUCT(PRODUCT(E302, G302), 1 - L302), 2),"")</f>
        <v>4350.8500000000004</v>
      </c>
      <c r="I302" s="16">
        <v>0</v>
      </c>
      <c r="J302" s="15">
        <f>IF(AND(ISNUMBER(H302)),ROUND(PRODUCT(H302, SUM(I302,"1")), 2),"")</f>
        <v>4350.8500000000004</v>
      </c>
      <c r="K302" s="13" t="s">
        <v>30</v>
      </c>
      <c r="L302" s="13">
        <v>0</v>
      </c>
    </row>
    <row r="303" spans="1:12" s="11" customFormat="1" x14ac:dyDescent="0.3">
      <c r="A303" s="11" t="s">
        <v>700</v>
      </c>
      <c r="C303" s="11" t="s">
        <v>701</v>
      </c>
      <c r="G303" s="11">
        <v>0</v>
      </c>
      <c r="H303" s="12">
        <f>SUM(H304,H307,H310)</f>
        <v>14831.35</v>
      </c>
      <c r="J303" s="12">
        <f>SUM(J304,J307,J310,)</f>
        <v>14831.35</v>
      </c>
    </row>
    <row r="304" spans="1:12" s="11" customFormat="1" x14ac:dyDescent="0.3">
      <c r="A304" s="11" t="s">
        <v>702</v>
      </c>
      <c r="C304" s="11" t="s">
        <v>50</v>
      </c>
      <c r="G304" s="11">
        <v>0</v>
      </c>
      <c r="H304" s="12">
        <v>0</v>
      </c>
      <c r="J304" s="12">
        <v>0</v>
      </c>
    </row>
    <row r="305" spans="1:12" s="13" customFormat="1" ht="409.6" x14ac:dyDescent="0.3">
      <c r="C305" s="13" t="s">
        <v>28</v>
      </c>
      <c r="D305" s="13" t="s">
        <v>703</v>
      </c>
      <c r="G305" s="13">
        <v>0</v>
      </c>
      <c r="K305" s="13" t="s">
        <v>30</v>
      </c>
    </row>
    <row r="306" spans="1:12" s="13" customFormat="1" ht="72" x14ac:dyDescent="0.3">
      <c r="C306" s="13" t="s">
        <v>704</v>
      </c>
      <c r="D306" s="13" t="s">
        <v>705</v>
      </c>
      <c r="G306" s="13">
        <v>0</v>
      </c>
      <c r="K306" s="13" t="s">
        <v>30</v>
      </c>
    </row>
    <row r="307" spans="1:12" s="11" customFormat="1" x14ac:dyDescent="0.3">
      <c r="A307" s="11" t="s">
        <v>706</v>
      </c>
      <c r="C307" s="11" t="s">
        <v>707</v>
      </c>
      <c r="G307" s="11">
        <v>0</v>
      </c>
      <c r="H307" s="12">
        <f>SUM(H308,H309)</f>
        <v>7087.48</v>
      </c>
      <c r="J307" s="12">
        <f>SUM(J308,J309)</f>
        <v>7087.48</v>
      </c>
    </row>
    <row r="308" spans="1:12" s="13" customFormat="1" ht="57.6" x14ac:dyDescent="0.3">
      <c r="A308" s="13" t="s">
        <v>708</v>
      </c>
      <c r="B308" s="13" t="s">
        <v>30</v>
      </c>
      <c r="C308" s="13" t="s">
        <v>709</v>
      </c>
      <c r="D308" s="13" t="s">
        <v>710</v>
      </c>
      <c r="E308" s="13">
        <v>18.399999999999999</v>
      </c>
      <c r="F308" s="13" t="s">
        <v>48</v>
      </c>
      <c r="G308" s="14">
        <v>213.36</v>
      </c>
      <c r="H308" s="15">
        <f t="shared" ref="H308:H309" si="18">IF(AND(ISNUMBER(E308),ISNUMBER(G308)),ROUND(PRODUCT(PRODUCT(E308, G308), 1 - L308), 2),"")</f>
        <v>3925.82</v>
      </c>
      <c r="I308" s="16">
        <v>0</v>
      </c>
      <c r="J308" s="15">
        <f t="shared" ref="J308:J309" si="19">IF(AND(ISNUMBER(H308)),ROUND(PRODUCT(H308, SUM(I308,"1")), 2),"")</f>
        <v>3925.82</v>
      </c>
      <c r="K308" s="13" t="s">
        <v>30</v>
      </c>
      <c r="L308" s="13">
        <v>0</v>
      </c>
    </row>
    <row r="309" spans="1:12" s="13" customFormat="1" ht="43.2" x14ac:dyDescent="0.3">
      <c r="A309" s="13" t="s">
        <v>711</v>
      </c>
      <c r="B309" s="13" t="s">
        <v>30</v>
      </c>
      <c r="C309" s="13" t="s">
        <v>712</v>
      </c>
      <c r="D309" s="13" t="s">
        <v>713</v>
      </c>
      <c r="E309" s="13">
        <v>2</v>
      </c>
      <c r="F309" s="13" t="s">
        <v>47</v>
      </c>
      <c r="G309" s="14">
        <v>1580.83</v>
      </c>
      <c r="H309" s="15">
        <f t="shared" si="18"/>
        <v>3161.66</v>
      </c>
      <c r="I309" s="16">
        <v>0</v>
      </c>
      <c r="J309" s="15">
        <f t="shared" si="19"/>
        <v>3161.66</v>
      </c>
      <c r="K309" s="13" t="s">
        <v>30</v>
      </c>
      <c r="L309" s="13">
        <v>0</v>
      </c>
    </row>
    <row r="310" spans="1:12" s="11" customFormat="1" x14ac:dyDescent="0.3">
      <c r="A310" s="11" t="s">
        <v>714</v>
      </c>
      <c r="C310" s="11" t="s">
        <v>715</v>
      </c>
      <c r="G310" s="11">
        <v>0</v>
      </c>
      <c r="H310" s="12">
        <f>SUM(H311,H312,H313)</f>
        <v>7743.87</v>
      </c>
      <c r="J310" s="12">
        <f>SUM(J311,J312,J313)</f>
        <v>7743.87</v>
      </c>
    </row>
    <row r="311" spans="1:12" s="13" customFormat="1" ht="302.39999999999998" x14ac:dyDescent="0.3">
      <c r="A311" s="13" t="s">
        <v>716</v>
      </c>
      <c r="B311" s="13" t="s">
        <v>30</v>
      </c>
      <c r="C311" s="13" t="s">
        <v>717</v>
      </c>
      <c r="D311" s="13" t="s">
        <v>718</v>
      </c>
      <c r="E311" s="13">
        <v>27</v>
      </c>
      <c r="F311" s="13" t="s">
        <v>47</v>
      </c>
      <c r="G311" s="14">
        <v>179.81</v>
      </c>
      <c r="H311" s="15">
        <f>IF(AND(ISNUMBER(E311),ISNUMBER(G311)),ROUND(PRODUCT(PRODUCT(E311, G311), 1 - L311), 2),"")</f>
        <v>4854.87</v>
      </c>
      <c r="I311" s="16">
        <v>0</v>
      </c>
      <c r="J311" s="15">
        <f>IF(AND(ISNUMBER(H311)),ROUND(PRODUCT(H311, SUM(I311,"1")), 2),"")</f>
        <v>4854.87</v>
      </c>
      <c r="K311" s="13" t="s">
        <v>30</v>
      </c>
      <c r="L311" s="13">
        <v>0</v>
      </c>
    </row>
    <row r="312" spans="1:12" s="13" customFormat="1" ht="129.6" x14ac:dyDescent="0.3">
      <c r="A312" s="13" t="s">
        <v>719</v>
      </c>
      <c r="B312" s="13" t="s">
        <v>30</v>
      </c>
      <c r="C312" s="13" t="s">
        <v>720</v>
      </c>
      <c r="D312" s="13" t="s">
        <v>721</v>
      </c>
      <c r="E312" s="13">
        <v>15.44</v>
      </c>
      <c r="F312" s="13" t="s">
        <v>48</v>
      </c>
      <c r="G312" s="14">
        <v>168.94</v>
      </c>
      <c r="H312" s="15">
        <f>IF(AND(ISNUMBER(E312),ISNUMBER(G312)),ROUND(PRODUCT(PRODUCT(E312, G312), 1 - L312), 2),"")</f>
        <v>2608.4299999999998</v>
      </c>
      <c r="I312" s="16">
        <v>0</v>
      </c>
      <c r="J312" s="15">
        <f>IF(AND(ISNUMBER(H312)),ROUND(PRODUCT(H312, SUM(I312,"1")), 2),"")</f>
        <v>2608.4299999999998</v>
      </c>
      <c r="K312" s="13" t="s">
        <v>30</v>
      </c>
      <c r="L312" s="13">
        <v>0</v>
      </c>
    </row>
    <row r="313" spans="1:12" s="13" customFormat="1" ht="158.4" x14ac:dyDescent="0.3">
      <c r="A313" s="13" t="s">
        <v>722</v>
      </c>
      <c r="B313" s="13" t="s">
        <v>30</v>
      </c>
      <c r="C313" s="13" t="s">
        <v>723</v>
      </c>
      <c r="D313" s="13" t="s">
        <v>724</v>
      </c>
      <c r="E313" s="13">
        <v>17.16</v>
      </c>
      <c r="F313" s="13" t="s">
        <v>48</v>
      </c>
      <c r="G313" s="14">
        <v>16.350000000000001</v>
      </c>
      <c r="H313" s="15">
        <f>IF(AND(ISNUMBER(E313),ISNUMBER(G313)),ROUND(PRODUCT(PRODUCT(E313, G313), 1 - L313), 2),"")</f>
        <v>280.57</v>
      </c>
      <c r="I313" s="16">
        <v>0</v>
      </c>
      <c r="J313" s="15">
        <f>IF(AND(ISNUMBER(H313)),ROUND(PRODUCT(H313, SUM(I313,"1")), 2),"")</f>
        <v>280.57</v>
      </c>
      <c r="K313" s="13" t="s">
        <v>30</v>
      </c>
      <c r="L313" s="13">
        <v>0</v>
      </c>
    </row>
  </sheetData>
  <autoFilter ref="A23:L313" xr:uid="{00000000-0001-0000-0000-000000000000}"/>
  <mergeCells count="14">
    <mergeCell ref="A11:X11"/>
    <mergeCell ref="A12:X12"/>
    <mergeCell ref="A13:X13"/>
    <mergeCell ref="A22:X22"/>
    <mergeCell ref="A6:X6"/>
    <mergeCell ref="A7:X7"/>
    <mergeCell ref="A8:X8"/>
    <mergeCell ref="A9:X9"/>
    <mergeCell ref="A10:X10"/>
    <mergeCell ref="A1:X1"/>
    <mergeCell ref="A2:X2"/>
    <mergeCell ref="A3:X3"/>
    <mergeCell ref="A4:X4"/>
    <mergeCell ref="A5:X5"/>
  </mergeCells>
  <pageMargins left="0.7" right="0.7" top="0.75" bottom="0.75" header="0.3" footer="0.3"/>
  <pageSetup orientation="portrait" horizontalDpi="4294967295" verticalDpi="4294967295"/>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A51507092ABC42A1F78E63565BAFD7" ma:contentTypeVersion="13" ma:contentTypeDescription="Create a new document." ma:contentTypeScope="" ma:versionID="734188f9c1b952b39dcdf50d050f4aa5">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775bb8f63432d086516b657537b92153"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Props1.xml><?xml version="1.0" encoding="utf-8"?>
<ds:datastoreItem xmlns:ds="http://schemas.openxmlformats.org/officeDocument/2006/customXml" ds:itemID="{713C39BE-D748-4E63-BE05-009A71E035E5}">
  <ds:schemaRefs>
    <ds:schemaRef ds:uri="http://schemas.microsoft.com/sharepoint/v3/contenttype/forms"/>
  </ds:schemaRefs>
</ds:datastoreItem>
</file>

<file path=customXml/itemProps2.xml><?xml version="1.0" encoding="utf-8"?>
<ds:datastoreItem xmlns:ds="http://schemas.openxmlformats.org/officeDocument/2006/customXml" ds:itemID="{727AD972-59C9-4326-B8D8-32F7F212F8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15974b-6f1e-4350-9f7e-2d11fb1812c4"/>
    <ds:schemaRef ds:uri="cb3740f1-362a-4884-a648-7855dba250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84CDAF-748D-4DB5-AB4E-CC9EFEEEDB44}">
  <ds:schemaRefs>
    <ds:schemaRef ds:uri="http://schemas.microsoft.com/office/2006/metadata/properties"/>
    <ds:schemaRef ds:uri="http://schemas.microsoft.com/office/infopath/2007/PartnerControls"/>
    <ds:schemaRef ds:uri="f915974b-6f1e-4350-9f7e-2d11fb1812c4"/>
    <ds:schemaRef ds:uri="cb3740f1-362a-4884-a648-7855dba250b9"/>
  </ds:schemaRefs>
</ds:datastoreItem>
</file>

<file path=docMetadata/LabelInfo.xml><?xml version="1.0" encoding="utf-8"?>
<clbl:labelList xmlns:clbl="http://schemas.microsoft.com/office/2020/mipLabelMetadata">
  <clbl:label id="{60b37cb2-a399-4c31-a85a-411fc8b623d3}" enabled="1" method="Standard" siteId="{d04f4717-5a6e-4b98-b3f9-6918e0385f4c}"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2025-03-21T05:48:34Z</dcterms:created>
  <dcterms:modified xsi:type="dcterms:W3CDTF">2025-07-17T07:53:55Z</dcterms:modified>
  <cp:category/>
  <dc:language>hr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0x01010053A51507092ABC42A1F78E63565BAFD7</vt:lpwstr>
  </property>
  <property fmtid="{D5CDD505-2E9C-101B-9397-08002B2CF9AE}" pid="3" name="Order">
    <vt:r8>1168500</vt:r8>
  </property>
  <property fmtid="{D5CDD505-2E9C-101B-9397-08002B2CF9AE}" pid="4" name="_ExtendedDescription">
    <vt:lpwstr/>
  </property>
  <property fmtid="{D5CDD505-2E9C-101B-9397-08002B2CF9AE}" pid="5" name="TriggerFlowInfo">
    <vt:lpwstr/>
  </property>
  <property fmtid="{D5CDD505-2E9C-101B-9397-08002B2CF9AE}" pid="6" name="ComplianceAssetId">
    <vt:lpwstr/>
  </property>
  <property fmtid="{D5CDD505-2E9C-101B-9397-08002B2CF9AE}" pid="7" name="MediaServiceImageTags">
    <vt:lpwstr/>
  </property>
</Properties>
</file>
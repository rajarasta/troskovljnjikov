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04_Zemljani radovi/Prijedlog za slanje 13.10.2025/"/>
    </mc:Choice>
  </mc:AlternateContent>
  <xr:revisionPtr revIDLastSave="21" documentId="8_{EC78B8FA-4210-4FC7-899D-7598690AED0D}" xr6:coauthVersionLast="47" xr6:coauthVersionMax="47" xr10:uidLastSave="{1F3778C0-7517-464A-A4A5-F1F544310A22}"/>
  <bookViews>
    <workbookView xWindow="-120" yWindow="-120" windowWidth="38640" windowHeight="21120" activeTab="1" xr2:uid="{1DCB4E82-B7F2-4F92-B0C9-70D6675A916B}"/>
  </bookViews>
  <sheets>
    <sheet name="NASLOVNICA" sheetId="1" r:id="rId1"/>
    <sheet name="1. ISKOPI I NASIPI GRAĐEVINE" sheetId="2" r:id="rId2"/>
  </sheets>
  <definedNames>
    <definedName name="_xlnm._FilterDatabase" localSheetId="1" hidden="1">'1. ISKOPI I NASIPI GRAĐEVINE'!$E$1:$E$128</definedName>
    <definedName name="_xlnm.Print_Area" localSheetId="1">'1. ISKOPI I NASIPI GRAĐEVINE'!$A$1:$F$128</definedName>
    <definedName name="_xlnm.Print_Titles" localSheetId="1">'1. ISKOPI I NASIPI GRAĐEVINE'!18:18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4" i="2" l="1"/>
  <c r="F119" i="2"/>
  <c r="F118" i="2"/>
  <c r="F117" i="2"/>
  <c r="F116" i="2"/>
  <c r="F115" i="2"/>
  <c r="F114" i="2"/>
  <c r="F108" i="2"/>
  <c r="F107" i="2"/>
  <c r="F106" i="2"/>
  <c r="F105" i="2"/>
  <c r="F104" i="2"/>
  <c r="F103" i="2"/>
  <c r="F90" i="2"/>
  <c r="F86" i="2"/>
  <c r="F80" i="2"/>
  <c r="F79" i="2"/>
  <c r="F66" i="2"/>
  <c r="F61" i="2"/>
  <c r="F60" i="2"/>
  <c r="F59" i="2"/>
  <c r="F54" i="2"/>
  <c r="F53" i="2"/>
  <c r="F41" i="2"/>
  <c r="F36" i="2"/>
  <c r="F30" i="2"/>
  <c r="F29" i="2"/>
  <c r="F55" i="2" l="1"/>
  <c r="F81" i="2"/>
  <c r="F92" i="2" s="1"/>
  <c r="F120" i="2"/>
  <c r="F62" i="2"/>
  <c r="F109" i="2"/>
  <c r="F31" i="2"/>
  <c r="F43" i="2" s="1"/>
  <c r="F68" i="2" l="1"/>
  <c r="F126" i="2"/>
  <c r="F128" i="2" l="1"/>
</calcChain>
</file>

<file path=xl/sharedStrings.xml><?xml version="1.0" encoding="utf-8"?>
<sst xmlns="http://schemas.openxmlformats.org/spreadsheetml/2006/main" count="195" uniqueCount="153">
  <si>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</si>
  <si>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</si>
  <si>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</si>
  <si>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</si>
  <si>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</si>
  <si>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</si>
  <si>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</si>
  <si>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</si>
  <si>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</si>
  <si>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</si>
  <si>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</si>
  <si>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</si>
  <si>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</si>
  <si>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</si>
  <si>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</si>
  <si>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</si>
  <si>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</si>
  <si>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</si>
  <si>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</si>
  <si>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</si>
  <si>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</si>
  <si>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</si>
  <si>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</si>
  <si>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</si>
  <si>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</si>
  <si>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</si>
  <si>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</si>
  <si>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1.</t>
  </si>
  <si>
    <t>ISKOPI I NASIPI GRAĐEVINE</t>
  </si>
  <si>
    <t>OPĆI UVJETI</t>
  </si>
  <si>
    <t>NAPOMENA: Radovi se izvode prema opisu u troškovniku, prema podacima iz projektne dokumentacije, uz rješavanje svih eventualnih pitanja u suradnji s projektantom i u skladu s važećim standardima. Sav upotrebljeni materijal mora odgovarati postojećim propisima i standardima. Sve su dimenzije konstruktivnih elemenata date okvirno. Prije izvedbe obavezno uzeti točne mjere na građevini.
Radovi iskopa rovova kanalizacije, vodovoda, priključaka elektrike, plina, telefona i svih ostalih priključaka nisu predmet obrade ovog troškovnika, kao ni radovi uređenja okoliša građevine.
Dužnost je izvođača da utvrdi pravi sastav tla, odnosno njegovu kategoriju i ukoliko odstupa od kategorije tla predviđene projektnom dokumentacijom, dužan je o tome obavijestiti projektanta konstrukcijei nadzornog inženjera.</t>
  </si>
  <si>
    <t>Potrebno je po izvedbi iskopa na projektiranu kotu izvršiti pregled po nadzornom inžinjeru, te utvrditi da li zatečena svojstva odgovaraju svojstvima određenima projektnom dokumentacijom. Podatke o navedenom pregledu, te potrebnim mjerama koje će se eventualno morati provesti potrebno je notirati u građevinski dnevnik izvođača radova. Planiranje dna širokog iskopa i iskopa za temeljenje izvesti sa točnošću od +/- 3 cm, što je uključeno u jediničnu cijenu. Pripremanje iskopa vrši se u prisustvu nadzornog inženjera. Iskop na određenu dubinu završiti neposredno prije početka izvedbe slojeva konstrukcije, da se ležajna ploha ne bi raskvasila. Dno iskopa mora se nalaziti na nosivom tlu bez obzira na projektiranu dubinu temeljenja. Eventualno potrebni dodatni iskopi platit će se prema stvarnim količinama. Ukoliko izvođač prilikom iskopa zemlje naiđe na bilo kakve predmete, objekte ili instalacije, dužan je</t>
  </si>
  <si>
    <t>na tom mjestu obustaviti radove i o tome obavijestiti investitora i nadzornog inženjera.
Podupiranja, razupiranja i zaštita iskopa od oborinskih voda, obuhvaćena su jediničnim cijenama. Potrebna građa za podupiranje mora biti pripremljena na gradilištu prije početka iskopa. Ako se iskopane jame oštete, odrone ili zatrpaju nepažnjom, ili uslijed nedovoljnog podupiranja, izvođač ih dovodi u ispravno stanje, bez posebne naknade. Sve iskope unutar i oko postojeće građevine potrebno je izvoditi ručno, kako prilikom izvođenja radova ne bi došlo do oštećivanja postojećih konstruktivnih elemenata i temeljne konstrukcije građevine. Iskopani materijal transportira se u prijevozno sredstvo, te se otprema prema opisu pojedine stavke. Gradski deponij udaljen je do 10 km od gradilišta.
Prilikom vršenja iskopa za dodatne nove temelje, u slučaju nailaska između lokacija bušotina na</t>
  </si>
  <si>
    <t>dubini temeljenja na tlo loših geotehničkih osobina kao što je organsko tlo ili neki lošiji nasipni materijal, ili istovrsno tlo bitno veće stišljivosti, potrebno ga je iskopati do nosivog tla, i po prethodno odgovarajuće stabiliziranoj podlozi izvršiti zamjenu odgovarajućim zamjenskim materijalom do visine kote temeljenja, vodeći računa o pravilnoj ugradnji zamjenskog materijala (odgovarajuće sabijanje).
Radove iskopa u svim dijelovima spojeva projektiranih konstrukcija s postojećim konstruktivnim elementima izvoditi pažljivo, ručnim iskopom, kako prilikom izvođenja radova ne bi došlo do oštećivanja i narušavanja stabilnosti postojeće konstrukcije. Sve iskope uz postojeće temeljne kosntrukcije izvoditi u kampadama, u shemi i širini polja prema projektnoj dokumentaciji i uputama projektanta konstrukcije, kako bi se tijekom izvođenja radova osigurala stabilnost postojeće temeljne konstrukcije i</t>
  </si>
  <si>
    <t>obodnih zidova građevine.
Pri izvedbi zemljanih radova moraju se u potpunosti primjenjivati postojeći propisi - Pravilnik o zaštiti na radu u građevinarstvu, građevinske norme i HTZ propisi.
Svi iskopi zemlje vrše se strojno, a samo djelomično ručno (planiranja). Iskope izvesti točno po projektu, u skladu sa geomehaničkim izvještajem. Propisane mjere presjeka - profila ne smiju se prekoračiti bez posebnog odobrenja nadzorne službe.
Kosine širokog iskopa prilagoditi kategoriji terena.
Kod eventualne pojave vode (kiše, topljenje snijega ili podzemne vode) izvoditelj treba izvršiti odvodnjavanje iste sa iskopanih površina (sabirna okna i crpljenje vode), te zaštiti iskopane profile.
iskopani materijal upotrijebiti za nasipavanje i zatrpavanje. Isti treba prevesti na gradilišni</t>
  </si>
  <si>
    <t>deponij, uskladištiti te poslije upotrijebiti. Višak iskopanog materijala odvesti na gradski deponij.
Nasipavanje unutar i oko objekta izvesti do tražene zbijenosti, odnosno u slojevima od po 20 cm, sa strojnim nabijanjem i vlaženjem vodom.
Prije početka ostalih radova (betoniranje, postava oplate) geomehaničar treba pregledati kvalitetu tla i odobriti početak radova.
Jediničnom cijenom obuhvaćeno je:
- sav rad i materijal;
- svi prijenosi i prijevozi;
- sva potrebna priručna sredstva za izvođenje radova;
- sva podupiranja i razupiranja ako su potrebna;
- zaštitne mjere kod eventualne pojave vode;
- održavanje čistoće na vanjskim putevima kroz koje prolazi transport zemlje sa i na gradilište.
Obračun iskopanih i nasutih količina vršiti u sraslom stanju materijala, a prema postojećim</t>
  </si>
  <si>
    <t>normama GN. Sve koeficijente zbijenosti i rastresitosti obračunati u jediničnoj cijeni radova.
Radovi se izvode na ravnom terenu, u tlu A, B i C kategorije. Izvedbu zemljanih radova koordinirati sa geomehaničkim izvještajem i pismeno potvrditi upisom u građevinski dnevnik od strane ovlaštenog geomehaničara zaduženog za praćenje zemljanih radova.
U jediničnoj cijeni stavki iskopa uračunati regulaciju procjednih i podzemne vode za vrijeme trajanja zemljanih radova sustavom dreniranja i prepumpavanja.
Pokose iskopa zaštititi od erozije prema uputama iz geomehaničkog izvještaja i uz koordinaciju sa ovlaštenim geomehaničarom zaduženim za praćenje zemljanih radova.
U jediničnoj cijeni stavki iskopa uračunati izradu nanosnih skela u skladu sa uputama geodeta i geodetsko praćenje prijenosa ključnih</t>
  </si>
  <si>
    <t>geodetskih točaka na teren.
Izvođač radova je dužan kontrolirati kvalitetu temeljnog tla i prema potrebi uz suradnju sa ovlaštenim geomehaničarom i nadzornim inženjerom odrediti metodu poboljšanja nosivog tla.
Izvođač zemljanih radova je dužan osigurati pranje vozila prije izlaska sa gradilišta i održavanje čistoće pristupnih puteva za vrijeme trajanja svih radova.
Izvođač radova je dužan ishoditi dozvolu i platiti naknadu za prekomjernu upotrebu javnih cesta.
Izvođač radova je dužan ishoditi dozvolu i platiti naknadu za eksploataciju rudnih bogatstava odnosno snosi sve troškove zbrinjavanje iskopanog materijala na trajnoj deponiji.
Uključivo svi potrebni tipski profili, elementi, fazonski komadi i/ili sl. Obaveza je izvođača proučiti sve projekte predmetne građevine, te u</t>
  </si>
  <si>
    <t>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</si>
  <si>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</si>
  <si>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</si>
  <si>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</si>
  <si>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</si>
  <si>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</si>
  <si>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</si>
  <si>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1.1.</t>
  </si>
  <si>
    <t xml:space="preserve">OPĆI ISKOPI </t>
  </si>
  <si>
    <t>Izvedba u svemu prema standardnoj tehničkoj specifikaciji prodajnog mjesta Eurospin NS03 R1 HR - DRAFT - točka 1.1.</t>
  </si>
  <si>
    <t>1.1.1.</t>
  </si>
  <si>
    <t>Opći iskop za zemljane radove s obzirom na građevinski objekt</t>
  </si>
  <si>
    <t>Strojni široki iskop na donju kotu nosivog naboja drobljenca ispod podne ploče prizemlja građevine s direktnim utovarom u transporter i odvozom na gradski deponij.
Iskopi će se uvijek izvoditi s blagim nagibom prema granicama područja zahvata (prateći prirodne linije odvodnje) kako bi se izbjegla stagnacija vode u podnožju nasipa koji će se naknadno izvesti. Prije polaganja materijala za izradu nasipa prirodno tlo će se zbiti valjkom za nabijanje.
Dio kvalitetnog iskopanog materijala deponirati na gradilišni deponij za potrebe zatrpavanja i niveliranja nakon izvedbe svih podzemnih dijelova građevina. U jedničnoj cijeni uključen trošak svih unutarnjih transporta na i s gradilišnog deponija.
Ako geomehaničar odredi uvidom na licu mjesta, ili Ms nije veći od 15 MPa, treba izvesti zamjenu materijala u debljini koju odredi geomehaničar i</t>
  </si>
  <si>
    <t>projektant konstrukcije.
Tlo C kategorije prema geotehničkom elaboratu.
Izvedba u svemu prema standardnoj tehničkoj specifikaciji prodajnog mjesta Eurospin - točka 1.1.2
Obračun po m3.</t>
  </si>
  <si>
    <t>1.1.1.a.</t>
  </si>
  <si>
    <t>široki iskop</t>
  </si>
  <si>
    <t>m³</t>
  </si>
  <si>
    <t>1.1.1.b.</t>
  </si>
  <si>
    <t>široki iskop za zamjenu materijala</t>
  </si>
  <si>
    <t>1.1.2.</t>
  </si>
  <si>
    <t>Iskop rampe</t>
  </si>
  <si>
    <t>Strojni široki skop uz rampu za istovar robe, do visine propisane projektnim nacrtima, uključujući utovar materijala na vozilo, odvoz na javna ovlaštena odlagališta, istovar, odlaganje i plaćanje naknade za odlaganje otpada. Iskop će se izvesti do razine koja će omogućiti formiranje ploče debljine 20 cm, odnosno u skladu s projektom i u skladu sa zahtjevima geološkog elaborata te pogodne za provoz i parkiranje teških vozila od 45 tona. Ako gornja površina iskopa ne postigne modul kompresije od najmanje 15 Mpa, izvršit će se, uključeno u opseg Izvođača, kompenzirano u cijeni i u dogovoru s geologom, Voditeljem gradilišta i Naručiteljem, intervencija za povećanje kapaciteta tla (geotekstil, (tkani i/ili netkani), stabilizator veziva (vapno i/ili cement), povećanje dubine iskopa).
Uključujući uklanjanje bilo kojeg objekta (temelja, panjeva ili bilo kojeg drugog objekta</t>
  </si>
  <si>
    <t>ili materijala koji bi mogao utjecati na homogenost i nosivost ploče), planiranje dna iskopa, privremene radove i osiguranje od voda.
Izvedba u svemu prema standardnoj tehničkoj specifikaciji prodajnog mjesta Eurospin - točka 1.1.3</t>
  </si>
  <si>
    <t>1.1.2.a.</t>
  </si>
  <si>
    <t>iskop za rampu</t>
  </si>
  <si>
    <t>1.1.3.</t>
  </si>
  <si>
    <t>Nestandardni iskop oko postojeće podrumske etaže</t>
  </si>
  <si>
    <t>Strojni i ručni iskop uz ukopane vanjske zidove podrumske etaže postojećeg dijela objekta radi izvođenja toplinske izolacije i/ili hidroizolacije ukopanih zidova, izvođenja ukopanog ab svjetlarnika i sl. do razine propisane projektom (cijela visina zidova), uključujući utovar materijala na vozilo, odvoz na javna ovlaštena odlagališta, istovar, odlaganje i plaćanje naknade za odlaganje otpada. Širina iskopa dovoljna za izvođenje radova izolacije zidova te izvođenja ab svjetlarnka.
Iskopi će se uvijek izvoditi s blagim nagibom prema granicama područja zahvata (prateći prirodne linije odvodnje) kako bi se izbjegla stagnacija vode u podnožju nasipa koji će se naknadno izvesti. Prije polaganja materijala za izradu nasipa prirodno tlo će se zbiti valjkom za nabijanje.
Dio kvalitetnog iskopanog materijala deponirati na gradilišni deponij za potrebe zatrpavanja i</t>
  </si>
  <si>
    <t>niveliranja nakon izvedbe svih podzemnih dijelova građevina. U jedničnoj cijeni uključen trošak svih unutarnjih transporta na i s gradilišnog deponija.
Ako geomehaničar odredi uvidom na licu mjesta, ili Ms nije veći od 15 MPa, treba izvesti zamjenu materijala u debljini koju odredi geomehaničar i projektant konstrukcije.
Tlo C kategorije prema geotehničkom elaboratu.
Izvedba u svemu prema standardnoj tehničkoj specifikaciji prodajnog mjesta Eurospin - točka 1.1.4
Obračun po m3.</t>
  </si>
  <si>
    <t>1.1.3.a.</t>
  </si>
  <si>
    <t/>
  </si>
  <si>
    <t>OPĆI ISKOPI  UKUPNO:</t>
  </si>
  <si>
    <t>1.2.</t>
  </si>
  <si>
    <t>ISKOPI ZADANOG PRESJEKA</t>
  </si>
  <si>
    <t>Izvedba u svemu prema standardnoj tehničkoj specifikaciji prodajnog mjesta Eurospin NS03 R1 HR - DRAFT - točka 1.2.</t>
  </si>
  <si>
    <t>1.2.1.</t>
  </si>
  <si>
    <t>Iskop za temelje samce</t>
  </si>
  <si>
    <t>Strojni široki iskop na donju kotu nosivog naboja drobljenca ispod temelja samaca sa direktnim utovarom u transporter i odvozom na gradski deponij.
Pokose temeljnih jama izvesti u omjeru 2:1.
Iskop se izvodi na površini omeđenoj tlocrtnom projekcijom temelja samaca obodno uvećanoj za radni prostor min. širine 60 cm. Dio kvalitetnog iskopanog materijala deponirati na gradilišni deponij za potrebe zatrpavanja i niveliranja nakon izvedbe svih podzemnih dijelova građevina.
Tlo C kategorije.
Izvedba u svemu prema standardnoj tehničkoj specifikaciji prodajnog mjesta Eurospin - točka 1.2.1
Obračun po m3.</t>
  </si>
  <si>
    <t>1.2.1.a.</t>
  </si>
  <si>
    <t>iskop za temelje samce</t>
  </si>
  <si>
    <t>1.2.1.b.</t>
  </si>
  <si>
    <t>iskop za zamjenu materijala</t>
  </si>
  <si>
    <t>1.2.2.</t>
  </si>
  <si>
    <t>Iskop za temeljne grede, trakaste temelje i/ili sl.</t>
  </si>
  <si>
    <t>Strojni široki iskop na donju kotu podložnog betona ispod trakastih temelja, temeljnih greda i sl. s direktnim utovarom u transporter i odvozom na gradski deponij.
Iskop se izvodi na površini omeđenoj tlocrtnom projekcijom temelja obodno uvećanoj za radni prostor min. širine 60 cm.
Tlo C kategorije.
Izvedba u svemu prema standardnoj tehničkoj specifikaciji prodajnog mjesta Eurospin - točka 1.2.2
Obračun po m3.</t>
  </si>
  <si>
    <t>1.2.2.a.</t>
  </si>
  <si>
    <t>iskop za temeljne grede  - objekt</t>
  </si>
  <si>
    <t>1.2.2.b.</t>
  </si>
  <si>
    <t>iskop za temeljne trake podne ploče gospodarskog dvorišta</t>
  </si>
  <si>
    <t>1.2.2.c.</t>
  </si>
  <si>
    <t>iskop za temeljnu traku potpornog zida dostavne rampe</t>
  </si>
  <si>
    <t>1.2.3.</t>
  </si>
  <si>
    <t>Dodatni iskop za razne temelje - totem, potporni zidovi na terenu i/ili sl.</t>
  </si>
  <si>
    <t>Strojni točkasti iskop na donju kotu podložnog betona ispod temelja sa direktnim utovarom u transporter i odvozom na gradsku deponiju.
Točkasti iskop u više nivoa dubine max. do 80 cm.
Iskop se izvodi na površini omeđenoj tlocrtnom projekcijom temelja obodno uvećanoj za radni prostor minimalno širine 60 cm.
Tlo C kategorije.
Izvedba u svemu prema standardnoj tehničkoj specifikaciji prodajnog mjesta Eurospin - točka 1.2.2.
Obračun po m3.</t>
  </si>
  <si>
    <t>1.2.3.a.</t>
  </si>
  <si>
    <t>iskop za temelje totema</t>
  </si>
  <si>
    <t>ISKOPI ZADANOG PRESJEKA UKUPNO:</t>
  </si>
  <si>
    <t>1.3.</t>
  </si>
  <si>
    <t>NASIPAVANJA</t>
  </si>
  <si>
    <t>Izvedba u svemu prema standardnoj tehničkoj specifikaciji prodajnog mjesta Eurospin NS03 R1 HR - DRAFT - točka 1.3.</t>
  </si>
  <si>
    <t>1.3.1.</t>
  </si>
  <si>
    <t>Nasipavanja nasipnim materijalom oko temelja samaca, temeljnih greda i/ili sl.</t>
  </si>
  <si>
    <t>Dobava materijala, transporti, nasipavanje i zbijanje drobljenca, uz korištenje dijela materijala iz iskopa, granulacije 0-63 mm u slojevima debljine do maksimalno 30 cm.
Materijal mora udovoljiti uvjetima norme HRN EN 13242 ili jednakovrijedno.
Ravnost površine nasipa mjeri se kao odstupanje površine sloja od letve duljine 4,0 m. Odstupanje smije biti najviše 20 mm, sve prema HRN DIN 18202 ili jednakovrijedno.
Stavka uključuje strojno zbijanje prema uputi projektanta konstrukcije do zbijenosti minimalno 50 MPa. Uključeno mjerenje modula stišljivosti kružnom pločom promjera 30 cm, na svakih 500 m2.
Svaki sloj mora biti zbijen tako da se dobije suha gustoća ne manja od 95% modificirane AASHO suhe gustoće prije nanošenja sljedećeg sloja; dok se ne postigne modul deformacije Md ≥ 50 MPa i stupanj zbijenosti Md/M 1 d &gt; 0,5 izmjeren testovima na dijam. 30 cm pri dvostrukom ciklusu</t>
  </si>
  <si>
    <t>opterećenja prema CNR BU 146/92 u rasponu opterećenja predviđenom za „temeljne slojeve“. Moduli Md i M1d koji odgovaraju prvom i drugom ciklusu opterećenja odredit će se mjerenjem slijeganja u rasponu opterećenja između 0,15 i 0,25 N/mm2.
Izvedba u svemu prema standardnoj tehničkoj specifikaciji prodajnog mjesta Eurospin - točka 1.3.1
Obračun po m3.</t>
  </si>
  <si>
    <t>1.3.1.a.</t>
  </si>
  <si>
    <t>nasip oko temelja samaca</t>
  </si>
  <si>
    <t>1.3.1.b.</t>
  </si>
  <si>
    <t>nasip oko temeljnih greda, trakastih temelja i/ili sl.</t>
  </si>
  <si>
    <t>1.3.2.</t>
  </si>
  <si>
    <t>Nestandardna nasipavanja nasipnim materijalom oko etaže podruma</t>
  </si>
  <si>
    <t>1.3.2.a.</t>
  </si>
  <si>
    <t>nasip oko etaže podruma</t>
  </si>
  <si>
    <t>1.3.3.</t>
  </si>
  <si>
    <t>Zamjena materijala ispod dijela temelja samaca</t>
  </si>
  <si>
    <t>Dobava materijala, transporti, nasipavanje i zbijanje drobljenca granulacije 0-63 mm, u svrhu zamjene tla ispod dijela temelja samaca, u slojevima debljine do maksimalno 30 cm.
Materijal mora udovoljiti uvjetima norme HRN EN 13242 ili jednakovrijedno.
Ravnost površine nasipa mjeri se kao odstupanje površine sloja od letve duljine 4,0 m. Odstupanje smije biti najviše 20 mm, sve prema HRN DIN 18202 ili jednakovrijedno.
Modul stišljivosti Ms, granulacija materijala i sl. strogo prema zahtjevima odgovarajućih projekata, odnosno u svemu strogo prema zahtjevima i uputama geomehaničkog elaborata, zahtjevima statičara i statičkog proračuna i sl..
Stavka je opcijska: izvodi se prema potrebi ukoliko tlo ne zadovoljava, prema odluci nadzornog inženjera i upisu u građevinski dnevnik. Obračun po m3 nasipanog materijala u zbijenom stanju, a predviđa se:</t>
  </si>
  <si>
    <t>1.3.3.a.</t>
  </si>
  <si>
    <t>NASIPAVANJA UKUPNO:</t>
  </si>
  <si>
    <t>1.4.</t>
  </si>
  <si>
    <t>STANDARDNI TEMELJNI SLOJEVI PODNIH PLOČA PRIZEMLJA</t>
  </si>
  <si>
    <t>Izvedba u svemu prema standardnoj tehničkoj specifikaciji prodajnog mjesta Eurospin NS03 R1 HR - DRAFT - točka 1.4.</t>
  </si>
  <si>
    <t>1.4.1.</t>
  </si>
  <si>
    <t>Temeljni sloj kamenog materijala debljine 40 cm ispod armiranobetonske temeljne ploče, podnih ploča, dostavne rampe i/ili sl.</t>
  </si>
  <si>
    <t>Dobava materijala, transporti, nasipavanje i zbijanje drobljenca granulacije 0-63 mm u slojevima debljine do maksimalno 30 cm, ukupne debljine 40 cm u zbijenom stanju.
Materijal mora udovoljiti uvjetima norme HRN EN 13242 ili jednakovrijedno.
Ravnost površine nasipa mjeri se kao odstupanje površine sloja od letve duljine 4,0 m. Odstupanje smije biti najviše 20 mm, sve prema HRN DIN 18202 ili jednakovrijedno.
Stavka uključuje strojno zbijanje prema uputi projektanta konstrukcije do zbijenosti min. 100 MPa. Uključeno mjerenje modula stišljivosti kružnom pločom promjera 30 cm, na svakih 500 m2.
Svaki sloj mora biti zbijen tako da se dobije suha gustoća ne manja od 95% modificirane AASHO suhe gustoće prije nanošenja sljedećeg sloja; dok se ne postigne modul deformacije Md ≥ 100 MPa i stupanj zbijenosti Md/M 1 d &gt; 0,5 izmjeren testovima na dijam. 30 cm pri dvostrukom ciklusu</t>
  </si>
  <si>
    <t>opterećenja prema CNR BU 146/92 u rasponu opterećenja predviđenom za „temeljne slojeve“. Moduli Md i M1d koji odgovaraju prvom i drugom ciklusu opterećenja odredit će se mjerenjem slijeganja u rasponu opterećenja između 0,25 i 0,35 N/mm2.
Potrebno dodati nasipavanje ukoliko tlo nije bilo zadovoljavajuće kvalitete i bilo je potrebno izvršiti zamjenu materijala.
Izvedba u svemu prema standardnoj tehničkoj specifikaciji prodajnog mjesta Eurospin - točka 1.4.1
Obračun po m3.</t>
  </si>
  <si>
    <t>1.4.1.a.</t>
  </si>
  <si>
    <t>nasip ispod unutarnje podne ploče prizemlja</t>
  </si>
  <si>
    <t>1.4.1.b.</t>
  </si>
  <si>
    <t>nasip ispod dostavne rampe</t>
  </si>
  <si>
    <t>1.4.1.c.</t>
  </si>
  <si>
    <t>nasip ispod istovarne rampe</t>
  </si>
  <si>
    <t>1.4.1.d.</t>
  </si>
  <si>
    <t xml:space="preserve">nasip ispod ploče glavnog ulaza </t>
  </si>
  <si>
    <t>1.4.1.e.</t>
  </si>
  <si>
    <t>nasip ispod ploče pješačkih površina</t>
  </si>
  <si>
    <t>1.4.1.f.</t>
  </si>
  <si>
    <t>nasip ispod ukopanih svjetlarnika - nestandardno</t>
  </si>
  <si>
    <t>1.4.2.</t>
  </si>
  <si>
    <t>Osnovni sloj kamenog materijala debljine 10 cm ispod unutarnjih armiranobetonskih podnih ploča prizemlja i vanjskih podnih ploča dostavne i istovarne rampe, pješačkih površina i sl.</t>
  </si>
  <si>
    <t>Dobava materijala, transporti, nasipavanje i zbijanje drobljenca granulacije 0-32 mm, ukupne debljine 10 cm u zbijenom stanju.
Materijal mora udovoljiti uvjetima norme HRN EN 13242 ili jednakovrijedno.
Ravnost površine nasipa mjeri se kao odstupanje površine sloja od letve duljine 4,0 m. Odstupanje smije biti najviše 20 mm, sve prema HRN DIN 18202 ili jednakovrijedno.
Stavka uključuje strojno zbijanje prema uputi projektanta konstrukcije do zbijenosti minimalno 100 MPa. Uključeno mjerenje modula stišljivosti kružnom pločom promjera 30 cm, na svakih 500 m2.
Svaki sloj mora biti zbijen tako da se dobije suha gustoća ne manja od 95% modificirane AASHO suhe gustoće prije nanošenja sljedećeg sloja; dok se ne postigne modul deformacije Md ≥ 100 MPa i stupanj zbijenosti Md/M 1 d &gt; 0,5 izmjeren testovima na dijam. 30 cm pri dvostrukom ciklusu opterećenja prema CNR BU 146/92 u rasponu</t>
  </si>
  <si>
    <t>opterećenja predviđenom za „temeljne slojeve“. Moduli Md i M1d koji odgovaraju prvom i drugom ciklusu opterećenja odredit će se mjerenjem slijeganja u rasponu opterećenja između 0,25 i 0,35 N/mm2.
Izvedba u svemu prema standardnoj tehničkoj specifikaciji prodajnog mjesta Eurospin - točka 1.4.2
Obračun po m3.</t>
  </si>
  <si>
    <t>1.4.2.a.</t>
  </si>
  <si>
    <t>1.4.2.b.</t>
  </si>
  <si>
    <t>1.4.2.c.</t>
  </si>
  <si>
    <t>1.4.2.d.</t>
  </si>
  <si>
    <t>nasip ispod ploče glavnog ulaza</t>
  </si>
  <si>
    <t>1.4.2.e.</t>
  </si>
  <si>
    <t>nasip ispod ploča pješačkih površina</t>
  </si>
  <si>
    <t>1.4.2.f.</t>
  </si>
  <si>
    <t>1.4.3.</t>
  </si>
  <si>
    <t>Priprema posteljice iskopa</t>
  </si>
  <si>
    <t>Dobava tipskog geotekstila plošne mase minimalno 400 g/m2, transporti, zbijanje i priprema planuma širokog iskopa.
Stavka uključuje planiranje dna iskopa s točnosti ± 2,0 cm i zbijanje prema potrebi, te mjerenje modula stišljivosti kružnom pločom promjera 30 cm, na svakih 500 m2.
Traženi modul stišljivosti podloge je Ms≥25 MN/m2.
Obračun po m2.</t>
  </si>
  <si>
    <t>1.4.3.a.</t>
  </si>
  <si>
    <t>m²</t>
  </si>
  <si>
    <t>STANDARDNI TEMELJNI SLOJEVI PODNIH PLOČA PRIZEMLJA UKUPNO:</t>
  </si>
  <si>
    <t>ISKOPI I NASIPI GRAĐEVINE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</si>
</sst>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9"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10"/>
      <color theme="1"/>
      <name val="Arial"/>
      <family val="2"/>
    </font>
    <font>
      <sz val="10"/>
      <name val="Arial"/>
      <family val="2"/>
    </font>
    <font>
      <b/>
      <sz val="10"/>
      <color rgb="FFFF0000"/>
      <name val="Arial"/>
      <family val="2"/>
      <charset val="238"/>
    </font>
  </fonts>
  <fills count="5">
    <fill>
      <patternFill patternType="none"/>
    </fill>
    <fill>
      <patternFill patternType="gray125"/>
    </fill>
    <fill>
      <patternFill patternType="solid">
        <fgColor rgb="FFB4B4B4"/>
      </patternFill>
    </fill>
    <fill>
      <patternFill patternType="solid">
        <fgColor rgb="FFD3D3D3"/>
      </patternFill>
    </fill>
    <fill>
      <patternFill patternType="solid">
        <fgColor rgb="FFC8C8C8"/>
      </patternFill>
    </fill>
  </fills>
  <borders count="1">
    <border>
      <left/>
      <right/>
      <top/>
      <bottom/>
      <diagonal/>
    </border>
  </borders>
  <cellStyleXfs count="2">
    <xf numFmtId="0" fontId="0" fillId="0" borderId="0" applyBorder="0"/>
    <xf numFmtId="0" fontId="7" fillId="0" borderId="0"/>
  </cellStyleXfs>
  <cellXfs count="33">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xf>
    <xf numFmtId="0" fontId="5" fillId="2" borderId="0" xfId="0" applyFont="1" applyFill="1"/>
    <xf numFmtId="0" fontId="5" fillId="2" borderId="0" xfId="0" applyFont="1" applyFill="1" applyAlignment="1">
      <alignment wrapText="1"/>
    </xf>
    <xf numFmtId="0" fontId="5" fillId="2" borderId="0" xfId="0" applyFont="1" applyFill="1" applyAlignment="1">
      <alignment horizontal="center"/>
    </xf>
    <xf numFmtId="4" fontId="2" fillId="0" borderId="0" xfId="0" applyNumberFormat="1" applyFont="1"/>
    <xf numFmtId="0" fontId="2" fillId="0" borderId="0" xfId="0" applyFont="1" applyAlignment="1">
      <alignment horizontal="justify" vertical="top" wrapText="1"/>
    </xf>
    <xf numFmtId="0" fontId="5" fillId="3" borderId="0" xfId="0" applyFont="1" applyFill="1" applyAlignment="1">
      <alignment horizontal="center" vertical="center" wrapText="1"/>
    </xf>
    <xf numFmtId="0" fontId="5" fillId="4" borderId="0" xfId="0" applyFont="1" applyFill="1"/>
    <xf numFmtId="0" fontId="5" fillId="4" borderId="0" xfId="0" applyFont="1" applyFill="1" applyAlignment="1">
      <alignment wrapText="1"/>
    </xf>
    <xf numFmtId="0" fontId="5" fillId="4" borderId="0" xfId="0" applyFont="1" applyFill="1" applyAlignment="1">
      <alignment horizontal="center"/>
    </xf>
    <xf numFmtId="0" fontId="2" fillId="0" borderId="0" xfId="0" applyFont="1" applyAlignment="1">
      <alignment vertical="top"/>
    </xf>
    <xf numFmtId="0" fontId="5" fillId="0" borderId="0" xfId="0" applyFont="1" applyAlignment="1">
      <alignment wrapText="1"/>
    </xf>
    <xf numFmtId="0" fontId="2" fillId="0" borderId="0" xfId="0" applyFont="1" applyAlignment="1">
      <alignment horizontal="justify" wrapText="1"/>
    </xf>
    <xf numFmtId="4" fontId="6" fillId="0" borderId="0" xfId="0" applyNumberFormat="1" applyFont="1" applyAlignment="1">
      <alignment horizontal="center"/>
    </xf>
    <xf numFmtId="0" fontId="2" fillId="0" borderId="0" xfId="0" applyFont="1" applyAlignment="1">
      <alignment horizontal="right"/>
    </xf>
    <xf numFmtId="164" fontId="2" fillId="0" borderId="0" xfId="0" applyNumberFormat="1" applyFont="1"/>
    <xf numFmtId="164" fontId="5" fillId="4" borderId="0" xfId="0" applyNumberFormat="1" applyFont="1" applyFill="1"/>
    <xf numFmtId="164" fontId="5" fillId="2" borderId="0" xfId="0" applyNumberFormat="1" applyFont="1" applyFill="1"/>
    <xf numFmtId="0" fontId="1" fillId="0" borderId="0" xfId="0" applyFont="1"/>
    <xf numFmtId="0" fontId="2" fillId="0" borderId="0" xfId="0" applyFont="1"/>
    <xf numFmtId="0" fontId="5" fillId="2" borderId="0" xfId="0" applyFont="1" applyFill="1" applyAlignment="1">
      <alignment wrapText="1"/>
    </xf>
    <xf numFmtId="0" fontId="5" fillId="2" borderId="0" xfId="0" applyFont="1" applyFill="1" applyAlignment="1">
      <alignment horizontal="center"/>
    </xf>
    <xf numFmtId="0" fontId="5" fillId="2" borderId="0" xfId="0" applyFont="1" applyFill="1"/>
    <xf numFmtId="0" fontId="5" fillId="4" borderId="0" xfId="0" applyFont="1" applyFill="1" applyAlignment="1">
      <alignment wrapText="1"/>
    </xf>
    <xf numFmtId="0" fontId="5" fillId="4" borderId="0" xfId="0" applyFont="1" applyFill="1" applyAlignment="1">
      <alignment horizontal="center"/>
    </xf>
    <xf numFmtId="0" fontId="5" fillId="4" borderId="0" xfId="0" applyFont="1" applyFill="1"/>
    <xf numFmtId="4" fontId="8" fillId="0" borderId="0" xfId="0" applyNumberFormat="1" applyFont="1" applyAlignment="1">
      <alignment horizontal="center"/>
    </xf>
  </cellXfs>
  <cellStyles count="2">
    <cellStyle name="Normal" xfId="0" builtinId="0"/>
    <cellStyle name="Normal 127" xfId="1" xr:uid="{E42624F1-CE67-4477-BEE7-8FBAB5E215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4898-0421-4EEC-A59A-25A5903B531E}">
  <dimension ref="A2:B16"/>
  <sheetViews>
    <sheetView showZeros="0" view="pageBreakPreview" zoomScaleNormal="100" zoomScaleSheetLayoutView="100" workbookViewId="0">
      <selection activeCell="X133" sqref="X133"/>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24" t="s">
        <v>0</v>
      </c>
      <c r="B2" s="25"/>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4761-F000-41DE-AD61-F98C20506420}">
  <dimension ref="A4:F128"/>
  <sheetViews>
    <sheetView showZeros="0" tabSelected="1" view="pageBreakPreview" topLeftCell="A109" zoomScale="70" zoomScaleNormal="100" zoomScaleSheetLayoutView="70" workbookViewId="0">
      <selection activeCell="O112" sqref="O112"/>
    </sheetView>
  </sheetViews>
  <sheetFormatPr defaultColWidth="9.140625" defaultRowHeight="12" x14ac:dyDescent="0.2"/>
  <cols>
    <col min="1" max="1" width="9.7109375" style="1" customWidth="1"/>
    <col min="2" max="2" width="37.7109375" style="5" customWidth="1"/>
    <col min="3" max="3" width="7.7109375" style="6" customWidth="1"/>
    <col min="4" max="5" width="10.7109375" style="1" customWidth="1"/>
    <col min="6" max="6" width="12.7109375" style="1" customWidth="1"/>
    <col min="7" max="16384" width="9.140625" style="1"/>
  </cols>
  <sheetData>
    <row r="4" spans="1:6" x14ac:dyDescent="0.2">
      <c r="A4" s="7" t="s">
        <v>27</v>
      </c>
      <c r="B4" s="26" t="s">
        <v>28</v>
      </c>
      <c r="C4" s="27"/>
      <c r="D4" s="28"/>
      <c r="E4" s="28"/>
      <c r="F4" s="28"/>
    </row>
    <row r="6" spans="1:6" x14ac:dyDescent="0.2">
      <c r="A6" s="7"/>
      <c r="B6" s="8" t="s">
        <v>29</v>
      </c>
      <c r="C6" s="9"/>
      <c r="D6" s="7"/>
      <c r="E6" s="7"/>
      <c r="F6" s="7"/>
    </row>
    <row r="8" spans="1:6" ht="264" x14ac:dyDescent="0.2">
      <c r="B8" s="11" t="s">
        <v>30</v>
      </c>
    </row>
    <row r="9" spans="1:6" ht="264" x14ac:dyDescent="0.2">
      <c r="B9" s="11" t="s">
        <v>31</v>
      </c>
    </row>
    <row r="10" spans="1:6" ht="264" x14ac:dyDescent="0.2">
      <c r="B10" s="11" t="s">
        <v>32</v>
      </c>
    </row>
    <row r="11" spans="1:6" ht="276" x14ac:dyDescent="0.2">
      <c r="B11" s="11" t="s">
        <v>33</v>
      </c>
    </row>
    <row r="12" spans="1:6" ht="240" x14ac:dyDescent="0.2">
      <c r="B12" s="11" t="s">
        <v>34</v>
      </c>
    </row>
    <row r="13" spans="1:6" ht="300" x14ac:dyDescent="0.2">
      <c r="B13" s="11" t="s">
        <v>35</v>
      </c>
    </row>
    <row r="14" spans="1:6" ht="252" x14ac:dyDescent="0.2">
      <c r="B14" s="11" t="s">
        <v>36</v>
      </c>
    </row>
    <row r="15" spans="1:6" ht="264" x14ac:dyDescent="0.2">
      <c r="B15" s="11" t="s">
        <v>37</v>
      </c>
    </row>
    <row r="16" spans="1:6" ht="192" x14ac:dyDescent="0.2">
      <c r="B16" s="11" t="s">
        <v>38</v>
      </c>
    </row>
    <row r="18" spans="1:6" ht="24" x14ac:dyDescent="0.2">
      <c r="A18" s="12" t="s">
        <v>39</v>
      </c>
      <c r="B18" s="12" t="s">
        <v>40</v>
      </c>
      <c r="C18" s="12" t="s">
        <v>41</v>
      </c>
      <c r="D18" s="12" t="s">
        <v>42</v>
      </c>
      <c r="E18" s="12" t="s">
        <v>43</v>
      </c>
      <c r="F18" s="12" t="s">
        <v>44</v>
      </c>
    </row>
    <row r="20" spans="1:6" x14ac:dyDescent="0.2">
      <c r="A20" s="13" t="s">
        <v>45</v>
      </c>
      <c r="B20" s="29" t="s">
        <v>46</v>
      </c>
      <c r="C20" s="30"/>
      <c r="D20" s="31"/>
      <c r="E20" s="31"/>
      <c r="F20" s="31"/>
    </row>
    <row r="22" spans="1:6" x14ac:dyDescent="0.2">
      <c r="A22" s="13"/>
      <c r="B22" s="14" t="s">
        <v>29</v>
      </c>
      <c r="C22" s="15"/>
      <c r="D22" s="13"/>
      <c r="E22" s="13"/>
      <c r="F22" s="13"/>
    </row>
    <row r="24" spans="1:6" ht="36" x14ac:dyDescent="0.2">
      <c r="B24" s="11" t="s">
        <v>47</v>
      </c>
    </row>
    <row r="26" spans="1:6" ht="24" x14ac:dyDescent="0.2">
      <c r="A26" s="16" t="s">
        <v>48</v>
      </c>
      <c r="B26" s="17" t="s">
        <v>49</v>
      </c>
    </row>
    <row r="27" spans="1:6" ht="252" x14ac:dyDescent="0.2">
      <c r="B27" s="11" t="s">
        <v>50</v>
      </c>
    </row>
    <row r="28" spans="1:6" ht="84" x14ac:dyDescent="0.2">
      <c r="B28" s="11" t="s">
        <v>51</v>
      </c>
    </row>
    <row r="29" spans="1:6" ht="12.75" x14ac:dyDescent="0.2">
      <c r="A29" s="1" t="s">
        <v>52</v>
      </c>
      <c r="B29" s="18" t="s">
        <v>53</v>
      </c>
      <c r="C29" s="6" t="s">
        <v>54</v>
      </c>
      <c r="D29" s="10">
        <v>649.39</v>
      </c>
      <c r="E29" s="19">
        <v>7</v>
      </c>
      <c r="F29" s="19">
        <f>D29*E29</f>
        <v>4545.7299999999996</v>
      </c>
    </row>
    <row r="30" spans="1:6" ht="12.75" x14ac:dyDescent="0.2">
      <c r="A30" s="1" t="s">
        <v>55</v>
      </c>
      <c r="B30" s="18" t="s">
        <v>56</v>
      </c>
      <c r="C30" s="6" t="s">
        <v>54</v>
      </c>
      <c r="D30" s="10">
        <v>10</v>
      </c>
      <c r="E30" s="19">
        <v>8.5</v>
      </c>
      <c r="F30" s="19">
        <f>D30*E30</f>
        <v>85</v>
      </c>
    </row>
    <row r="31" spans="1:6" x14ac:dyDescent="0.2">
      <c r="E31" s="20"/>
      <c r="F31" s="21">
        <f>SUM(F29:F30)</f>
        <v>4630.7299999999996</v>
      </c>
    </row>
    <row r="33" spans="1:6" x14ac:dyDescent="0.2">
      <c r="A33" s="16" t="s">
        <v>57</v>
      </c>
      <c r="B33" s="17" t="s">
        <v>58</v>
      </c>
    </row>
    <row r="34" spans="1:6" ht="252" x14ac:dyDescent="0.2">
      <c r="B34" s="11" t="s">
        <v>59</v>
      </c>
    </row>
    <row r="35" spans="1:6" ht="84" x14ac:dyDescent="0.2">
      <c r="B35" s="11" t="s">
        <v>60</v>
      </c>
    </row>
    <row r="36" spans="1:6" ht="12.75" x14ac:dyDescent="0.2">
      <c r="A36" s="1" t="s">
        <v>61</v>
      </c>
      <c r="B36" s="18" t="s">
        <v>62</v>
      </c>
      <c r="C36" s="6" t="s">
        <v>54</v>
      </c>
      <c r="D36" s="10">
        <v>128.53</v>
      </c>
      <c r="E36" s="19">
        <v>8</v>
      </c>
      <c r="F36" s="19">
        <f>D36*E36</f>
        <v>1028.24</v>
      </c>
    </row>
    <row r="38" spans="1:6" ht="24" x14ac:dyDescent="0.2">
      <c r="A38" s="16" t="s">
        <v>63</v>
      </c>
      <c r="B38" s="17" t="s">
        <v>64</v>
      </c>
    </row>
    <row r="39" spans="1:6" ht="264" x14ac:dyDescent="0.2">
      <c r="B39" s="11" t="s">
        <v>65</v>
      </c>
    </row>
    <row r="40" spans="1:6" ht="180" x14ac:dyDescent="0.2">
      <c r="B40" s="11" t="s">
        <v>66</v>
      </c>
    </row>
    <row r="41" spans="1:6" ht="12.75" x14ac:dyDescent="0.2">
      <c r="A41" s="1" t="s">
        <v>67</v>
      </c>
      <c r="B41" s="18" t="s">
        <v>68</v>
      </c>
      <c r="C41" s="6" t="s">
        <v>54</v>
      </c>
      <c r="D41" s="10">
        <v>90.17</v>
      </c>
      <c r="E41" s="19">
        <v>13</v>
      </c>
      <c r="F41" s="19">
        <f>D41*E41</f>
        <v>1172.21</v>
      </c>
    </row>
    <row r="43" spans="1:6" x14ac:dyDescent="0.2">
      <c r="A43" s="13" t="s">
        <v>45</v>
      </c>
      <c r="B43" s="29" t="s">
        <v>69</v>
      </c>
      <c r="C43" s="30"/>
      <c r="D43" s="31"/>
      <c r="E43" s="31"/>
      <c r="F43" s="22">
        <f>SUM(F31,F36,F41)</f>
        <v>6831.1799999999994</v>
      </c>
    </row>
    <row r="45" spans="1:6" x14ac:dyDescent="0.2">
      <c r="A45" s="13" t="s">
        <v>70</v>
      </c>
      <c r="B45" s="29" t="s">
        <v>71</v>
      </c>
      <c r="C45" s="30"/>
      <c r="D45" s="31"/>
      <c r="E45" s="31"/>
      <c r="F45" s="31"/>
    </row>
    <row r="47" spans="1:6" x14ac:dyDescent="0.2">
      <c r="A47" s="13"/>
      <c r="B47" s="14" t="s">
        <v>29</v>
      </c>
      <c r="C47" s="15"/>
      <c r="D47" s="13"/>
      <c r="E47" s="13"/>
      <c r="F47" s="13"/>
    </row>
    <row r="49" spans="1:6" ht="36" x14ac:dyDescent="0.2">
      <c r="B49" s="11" t="s">
        <v>72</v>
      </c>
    </row>
    <row r="51" spans="1:6" x14ac:dyDescent="0.2">
      <c r="A51" s="16" t="s">
        <v>73</v>
      </c>
      <c r="B51" s="17" t="s">
        <v>74</v>
      </c>
    </row>
    <row r="52" spans="1:6" ht="204" x14ac:dyDescent="0.2">
      <c r="B52" s="11" t="s">
        <v>75</v>
      </c>
    </row>
    <row r="53" spans="1:6" ht="12.75" x14ac:dyDescent="0.2">
      <c r="A53" s="1" t="s">
        <v>76</v>
      </c>
      <c r="B53" s="18" t="s">
        <v>77</v>
      </c>
      <c r="C53" s="6" t="s">
        <v>54</v>
      </c>
      <c r="D53" s="10">
        <v>1006.03</v>
      </c>
      <c r="E53" s="19">
        <v>8</v>
      </c>
      <c r="F53" s="19">
        <f t="shared" ref="F53:F54" si="0">D53*E53</f>
        <v>8048.24</v>
      </c>
    </row>
    <row r="54" spans="1:6" ht="12.75" x14ac:dyDescent="0.2">
      <c r="A54" s="1" t="s">
        <v>78</v>
      </c>
      <c r="B54" s="18" t="s">
        <v>79</v>
      </c>
      <c r="C54" s="6" t="s">
        <v>54</v>
      </c>
      <c r="D54" s="10">
        <v>10</v>
      </c>
      <c r="E54" s="19">
        <v>10</v>
      </c>
      <c r="F54" s="19">
        <f t="shared" si="0"/>
        <v>100</v>
      </c>
    </row>
    <row r="55" spans="1:6" x14ac:dyDescent="0.2">
      <c r="E55" s="20"/>
      <c r="F55" s="21">
        <f>SUM(F53:F54)</f>
        <v>8148.24</v>
      </c>
    </row>
    <row r="57" spans="1:6" x14ac:dyDescent="0.2">
      <c r="A57" s="16" t="s">
        <v>80</v>
      </c>
      <c r="B57" s="17" t="s">
        <v>81</v>
      </c>
    </row>
    <row r="58" spans="1:6" ht="144" x14ac:dyDescent="0.2">
      <c r="B58" s="11" t="s">
        <v>82</v>
      </c>
    </row>
    <row r="59" spans="1:6" ht="12.75" x14ac:dyDescent="0.2">
      <c r="A59" s="1" t="s">
        <v>83</v>
      </c>
      <c r="B59" s="18" t="s">
        <v>84</v>
      </c>
      <c r="C59" s="6" t="s">
        <v>54</v>
      </c>
      <c r="D59" s="10">
        <v>24.44</v>
      </c>
      <c r="E59" s="19">
        <v>13</v>
      </c>
      <c r="F59" s="19">
        <f t="shared" ref="F59:F61" si="1">D59*E59</f>
        <v>317.72000000000003</v>
      </c>
    </row>
    <row r="60" spans="1:6" ht="24" x14ac:dyDescent="0.2">
      <c r="A60" s="1" t="s">
        <v>85</v>
      </c>
      <c r="B60" s="18" t="s">
        <v>86</v>
      </c>
      <c r="C60" s="6" t="s">
        <v>54</v>
      </c>
      <c r="D60" s="10">
        <v>2.15</v>
      </c>
      <c r="E60" s="19">
        <v>13</v>
      </c>
      <c r="F60" s="19">
        <f t="shared" si="1"/>
        <v>27.95</v>
      </c>
    </row>
    <row r="61" spans="1:6" ht="24" x14ac:dyDescent="0.2">
      <c r="A61" s="1" t="s">
        <v>87</v>
      </c>
      <c r="B61" s="18" t="s">
        <v>88</v>
      </c>
      <c r="C61" s="6" t="s">
        <v>54</v>
      </c>
      <c r="D61" s="10">
        <v>26.15</v>
      </c>
      <c r="E61" s="19">
        <v>13</v>
      </c>
      <c r="F61" s="19">
        <f t="shared" si="1"/>
        <v>339.95</v>
      </c>
    </row>
    <row r="62" spans="1:6" x14ac:dyDescent="0.2">
      <c r="E62" s="20"/>
      <c r="F62" s="21">
        <f>SUM(F59:F61)</f>
        <v>685.62</v>
      </c>
    </row>
    <row r="64" spans="1:6" ht="24" x14ac:dyDescent="0.2">
      <c r="A64" s="16" t="s">
        <v>89</v>
      </c>
      <c r="B64" s="17" t="s">
        <v>90</v>
      </c>
    </row>
    <row r="65" spans="1:6" ht="180" x14ac:dyDescent="0.2">
      <c r="B65" s="11" t="s">
        <v>91</v>
      </c>
    </row>
    <row r="66" spans="1:6" ht="12.75" x14ac:dyDescent="0.2">
      <c r="A66" s="1" t="s">
        <v>92</v>
      </c>
      <c r="B66" s="18" t="s">
        <v>93</v>
      </c>
      <c r="C66" s="6" t="s">
        <v>54</v>
      </c>
      <c r="D66" s="10">
        <v>95</v>
      </c>
      <c r="E66" s="19">
        <v>10</v>
      </c>
      <c r="F66" s="19">
        <f>D66*E66</f>
        <v>950</v>
      </c>
    </row>
    <row r="68" spans="1:6" x14ac:dyDescent="0.2">
      <c r="A68" s="13" t="s">
        <v>70</v>
      </c>
      <c r="B68" s="29" t="s">
        <v>94</v>
      </c>
      <c r="C68" s="30"/>
      <c r="D68" s="31"/>
      <c r="E68" s="31"/>
      <c r="F68" s="22">
        <f>SUM(F55,F62,F66)</f>
        <v>9783.86</v>
      </c>
    </row>
    <row r="70" spans="1:6" x14ac:dyDescent="0.2">
      <c r="A70" s="13" t="s">
        <v>95</v>
      </c>
      <c r="B70" s="29" t="s">
        <v>96</v>
      </c>
      <c r="C70" s="30"/>
      <c r="D70" s="31"/>
      <c r="E70" s="31"/>
      <c r="F70" s="31"/>
    </row>
    <row r="72" spans="1:6" x14ac:dyDescent="0.2">
      <c r="A72" s="13"/>
      <c r="B72" s="14" t="s">
        <v>29</v>
      </c>
      <c r="C72" s="15"/>
      <c r="D72" s="13"/>
      <c r="E72" s="13"/>
      <c r="F72" s="13"/>
    </row>
    <row r="74" spans="1:6" ht="36" x14ac:dyDescent="0.2">
      <c r="B74" s="11" t="s">
        <v>97</v>
      </c>
    </row>
    <row r="76" spans="1:6" ht="24" x14ac:dyDescent="0.2">
      <c r="A76" s="16" t="s">
        <v>98</v>
      </c>
      <c r="B76" s="17" t="s">
        <v>99</v>
      </c>
    </row>
    <row r="77" spans="1:6" ht="264" x14ac:dyDescent="0.2">
      <c r="B77" s="11" t="s">
        <v>100</v>
      </c>
    </row>
    <row r="78" spans="1:6" ht="120" x14ac:dyDescent="0.2">
      <c r="B78" s="11" t="s">
        <v>101</v>
      </c>
    </row>
    <row r="79" spans="1:6" ht="12.75" x14ac:dyDescent="0.2">
      <c r="A79" s="1" t="s">
        <v>102</v>
      </c>
      <c r="B79" s="18" t="s">
        <v>103</v>
      </c>
      <c r="C79" s="6" t="s">
        <v>54</v>
      </c>
      <c r="D79" s="10">
        <v>876.44</v>
      </c>
      <c r="E79" s="32">
        <v>32</v>
      </c>
      <c r="F79" s="19">
        <f t="shared" ref="F79:F80" si="2">D79*E79</f>
        <v>28046.080000000002</v>
      </c>
    </row>
    <row r="80" spans="1:6" ht="24" x14ac:dyDescent="0.2">
      <c r="A80" s="1" t="s">
        <v>104</v>
      </c>
      <c r="B80" s="18" t="s">
        <v>105</v>
      </c>
      <c r="C80" s="6" t="s">
        <v>54</v>
      </c>
      <c r="D80" s="10">
        <v>44.57</v>
      </c>
      <c r="E80" s="32">
        <v>32</v>
      </c>
      <c r="F80" s="19">
        <f t="shared" si="2"/>
        <v>1426.24</v>
      </c>
    </row>
    <row r="81" spans="1:6" x14ac:dyDescent="0.2">
      <c r="E81" s="20"/>
      <c r="F81" s="21">
        <f>SUM(F79:F80)</f>
        <v>29472.320000000003</v>
      </c>
    </row>
    <row r="83" spans="1:6" ht="24" x14ac:dyDescent="0.2">
      <c r="A83" s="16" t="s">
        <v>106</v>
      </c>
      <c r="B83" s="17" t="s">
        <v>107</v>
      </c>
    </row>
    <row r="84" spans="1:6" ht="264" x14ac:dyDescent="0.2">
      <c r="B84" s="11" t="s">
        <v>100</v>
      </c>
    </row>
    <row r="85" spans="1:6" ht="120" x14ac:dyDescent="0.2">
      <c r="B85" s="11" t="s">
        <v>101</v>
      </c>
    </row>
    <row r="86" spans="1:6" ht="12.75" x14ac:dyDescent="0.2">
      <c r="A86" s="1" t="s">
        <v>108</v>
      </c>
      <c r="B86" s="18" t="s">
        <v>109</v>
      </c>
      <c r="C86" s="6" t="s">
        <v>54</v>
      </c>
      <c r="D86" s="10">
        <v>75.069999999999993</v>
      </c>
      <c r="E86" s="19">
        <v>35</v>
      </c>
      <c r="F86" s="19">
        <f>D86*E86</f>
        <v>2627.45</v>
      </c>
    </row>
    <row r="88" spans="1:6" x14ac:dyDescent="0.2">
      <c r="A88" s="16" t="s">
        <v>110</v>
      </c>
      <c r="B88" s="17" t="s">
        <v>111</v>
      </c>
    </row>
    <row r="89" spans="1:6" ht="264" x14ac:dyDescent="0.2">
      <c r="B89" s="11" t="s">
        <v>112</v>
      </c>
    </row>
    <row r="90" spans="1:6" ht="12.75" x14ac:dyDescent="0.2">
      <c r="A90" s="1" t="s">
        <v>113</v>
      </c>
      <c r="B90" s="18" t="s">
        <v>68</v>
      </c>
      <c r="C90" s="6" t="s">
        <v>54</v>
      </c>
      <c r="D90" s="10">
        <v>10</v>
      </c>
      <c r="E90" s="19">
        <v>35</v>
      </c>
      <c r="F90" s="19">
        <f>D90*E90</f>
        <v>350</v>
      </c>
    </row>
    <row r="92" spans="1:6" x14ac:dyDescent="0.2">
      <c r="A92" s="13" t="s">
        <v>95</v>
      </c>
      <c r="B92" s="29" t="s">
        <v>114</v>
      </c>
      <c r="C92" s="30"/>
      <c r="D92" s="31"/>
      <c r="E92" s="31"/>
      <c r="F92" s="22">
        <f>SUM(F81,F86,F90)</f>
        <v>32449.770000000004</v>
      </c>
    </row>
    <row r="94" spans="1:6" x14ac:dyDescent="0.2">
      <c r="A94" s="13" t="s">
        <v>115</v>
      </c>
      <c r="B94" s="29" t="s">
        <v>116</v>
      </c>
      <c r="C94" s="30"/>
      <c r="D94" s="31"/>
      <c r="E94" s="31"/>
      <c r="F94" s="31"/>
    </row>
    <row r="96" spans="1:6" x14ac:dyDescent="0.2">
      <c r="A96" s="13"/>
      <c r="B96" s="14" t="s">
        <v>29</v>
      </c>
      <c r="C96" s="15"/>
      <c r="D96" s="13"/>
      <c r="E96" s="13"/>
      <c r="F96" s="13"/>
    </row>
    <row r="98" spans="1:6" ht="36" x14ac:dyDescent="0.2">
      <c r="B98" s="11" t="s">
        <v>117</v>
      </c>
    </row>
    <row r="100" spans="1:6" ht="36" x14ac:dyDescent="0.2">
      <c r="A100" s="16" t="s">
        <v>118</v>
      </c>
      <c r="B100" s="17" t="s">
        <v>119</v>
      </c>
    </row>
    <row r="101" spans="1:6" ht="264" x14ac:dyDescent="0.2">
      <c r="B101" s="11" t="s">
        <v>120</v>
      </c>
    </row>
    <row r="102" spans="1:6" ht="156" x14ac:dyDescent="0.2">
      <c r="B102" s="11" t="s">
        <v>121</v>
      </c>
    </row>
    <row r="103" spans="1:6" ht="12.75" x14ac:dyDescent="0.2">
      <c r="A103" s="1" t="s">
        <v>122</v>
      </c>
      <c r="B103" s="18" t="s">
        <v>123</v>
      </c>
      <c r="C103" s="6" t="s">
        <v>54</v>
      </c>
      <c r="D103" s="10">
        <v>349.84</v>
      </c>
      <c r="E103" s="32">
        <v>45</v>
      </c>
      <c r="F103" s="19">
        <f t="shared" ref="F103:F108" si="3">D103*E103</f>
        <v>15742.8</v>
      </c>
    </row>
    <row r="104" spans="1:6" ht="12.75" x14ac:dyDescent="0.2">
      <c r="A104" s="1" t="s">
        <v>124</v>
      </c>
      <c r="B104" s="18" t="s">
        <v>125</v>
      </c>
      <c r="C104" s="6" t="s">
        <v>54</v>
      </c>
      <c r="D104" s="10">
        <v>64.5</v>
      </c>
      <c r="E104" s="19">
        <v>35</v>
      </c>
      <c r="F104" s="19">
        <f t="shared" si="3"/>
        <v>2257.5</v>
      </c>
    </row>
    <row r="105" spans="1:6" ht="12.75" x14ac:dyDescent="0.2">
      <c r="A105" s="1" t="s">
        <v>126</v>
      </c>
      <c r="B105" s="18" t="s">
        <v>127</v>
      </c>
      <c r="C105" s="6" t="s">
        <v>54</v>
      </c>
      <c r="D105" s="10">
        <v>61.92</v>
      </c>
      <c r="E105" s="19">
        <v>35</v>
      </c>
      <c r="F105" s="19">
        <f t="shared" si="3"/>
        <v>2167.2000000000003</v>
      </c>
    </row>
    <row r="106" spans="1:6" ht="12.75" x14ac:dyDescent="0.2">
      <c r="A106" s="1" t="s">
        <v>128</v>
      </c>
      <c r="B106" s="18" t="s">
        <v>129</v>
      </c>
      <c r="C106" s="6" t="s">
        <v>54</v>
      </c>
      <c r="D106" s="10">
        <v>22.87</v>
      </c>
      <c r="E106" s="19">
        <v>33</v>
      </c>
      <c r="F106" s="19">
        <f t="shared" si="3"/>
        <v>754.71</v>
      </c>
    </row>
    <row r="107" spans="1:6" ht="12.75" x14ac:dyDescent="0.2">
      <c r="A107" s="1" t="s">
        <v>130</v>
      </c>
      <c r="B107" s="18" t="s">
        <v>131</v>
      </c>
      <c r="C107" s="6" t="s">
        <v>54</v>
      </c>
      <c r="D107" s="10">
        <v>25.5</v>
      </c>
      <c r="E107" s="32">
        <v>32</v>
      </c>
      <c r="F107" s="19">
        <f t="shared" si="3"/>
        <v>816</v>
      </c>
    </row>
    <row r="108" spans="1:6" ht="24" x14ac:dyDescent="0.2">
      <c r="A108" s="1" t="s">
        <v>132</v>
      </c>
      <c r="B108" s="18" t="s">
        <v>133</v>
      </c>
      <c r="C108" s="6" t="s">
        <v>54</v>
      </c>
      <c r="D108" s="10">
        <v>4.1399999999999997</v>
      </c>
      <c r="E108" s="32">
        <v>45</v>
      </c>
      <c r="F108" s="19">
        <f t="shared" si="3"/>
        <v>186.29999999999998</v>
      </c>
    </row>
    <row r="109" spans="1:6" x14ac:dyDescent="0.2">
      <c r="E109" s="20"/>
      <c r="F109" s="21">
        <f>SUM(F103:F108)</f>
        <v>21924.51</v>
      </c>
    </row>
    <row r="111" spans="1:6" ht="48" x14ac:dyDescent="0.2">
      <c r="A111" s="16" t="s">
        <v>134</v>
      </c>
      <c r="B111" s="17" t="s">
        <v>135</v>
      </c>
    </row>
    <row r="112" spans="1:6" ht="264" x14ac:dyDescent="0.2">
      <c r="B112" s="11" t="s">
        <v>136</v>
      </c>
    </row>
    <row r="113" spans="1:6" ht="108" x14ac:dyDescent="0.2">
      <c r="B113" s="11" t="s">
        <v>137</v>
      </c>
    </row>
    <row r="114" spans="1:6" ht="12.75" x14ac:dyDescent="0.2">
      <c r="A114" s="1" t="s">
        <v>138</v>
      </c>
      <c r="B114" s="18" t="s">
        <v>123</v>
      </c>
      <c r="C114" s="6" t="s">
        <v>54</v>
      </c>
      <c r="D114" s="10">
        <v>87.46</v>
      </c>
      <c r="E114" s="32">
        <v>45</v>
      </c>
      <c r="F114" s="19">
        <f t="shared" ref="F114:F119" si="4">D114*E114</f>
        <v>3935.7</v>
      </c>
    </row>
    <row r="115" spans="1:6" ht="12.75" x14ac:dyDescent="0.2">
      <c r="A115" s="1" t="s">
        <v>139</v>
      </c>
      <c r="B115" s="18" t="s">
        <v>125</v>
      </c>
      <c r="C115" s="6" t="s">
        <v>54</v>
      </c>
      <c r="D115" s="10">
        <v>16.13</v>
      </c>
      <c r="E115" s="19">
        <v>33</v>
      </c>
      <c r="F115" s="19">
        <f t="shared" si="4"/>
        <v>532.29</v>
      </c>
    </row>
    <row r="116" spans="1:6" ht="12.75" x14ac:dyDescent="0.2">
      <c r="A116" s="1" t="s">
        <v>140</v>
      </c>
      <c r="B116" s="18" t="s">
        <v>127</v>
      </c>
      <c r="C116" s="6" t="s">
        <v>54</v>
      </c>
      <c r="D116" s="10">
        <v>15.48</v>
      </c>
      <c r="E116" s="19">
        <v>33</v>
      </c>
      <c r="F116" s="19">
        <f t="shared" si="4"/>
        <v>510.84000000000003</v>
      </c>
    </row>
    <row r="117" spans="1:6" ht="12.75" x14ac:dyDescent="0.2">
      <c r="A117" s="1" t="s">
        <v>141</v>
      </c>
      <c r="B117" s="18" t="s">
        <v>142</v>
      </c>
      <c r="C117" s="6" t="s">
        <v>54</v>
      </c>
      <c r="D117" s="10">
        <v>5.72</v>
      </c>
      <c r="E117" s="19">
        <v>33</v>
      </c>
      <c r="F117" s="19">
        <f t="shared" si="4"/>
        <v>188.76</v>
      </c>
    </row>
    <row r="118" spans="1:6" ht="12.75" x14ac:dyDescent="0.2">
      <c r="A118" s="1" t="s">
        <v>143</v>
      </c>
      <c r="B118" s="18" t="s">
        <v>144</v>
      </c>
      <c r="C118" s="6" t="s">
        <v>54</v>
      </c>
      <c r="D118" s="10">
        <v>6.38</v>
      </c>
      <c r="E118" s="19">
        <v>33</v>
      </c>
      <c r="F118" s="19">
        <f t="shared" si="4"/>
        <v>210.54</v>
      </c>
    </row>
    <row r="119" spans="1:6" ht="24" x14ac:dyDescent="0.2">
      <c r="A119" s="1" t="s">
        <v>145</v>
      </c>
      <c r="B119" s="18" t="s">
        <v>133</v>
      </c>
      <c r="C119" s="6" t="s">
        <v>54</v>
      </c>
      <c r="D119" s="10">
        <v>1.03</v>
      </c>
      <c r="E119" s="32">
        <v>45</v>
      </c>
      <c r="F119" s="19">
        <f t="shared" si="4"/>
        <v>46.35</v>
      </c>
    </row>
    <row r="120" spans="1:6" x14ac:dyDescent="0.2">
      <c r="E120" s="20"/>
      <c r="F120" s="21">
        <f>SUM(F114:F119)</f>
        <v>5424.4800000000005</v>
      </c>
    </row>
    <row r="122" spans="1:6" x14ac:dyDescent="0.2">
      <c r="A122" s="16" t="s">
        <v>146</v>
      </c>
      <c r="B122" s="17" t="s">
        <v>147</v>
      </c>
    </row>
    <row r="123" spans="1:6" ht="120" x14ac:dyDescent="0.2">
      <c r="B123" s="11" t="s">
        <v>148</v>
      </c>
    </row>
    <row r="124" spans="1:6" ht="12.75" x14ac:dyDescent="0.2">
      <c r="A124" s="1" t="s">
        <v>149</v>
      </c>
      <c r="B124" s="18" t="s">
        <v>68</v>
      </c>
      <c r="C124" s="6" t="s">
        <v>150</v>
      </c>
      <c r="D124" s="10">
        <v>1658.3</v>
      </c>
      <c r="E124" s="19">
        <v>2</v>
      </c>
      <c r="F124" s="19">
        <f>D124*E124</f>
        <v>3316.6</v>
      </c>
    </row>
    <row r="126" spans="1:6" x14ac:dyDescent="0.2">
      <c r="A126" s="13" t="s">
        <v>115</v>
      </c>
      <c r="B126" s="29" t="s">
        <v>151</v>
      </c>
      <c r="C126" s="30"/>
      <c r="D126" s="31"/>
      <c r="E126" s="31"/>
      <c r="F126" s="22">
        <f>SUM(F109,F120,F124)</f>
        <v>30665.589999999997</v>
      </c>
    </row>
    <row r="128" spans="1:6" x14ac:dyDescent="0.2">
      <c r="A128" s="7" t="s">
        <v>27</v>
      </c>
      <c r="B128" s="26" t="s">
        <v>152</v>
      </c>
      <c r="C128" s="27"/>
      <c r="D128" s="28"/>
      <c r="E128" s="28"/>
      <c r="F128" s="23">
        <f>SUM(F43,F68,F92,F126)</f>
        <v>79730.399999999994</v>
      </c>
    </row>
  </sheetData>
  <autoFilter ref="E1:E128" xr:uid="{F1934761-F000-41DE-AD61-F98C20506420}"/>
  <mergeCells count="10">
    <mergeCell ref="B70:F70"/>
    <mergeCell ref="B128:E128"/>
    <mergeCell ref="B92:E92"/>
    <mergeCell ref="B94:F94"/>
    <mergeCell ref="B126:E126"/>
    <mergeCell ref="B4:F4"/>
    <mergeCell ref="B20:F20"/>
    <mergeCell ref="B43:E43"/>
    <mergeCell ref="B45:F45"/>
    <mergeCell ref="B68:E68"/>
  </mergeCells>
  <pageMargins left="0.6" right="0.6" top="0.75" bottom="0.75" header="0.3" footer="0.3"/>
  <pageSetup paperSize="9" scale="98"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3" manualBreakCount="3">
    <brk id="17" max="16383" man="1"/>
    <brk id="44" max="16383" man="1"/>
    <brk id="69"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f6cccbc4df799be886314aa582b14acf">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ea945c4d7d0ae4f3c560aa17fcfe243b"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38B4F591-CD93-4B95-A13C-C67CDC245482}"/>
</file>

<file path=customXml/itemProps2.xml><?xml version="1.0" encoding="utf-8"?>
<ds:datastoreItem xmlns:ds="http://schemas.openxmlformats.org/officeDocument/2006/customXml" ds:itemID="{8DCF509E-AFD3-401D-9935-A04DDE7DA8D6}">
  <ds:schemaRefs>
    <ds:schemaRef ds:uri="http://schemas.microsoft.com/sharepoint/v3/contenttype/forms"/>
  </ds:schemaRefs>
</ds:datastoreItem>
</file>

<file path=customXml/itemProps3.xml><?xml version="1.0" encoding="utf-8"?>
<ds:datastoreItem xmlns:ds="http://schemas.openxmlformats.org/officeDocument/2006/customXml" ds:itemID="{83F3554F-3D7C-4E6D-9D60-F68766A76E9E}">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NASLOVNICA</vt:lpstr>
      <vt:lpstr>1. ISKOPI I NASIPI GRAĐEVINE</vt:lpstr>
      <vt:lpstr>'1. ISKOPI I NASIPI GRAĐEVINE'!Print_Area</vt:lpstr>
      <vt:lpstr>'1. ISKOPI I NASIPI GRAĐEVINE'!Print_Titles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Ivana Radovac</cp:lastModifiedBy>
  <dcterms:created xsi:type="dcterms:W3CDTF">2025-09-17T08:55:24Z</dcterms:created>
  <dcterms:modified xsi:type="dcterms:W3CDTF">2025-10-13T08:47:50Z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
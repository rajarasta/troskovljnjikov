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KORISNIK\Desktop\PONUDE 2025\LIPANJ 2025\POSLANO 06 2025\"/>
    </mc:Choice>
  </mc:AlternateContent>
  <xr:revisionPtr revIDLastSave="0" documentId="13_ncr:1_{FABC9EE2-EAB5-4897-A888-3E23D55433E2}" xr6:coauthVersionLast="47" xr6:coauthVersionMax="47" xr10:uidLastSave="{00000000-0000-0000-0000-000000000000}"/>
  <bookViews>
    <workbookView xWindow="-108" yWindow="-108" windowWidth="23256" windowHeight="12456" activeTab="1" xr2:uid="{00000000-000D-0000-FFFF-FFFF00000000}"/>
  </bookViews>
  <sheets>
    <sheet name="NASLOVNICA" sheetId="1" r:id="rId1"/>
    <sheet name="3. KROVOPOKRIVAČKI I LIMARSKI R" sheetId="2" r:id="rId2"/>
  </sheets>
  <definedNames>
    <definedName name="_xlnm.Print_Titles" localSheetId="1">'3. KROVOPOKRIVAČKI I LIMARSKI R'!18:18</definedName>
    <definedName name="_xlnm.Print_Area" localSheetId="1">'3. KROVOPOKRIVAČKI I LIMARSKI R'!$A$1:$F$293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6" i="2" l="1"/>
  <c r="F271" i="2"/>
  <c r="F270" i="2"/>
  <c r="F261" i="2"/>
  <c r="F257" i="2"/>
  <c r="F253" i="2"/>
  <c r="F248" i="2"/>
  <c r="F247" i="2"/>
  <c r="F242" i="2"/>
  <c r="F241" i="2"/>
  <c r="F236" i="2"/>
  <c r="F235" i="2"/>
  <c r="F234" i="2"/>
  <c r="F233" i="2"/>
  <c r="F228" i="2"/>
  <c r="F227" i="2"/>
  <c r="F226" i="2"/>
  <c r="F222" i="2"/>
  <c r="F218" i="2"/>
  <c r="F214" i="2"/>
  <c r="F209" i="2"/>
  <c r="F208" i="2"/>
  <c r="F210" i="2" s="1"/>
  <c r="F202" i="2"/>
  <c r="F201" i="2"/>
  <c r="F196" i="2"/>
  <c r="F191" i="2"/>
  <c r="F187" i="2"/>
  <c r="F183" i="2"/>
  <c r="F179" i="2"/>
  <c r="F178" i="2"/>
  <c r="F173" i="2"/>
  <c r="F172" i="2"/>
  <c r="F171" i="2"/>
  <c r="F170" i="2"/>
  <c r="F169" i="2"/>
  <c r="F164" i="2"/>
  <c r="F158" i="2"/>
  <c r="F153" i="2"/>
  <c r="F152" i="2"/>
  <c r="F146" i="2"/>
  <c r="F145" i="2"/>
  <c r="F141" i="2"/>
  <c r="F136" i="2"/>
  <c r="F135" i="2"/>
  <c r="F130" i="2"/>
  <c r="F113" i="2"/>
  <c r="F109" i="2"/>
  <c r="F99" i="2"/>
  <c r="F94" i="2"/>
  <c r="F90" i="2"/>
  <c r="F85" i="2"/>
  <c r="F80" i="2"/>
  <c r="F75" i="2"/>
  <c r="F74" i="2"/>
  <c r="F73" i="2"/>
  <c r="F72" i="2"/>
  <c r="F67" i="2"/>
  <c r="F66" i="2"/>
  <c r="F65" i="2"/>
  <c r="F64" i="2"/>
  <c r="F63" i="2"/>
  <c r="F62" i="2"/>
  <c r="F61" i="2"/>
  <c r="F55" i="2"/>
  <c r="F54" i="2"/>
  <c r="F53" i="2"/>
  <c r="F48" i="2"/>
  <c r="F43" i="2"/>
  <c r="F39" i="2"/>
  <c r="F34" i="2"/>
  <c r="F154" i="2" l="1"/>
  <c r="F56" i="2"/>
  <c r="F203" i="2"/>
  <c r="F229" i="2"/>
  <c r="F115" i="2"/>
  <c r="F243" i="2"/>
  <c r="F249" i="2"/>
  <c r="F272" i="2"/>
  <c r="F278" i="2" s="1"/>
  <c r="F237" i="2"/>
  <c r="F76" i="2"/>
  <c r="F137" i="2"/>
  <c r="F174" i="2"/>
  <c r="F68" i="2"/>
  <c r="F147" i="2"/>
  <c r="F160" i="2" l="1"/>
  <c r="F264" i="2" s="1"/>
  <c r="F101" i="2"/>
  <c r="F117" i="2" s="1"/>
  <c r="F281" i="2" l="1"/>
</calcChain>
</file>

<file path=xl/sharedStrings.xml><?xml version="1.0" encoding="utf-8"?>
<sst xmlns="http://schemas.openxmlformats.org/spreadsheetml/2006/main" count="452" uniqueCount="338">
  <si>
    <t>ESSO - troškovnik GO</t>
  </si>
  <si>
    <t>Razina razrade:</t>
  </si>
  <si>
    <t xml:space="preserve">IZVEDBENI ARHITEKTONSKI PROJEKT </t>
  </si>
  <si>
    <t>Projektirani dio građevine:</t>
  </si>
  <si>
    <t xml:space="preserve">TROŠKOVNIK GRAĐEVINSKO-OBRTNIČKIH RADOVA
</t>
  </si>
  <si>
    <t>ZOP:</t>
  </si>
  <si>
    <t>PBV-1/25</t>
  </si>
  <si>
    <t>Mapa:</t>
  </si>
  <si>
    <t xml:space="preserve">1/7 - DIO 2
</t>
  </si>
  <si>
    <t>Građevina:</t>
  </si>
  <si>
    <t xml:space="preserve">REKONSTRUKCIJA POSTOJEĆE POSLOVNE GRAĐEVINE TRGOVAČKE I UREDSKE NAMJENE – TRGOVAČKI CENTAR EUROSPIN
</t>
  </si>
  <si>
    <t>Lokacija građevine:</t>
  </si>
  <si>
    <t xml:space="preserve">Ulica Savska Opatovina, Zagreb
k.č. 3015/3 k.o. Stenjevec jug
</t>
  </si>
  <si>
    <t>Investitor:</t>
  </si>
  <si>
    <t xml:space="preserve">EUROSPIN HRVATSKA d.o.o.
Rijeka, Jelačićev trg 7
OIB 62357811032
</t>
  </si>
  <si>
    <t>Projektantski ured:</t>
  </si>
  <si>
    <t xml:space="preserve">Projektni biro Vinski d.o.o.
Ulica Ljudevita Šestića 4, 47000 Karlovac
OIB 02717113070
</t>
  </si>
  <si>
    <t>Broj tehničkog dnevnika:</t>
  </si>
  <si>
    <t xml:space="preserve">1/25
</t>
  </si>
  <si>
    <t>Glavni projektant:</t>
  </si>
  <si>
    <t xml:space="preserve">Silva Grubešić Horvat, dipl.ing.arh., A 2191
</t>
  </si>
  <si>
    <t>Projektrant arhitektonskog projekta:</t>
  </si>
  <si>
    <t xml:space="preserve">Ruža Salopek, dipl.ing.arh., A 274
</t>
  </si>
  <si>
    <t>Direktor:</t>
  </si>
  <si>
    <t xml:space="preserve">Mladen Vinski, dipl.ing.geod.
</t>
  </si>
  <si>
    <t>Mjesto i datum izrade:</t>
  </si>
  <si>
    <t>Karlovac, 5.5.2025.</t>
  </si>
  <si>
    <t>3.</t>
  </si>
  <si>
    <t>KROVOPOKRIVAČKI I LIMARSKI RADOVI</t>
  </si>
  <si>
    <t>OPĆI UVJETI</t>
  </si>
  <si>
    <t>NAPOMENA: Radovi se izvode prema opisu u troškovniku, prema podacima iz projektne dokumentacije, uz rješavanje svih eventualnih pitanja u suradnji s projektantom i u skladu sa važećim standardima. Sav upotrebljeni materijal mora odgovarati postojećim propisima i standardima. Sve su dimenzije konstruktivnih elemenata date okvirno. Prije izvedbe obavezno uzeti točne mjere na građevini.
Opšave krovova s hidroizolacijskom membranama od TPO-a izvesti tipskim fazonskim elementima: pocinčani i obojen čelični lim, antikorozivno zaštićen, jednostrano kaširan TPO folijom debljine 1,8 mm. Uključivo sva potrebna kitanja trajnoelastoplastičnim kitovima i sl.
Karakteristike hidroizolacijskih folija (traka) od mekog TPO-a:
Trake od umjetnih materijala, armirane staklenim voalom: deblj. 1,8 mm, gustoća cca 1,8 kg/m2, čvrstoća na paranje 9 N/mm2 s 600 % rastezanja,</t>
  </si>
  <si>
    <t>koeficijent paropropusnosti D=2,6x10-3 mg/m2hPa, koeficijent difuzne otpornosti m=155000, postojanost na -30°C, promjena oblika na toplini 0,1 %.
Trake se homogeno spaja termičkim zavarivanjem vrućim zrakom. Područje šava prije zavarivanja sa obje strane obraditi tipskim preparatorima.
Spojeve traka izvesti kao ravne šavove i poprečne spojeve. Križni spojevi nisu dozvoljeni. Izvođač je dužan ispitati svaki zavareni šav. Pregibe izvesti kao mehanički učvršćene pregibe (tipski profil za mehaničko učvršćenje, od specijalno pocinčanog trakastog čelika, sa najmanje 4 vijka po m1 i zavarenom pokrivnom hidroizolacionom trakom min. šir. 20 cm). Kuteve (unutarnje, vanjske i sl.) izvesti tipskim zavarenim fazonskim komadima u tehnologiji proizvođača upotrijebljenih materijala.
Sve drvene elemente zaštititi od crvotočina, drvojetki, truljenja i/ili sl, te uključiti svu</t>
  </si>
  <si>
    <t>potrebnu antikorozivnu zaštitu metalnih elemenata.
Završna je obrada materijalima, tonovima i nijansama po izboru projektanta.
Rješenja načina izvedbe i svih detalja u svezi krovopokrivačkih radova mora izvoditelj obvezno predočiti projektantu i tek nakon ovjere istih od strane projektanta može pristupiti izvedbi radova. Izrada rješenja neće se posebno platiti već predstavlja trošak i obvezu izvoditelja.
Prilikom izvođenja radova mora se izvoditelj striktno pridržavati usvojenih i od strane projektanta prihvaćenih materijala i ovjerenih detalja.
Sve radove u svezi izvedbe i detalja sa njima povezanim koji se izvode po odabranom specifičnom proizvođaču, treba obvezno izvesti po detaljima i tehnološkim rješenjima istog. To se odnosi kako na korištenje materijala tako i na uporabu odgovarajućeg alata. Glede specifičnosti gore</t>
  </si>
  <si>
    <t>navedenih radova, izvoditelj je dužan prije davanja ponude obvezno se upoznati s načinom i detaljima izvođenja radova i izolacija koji su opisani ovim troškovnikom, te s tehnologijom i specifičnostima izvođenja radova odabranog proizvođača.
U cijeni treba također uključiti izvedbu i obradu pokrova po detaljima kod prelaza, lomova i sudara ploha, završetaka krova, oko raznih šahtova, kanala i prodora kroz krovnu plohu, sve do potpune gotovosti i funkcionalnosti.
Osim ako to pojedinom stavkom nije drugačije specificirano, sve radove izvesti obostrano pocinčanim i obojenim čeličnim limom potrebne debljine (0,8 mm ili debljim). Uključivo sva potrebna antikorozivna zaštitu svih elemenata. Obratiti pažnju na izbjegavanje stvaranja galvanskih članaka (uključivo sav potreban izolacijski materijal). Uključivo sav potreban spojni, pročvrsni i brtveni materijal, eventualno</t>
  </si>
  <si>
    <t>potreban podložni sloj polimer bitumenske trake, difuzne krovne folije i/ili sl., bez posebne napomene.
Limarski elementi su izrađeni iz obostrano pocinčanog čeličnog lima (275 g/m2 cinka, sukladno HRN EN 10346 ili jednakovrijedno), koji je obojen standardnom poliester bojom (SP), debljine 25 µm (vanjska strana), te 15 µm (unutarnja strana), sukladno HRN EN 10169/1 ili jednakovrijedno, nijanse prema ton karti RAL, a po izboru projektanta. Nevidljiva unutarnja strana obloge izolacijskih panela zaštićena je lakom debljine 5 µm. Odstupanja su označena u pojedinim detaljima.
Prije izvedbe radioničke nacrte dostaviti projektantu na pregled i pismeno odobrenje. Završna je obrada materijalima, tonovima i nijansama prema izboru projektanta.
Sav upotrijebljeni materijal i finalni građevinski proizvodi moraju odgovarati</t>
  </si>
  <si>
    <t>postojećim tehničkim propisima i HR ili jednakovrijednim normama. Prilikom izvedbe limarskih radova treba se u svemu pridržavati slijedećih propisa i normi:
- Pravilnik o zaštiti na radu u građevinarstvu;
- Pravilnik o tehničkim mjerama i uvjetima za završne radove u građevinarstvu;
- Tehnički uvjeti za izvođenje limarskih radova;
HR norme:
- pocinčani lim HRN C.E4.020 ili jednakovrijedno;
- aluminijski lim HRN C.C4.020, 025, 050, 051, 060, 120, 150, 160 ili jednakovrijedno, te HRN EN 485 ili jednakovrijedno.
Pomoćni i vezivni materijali kalaj, zakovice, zavrtnji i drugo moraju odgovarati odredbama HR normi ili jednakovrijednim.
Sve radove treba izvesti stručno i solidno, sukladno tehničkim propisima. Izvoditelj je dužan na zahtjev investitora ili nadzornog inženjera predočiti uzorke i prospekte za pojedine</t>
  </si>
  <si>
    <t>materijale. Nestandardiziran materijal mora imati atest o kvaliteti izdan od organizacije ovlaštene za izdavanje atesta. Izvoditelj je također dužan da za svaku stavku izradi detaljni crtež i ovjeri ga kod projektanta i nadzornog inženjera.
Različite vrste metala, koje se uslijed elektrolitskih pojava međusobno razaraju, ne smiju se izravno dodirivati. Sve željezne dijelove koji dolaze u dodir s cinkom ili pocinčanim limom treba preličiti asfaltnim lakom, ili odgovarajućim sredstvom. Kod polaganja lima na masivne podloge, potrebno je podloge prije oblaganja obložiti slojem krovne ljepenke br. 120 radi sprečavanja štetnih kemijskih uticaja na lim.
Sva se učvršćenja i povezivanja limova moraju izvesti tako da konstrukcija bude osigurana od nevremena, atmosferilija i prodora vode u objekt, i da pojedini dijelovi mogu nesmetano raditi kod temperaturnih promjena bez štete po ispravnost</t>
  </si>
  <si>
    <t>konstrukcije.
U jediničnim cijenama uračunato je:
- naknada za kompletni rad (izrada i ugradba);
- materijal;
- svi vanjski i unutarnji, horizontalni i vertikalni transporti;
- premazivanja asfalt lakom, podlaganje krovne ljepenke;
- sav sitni i spojni materijal i materijal za učvršćenje (kuke, plosna željeza, žica za učvršćenje, vijci, zakovice i/ili sl.).
Izmjere je potrebno izvršiti na gradilištu, nakon izvedbe. Obračun se vrši po m1, m2 ili komadu, ovisno o vrsti elementa, prema važećim građevinskim normama za pojedine radove, te stvarno izvedenim količinama. Odrezi panela se ne odbijaju. Eventualne nejasnoće oko načina izvedbe ili obračuna izvoditelj je dužan razjasniti s nadzornim inženjerom prije samog pristupanja izvođenju.</t>
  </si>
  <si>
    <t>Uključivo sve potrebne tipske profile, elemente, fazonske komade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tj.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</si>
  <si>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RB</t>
  </si>
  <si>
    <t>STAVKA</t>
  </si>
  <si>
    <t>JEDINICA MJERE</t>
  </si>
  <si>
    <t>KOLIČINA</t>
  </si>
  <si>
    <t>JEDINIČNA CIJENA</t>
  </si>
  <si>
    <t>UKUPNA CIJENA</t>
  </si>
  <si>
    <t>3.1.</t>
  </si>
  <si>
    <t>STANDARDNA KROVNA OBLOGA</t>
  </si>
  <si>
    <t>Realizacija pokrova tehničkih karakteristika Broof (t1) na standardnoj prefabriciranoj armiranobetonskoj konstrukciji kosog dvostrešnog krova nagiba 5% (K1).
Izvedba u svemu prema standardnoj tehničkoj specifikaciji prodajnog mjesta Eurospin - točka 3.1.</t>
  </si>
  <si>
    <t>3.1.1.</t>
  </si>
  <si>
    <t>Krovna obloga završno s TPO / FPO membranom</t>
  </si>
  <si>
    <t>3.1.1.1.</t>
  </si>
  <si>
    <t>Priprema ugradnje: čišćenje ugradbene površine uz uklanjanje prljavštine, ostataka prethodne obrade, izbočenih metalnih elemenata, nekoherentnog materijala koji se odvaja i svega ostalog što može utjecati na ispravnu ugradnju krovnog sustava. Površina cijelog krova cca 860 m2, površina konstruktivnih elemenata na koje se oslanja krov cca 92 m2.
Obračun po kompletu.</t>
  </si>
  <si>
    <t>3.1.1.1.a.</t>
  </si>
  <si>
    <t/>
  </si>
  <si>
    <t>komplet</t>
  </si>
  <si>
    <t>3.1.1.2.</t>
  </si>
  <si>
    <t>Dobava materijala, izrada i ugradnja visoko profiliranog vruće pocinčanog čeličnog lima s trapeznim presjekom, obostrano plastificiranog, za ravni krov dvostrešnog nagiba 5%.
Ploče trapeznog lima se sastavljaju na licu mjesta u jedinstven sustav putem spojeva, preklapanja i/ili uzdužnih mehaničkih ograničenja i fiksiraju na predgotovljene armiranobetonske elemente i čeličnu nosivu konstrukciju, grede, odgovarajućim spojnim elementima. Visina i debljina prema statičkom izračunu, tip kao Münker Metallprofile M 150/280 Pozitiv debljine 1,0 i 1,5 mm.
Montaža mora osigurati, u blizini otvora i svjetlarnika, postavljanje C profila koji povezuju podkonstrukciju i okvir svjetlarnika. C profili moraju biti pričvršćeni na vrh valovitog lima.
Svojstva:
Završna obrada unutarnja strana: 15 µm poliester,</t>
  </si>
  <si>
    <t>RAL 9010 čisto bijelo
Završna obrada vanjska strana: 12 µm poliester/RSL, slično RAL 9002 (sivo-bijelo)
Profil: 150 /280 mm
Debljine lima: 1,0 mm, 1,5 mm
Statički sustav: postava na pozitivnu stranu, višepoljni nosač (kroz dva ili više polja) ili kontinuirano
U cijenu uključena montaža, spojna sredstva, sav ostali rad i ostali sitni materijal te ostale usluge kako bi se stavka izvela do gotove funkcionalnosti.
Izvedba u svemu prema standardnoj tehničkoj specifikaciji prodajnog mjesta Eurospin - točka 3.1.1.
Obračun po m2.</t>
  </si>
  <si>
    <t>3.1.1.2.a.</t>
  </si>
  <si>
    <t>m²</t>
  </si>
  <si>
    <t>3.1.1.3.</t>
  </si>
  <si>
    <t>Parna brana</t>
  </si>
  <si>
    <t>Dobava materijala i izrada parne brane u presjeku dvostrešnog krova prodajnog prostora i skladišta polimerbitumenskom trakom s uloškom aluminijske folije, debljine 0,3 cm.
Faktor otpornosti na vodenu paru μ&gt; 240.000 (UNI EN 1931). Potpuna samostalna suha montaža s preklapanjem ploča 10/15 cm u oba smjera i brtvljenjem preklopa dvostranom trakom. Parna brana mora se preklopiti vertikalno, minimalno za cijelu debljinu toplinske izolacije d=18 cm, rubno uz parapetne zidove i prodore krova.
Izvedba u svemu prema standardnoj tehničkoj specifikaciji prodajnog mjesta Eurospin - točka 3.1.1.
Detalji izvedbe u svemu prema standardnoj tehničkoj specifikaciji prodajnog mjesta Eurospin - grafički detalj PNS03-8.
Obračun po m2, s odbitkom za krovne kupole.</t>
  </si>
  <si>
    <t>3.1.1.3.a.</t>
  </si>
  <si>
    <t>3.1.1.4.</t>
  </si>
  <si>
    <t>Toplinska izolacija krova</t>
  </si>
  <si>
    <t>Dobava materijala i ugradnja ploča tvrde kamene vune, debljine 18 (10+8) cm, za toplinsku izolaciju u kosog krova prodajnog prostora i skladišta.
_ koeficijent toplinske provodljivosti λD ≤ 0,038 W/(mK);
_ tlačna čvrstoća kod 10% deformacije min. 70 kPa;
_ klasa gorivosti: A1.
Ploče se slobodno polažu na podlogu od parne brane u dva međusobno okomita smjera sa formiranjem minimalnih potrebnih padova na poziciji upuštenog linijskog žlijeba odvodnje. Ploče će se fiksirati specijalnim pričvrsnicama s elektromagnetsko-indukcijskim sustavom pričvršćenja toplinske i hidroizolacije pomoću odgovarajućeg stroja za toplinsko varenje.
Sve prema detaljima iz izvedbenog arhitektonskog projekta.
Izvedba u svemu prema standardnoj tehničkoj</t>
  </si>
  <si>
    <t>specifikaciji prodajnog mjesta Eurospin - točka 3.1.1.
Detalji izvedbe u svemu prema standardnoj tehničkoj specifikaciji prodajnog mjesta Eurospin - grafički detalj PNS03-8.
Obračun po m2, s odbitkom za krovne kupole.</t>
  </si>
  <si>
    <t>3.1.1.4.a.</t>
  </si>
  <si>
    <t>3.1.1.5.</t>
  </si>
  <si>
    <t>Padovi ravnog krova od elemenata kamene vune</t>
  </si>
  <si>
    <t>Izvedba padova ravnog krova s elementima kamene vune velike gustoće. Dobava i ugradnja elemenata od tvrde mineralne vune u nagibu debljine od 1-15 cm. Postava gotovih ploča od kamene vune s nagibom u dva smjera za postizanje točkaste odvodnje. Elementi se postavljaju na osnovnu toplinsku izolaciju ravnog krova uz krojenje i formiranje padova prema točkastim elementima odvodnje.
Tehničke karakteristike proizvoda:
• reakcija na požar razred A1 prema HRN EN 13501-1
• deklarirana toplinska provodljivost ʎd ≤ 0,040 W/mK prema HRN EN 12667
• Tlačna čvrstoća CS(10) | σ10= 70 kPa HRN EN 826
• Točkasto opterećenje PL(5) | Fp =600 N | HRN EN 12430
Pričvršćivanje: prema uputi proizvođača
Uključivo izrada projekta padova ravnog krova.
U cijeni sav rad, materijal kako bi se stavka</t>
  </si>
  <si>
    <t>izvela do gotove funkcionalnosti.
Obračun po kompletu izvedenih padova ravnog krova prema točkastim elementima odvodnje.</t>
  </si>
  <si>
    <t>3.1.1.5.a.</t>
  </si>
  <si>
    <t>3.1.1.5.b.</t>
  </si>
  <si>
    <t>3.1.1.5.c.</t>
  </si>
  <si>
    <t>UKUPNO:</t>
  </si>
  <si>
    <t>3.1.1.6.</t>
  </si>
  <si>
    <t>Hidroizolacija krova</t>
  </si>
  <si>
    <t>Dobava materijala i izrada horizontalne hidroizolacije dvostrešnog krova blagog nagiba jednoslojnom UV stabilnom sintetičkom folijom na bazi TPO-a, debljine 0,18 cm, kao Imper Sintofoil RG White Reflecta FR3 ili jednakovrijedno.
_ indeks solarne refleksije SRI = 102%;
_ klasa gorivosti: Broof (t1).
Hidroizolacija će se fiksirati specijalnim pričvrsnicama s elektromagnetsko-indukcijskim sustavom pričvršćenja toplinske i hidroizolacije pomoću odgovarajućeg stroja za toplinsko varenje.
Posebno obraditi TPO folijom linijske upuštene žlijebove duž strehe kosog krova, formirane u sloju toplinske izolacije krova, prema detaljima iz izvedbenog arhitektonskog projekta.
Izvedba u svemu prema standardnoj tehničkoj specifikaciji prodajnog mjesta Eurospin - točka 3.1.1.
Detalji izvedbe u svemu prema standardnoj tehničkoj specifikaciji prodajnog mjesta Eurospin</t>
  </si>
  <si>
    <t>- grafički prikaz PNS03-8.
Obračun po m1 i m2, s odbitkom za krovne kupole i po komadu obrade prodora kroz krov.</t>
  </si>
  <si>
    <t>3.1.1.6.a.</t>
  </si>
  <si>
    <t>hidroizolacija kosog krova</t>
  </si>
  <si>
    <t>3.1.1.6.b.</t>
  </si>
  <si>
    <t>trostrana hidroizolacija razvijene širine 100 cm - obloga linijskog žlijeba</t>
  </si>
  <si>
    <t>m</t>
  </si>
  <si>
    <t>3.1.1.6.c.</t>
  </si>
  <si>
    <t>obrada prodora, istaka i/ili sl. - čel. konstrukcija platformi (100/100 mm, d 141 mm i sl.)</t>
  </si>
  <si>
    <t>komad</t>
  </si>
  <si>
    <t>3.1.1.6.d.</t>
  </si>
  <si>
    <t>obrada prodora, istaka i/ili sl. - odsisni kanal nape d 420 mm</t>
  </si>
  <si>
    <t>3.1.1.6.e.</t>
  </si>
  <si>
    <t>obrada prodora, istaka i/ili sl. - strojarske instalacije GHV 17x40 cm</t>
  </si>
  <si>
    <t>3.1.1.6.f.</t>
  </si>
  <si>
    <t>obrada prodora, istaka i/ili sl. - strojarske instalacije za rashladnu centralu i gas cooler</t>
  </si>
  <si>
    <t>3.1.1.6.g.</t>
  </si>
  <si>
    <t>obrada prodora, istaka i/ili sl. - instalacije kanalizacije - odzrake d 110 mm i slivnici d 160 mm</t>
  </si>
  <si>
    <t>3.1.1.7.</t>
  </si>
  <si>
    <t>Vertikalna hidroizolacija</t>
  </si>
  <si>
    <t>Dobava materijala i izrada vertikalne hidroizolacije kosog dvostrešnog krova blagog nagiba jednoslojnom UV stabilnom sintetičkom folijom na bazi TPO-a, debljine 0,18 cm, kao Imper Sintofoil RG White Reflecta FR3 ili jednakovrijedno.
_ indeks solarne refleksije SRI = 102%;
_ klasa gorivosti: Broof (t1).
Hidroizolacija će se fiksirati specijalnim pričvrsnicama s elektromagnetsko-indukcijskim sustavom pričvršćenja toplinske i hidroizolacije pomoću odgovarajućeg stroja za toplinsko varenje.
Izvedba u svemu prema standardnoj tehničkoj specifikaciji prodajnog mjesta Eurospin - točka 3.1.1.
Detalji izvedbe u svemu prema standardnoj tehničkoj specifikaciji prodajnog mjesta Eurospin - grafički prikazi NS03-8.
Obračun po m1.</t>
  </si>
  <si>
    <t>3.1.1.7.a.</t>
  </si>
  <si>
    <t>vertikalna hidroizolacija razvijene širine 200 cm - uzdužna atika</t>
  </si>
  <si>
    <t>3.1.1.7.b.</t>
  </si>
  <si>
    <t>vertikalna hidroizolacija razvijene širine prosječno 75 cm - atika zabata</t>
  </si>
  <si>
    <t>3.1.1.7.c.</t>
  </si>
  <si>
    <t>vertikalna hidroizolacija razvijene širine prosječno 60 cm - opšav višeg zida</t>
  </si>
  <si>
    <t>3.1.1.7.d.</t>
  </si>
  <si>
    <t>vertikalna hidroizolacija - razvijene širine 80 cm - obloga nastavnog vijenca krovne kupole i  prodora instalacijskih kanala</t>
  </si>
  <si>
    <t>3.1.1.8.</t>
  </si>
  <si>
    <t>Dobava materijala i izrada priključnih otvora za odvodne cijevi minimalno D160 mm, s gotovim FPO / FPA ulazima, ugrađeni toplinskim zavarivanjem na krovnu membranu i kompletni sa zaštitnom rešetkom za lišće.
Izvedba u svemu prema standardnoj tehničkoj specifikaciji prodajnog mjesta Eurospin - točka 3.1.1.
Detalji izvedbe u svemu prema standardnoj tehničkoj specifikaciji prodajnog mjesta Eurospin - grafički prikaz PNS03-8.
Obračun po komadu.</t>
  </si>
  <si>
    <t>3.1.1.8.a.</t>
  </si>
  <si>
    <t>3.1.1.9.</t>
  </si>
  <si>
    <t>Dobava materijala, izrada i ugradnja sigurnosnog preljeva krova od termolakiranog pocinčanog lima debljine 0,8 mm, pravokutnog presjeka kanala dimenzija s.o. 20x10 cm, varijabilne dužine 20-25 cm, s vanjskom prirubnicom od lima, zakovicama i brtvama sa posebnim materijalom koji se može bojati.
Preljevi se pozicioniraju u skladu sa rasterom fasadnih panela na pročeljima.
Prodor preljeva kroz vertikalnu hidroizolaciju brtvi se pomoću tipskih obujmica i kitanjem trajnoelastičnim kitom u skladu sa detaljima proizvođača hidroizolacije.
Boja lima RAL 7043, gloss 20.
Izvedba u svemu prema standardnoj tehničkoj specifikaciji prodajnog mjesta Eurospin - točka 3.1.1.
Detalji izvedbe u svemu prema standardnoj tehničkoj specifikaciji prodajnog mjesta Eurospin - grafički prikaz PNS03-8.</t>
  </si>
  <si>
    <t>Obračun po komadu.</t>
  </si>
  <si>
    <t>3.1.1.9.a.</t>
  </si>
  <si>
    <t>3.1.1.10.</t>
  </si>
  <si>
    <t>Dobava materijala, izrada i ugradnja opšava završetka atika krovova od ravnog obostrano pocinčanog i obojenog čeličnog lima, debljine 0,8 mm.
Opšav se izvodi iz traka lima dužine do 3,0 m, s obostranom okapnicom. Spojevi traka se izvode u ravnini opšava pomoću gornje i donje pokrovne trake - ''flastera''.
Opšav se montira na nosače od plosnog čeličnog profila - ''klamere''.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 točka 3.1.1.
Detalji izvedbe u svemu prema standardnoj</t>
  </si>
  <si>
    <t>tehničkoj specifikaciji prodajnog mjesta Eurospin - poglavlje 3. - grafički prikazi PNS03-8.
Obračun po m1.</t>
  </si>
  <si>
    <t>3.1.1.10.a.</t>
  </si>
  <si>
    <t>opšav razvijene širine 50 cm - atika izolacijskih panela</t>
  </si>
  <si>
    <t>3.1.1.11.</t>
  </si>
  <si>
    <t>Protuklizne hodne trake</t>
  </si>
  <si>
    <t>3.1.1.11.a.</t>
  </si>
  <si>
    <t>3.1.1.12.</t>
  </si>
  <si>
    <t>Projektiranje, montaža i puštanje u pogon. Ugradnju mora izvršiti tvrtka ovlaštena i certificirana od strane proizvođača krovne membrane, s odgovarajućim vještinama i znanjem te obučenim specijaliziranim operaterima. Izvođač mora osigurati izvedbeni projekt i izbor najprikladnije tehnologije. Rezultate proračuna otpornosti na djelovanje vjetra u skladu s važećim zakonskim propisima, izvršit će kvalificirani stručnjak, koji će odrediti količinu pričvrsnih elemenata koje treba primijeniti na područjima krova s različitim intenzitetom odvoda vjetra. Sve se mora izvesti u dogovoru s proizvođačem hidroizolacijskih membrana, koji će osigurati tehnički nadzor gradilišta, provjeriti detalje konstrukcije i pravilnu ugradnju sustava. Izvođač će biti zadužen za provjere unutar i nakon rada, kako bi se osigurala mehanička otpornost i vodonepropusnost krova, ispitivanjem vađenja</t>
  </si>
  <si>
    <t>pričvrsnih elemenata, ispitivanjem vodonepropusnosti, ispitivanjem otpornosti membrane niskonaponskim ili visokonaponskim sustavom električne vodljivosti koje provodi akreditirana tvrtka. Završne provjere i puštanje krova u pogon izvršit će se u prisustvu voditelja gradilišta i Eurospina. Nakon završetka radova Eurospinu će se poslati detaljni projekt, certifikati, izvješće o puštanju u rad s pozitivnim rezultatom i priručnik za uporabu i održavanje.
Obračun po kompletu.</t>
  </si>
  <si>
    <t>3.1.1.12.a.</t>
  </si>
  <si>
    <t>Krovna obloga završno s TPO / FPO membranom UKUPNO:</t>
  </si>
  <si>
    <t>3.1.2.</t>
  </si>
  <si>
    <t>Dovršetak krovne obloge kosog krova</t>
  </si>
  <si>
    <t>3.1.2.1.</t>
  </si>
  <si>
    <t>Dobava materijala, izrada, transport i montaža sustava zaštite od pada sa krovova, trajnih sidrenih naprava tipa C, sukladnih zakonodavnom dekretu 81/2008 prema normama UNI EN 795:2012, UNI 11578-2015, CEN/TS 16415, UNI 11560 ili jednakovrijedno, te prema odlukama lokalnih vlasti. Sustav se montira duž dvije kraće stranice dvostrešnog krova.
Sustav se sastoji od:
- sidrišta na krajevima i u sredini (sustavi koji se ne mogu deformirati i koje nije potrebno mijenjati u slučaju pada) od pocinčanog čelika, obojanog prahom, ili nehrđajućeg čelika, s punim okomitim profilom okruglog presjeka, prikladne visine, pločom, kontrapločom i protupločicom za pričvršćivanje, navojnim šipkama, maticama i kontramaticama, podloškama, itd., sidrenom glavom i kompletom za disipaciju naprezanja od nehrđajućeg čelika;
- čeličnog užeta sa spojem na pritisak od</t>
  </si>
  <si>
    <t>nehrđajućeg čelika AISI 316 prikladnog promjera i razvoja i komplet sa svim završnim elementima za „sigurno zaustavljanje“ (“safety stop”);
- vodonepropusnih spojeva s oblogom za hidroizolaciju;
- identifikacijske pločice na mjestu pristupa koja je izvedena neizbrisivom tintom otpornom na atmosferilije;
- ETC, tehničkog elaborata koji sadrži ilustrativni tehnički izvještaj, planimetrije krova i tehnički izvještaj o izračunu sidrišta kojeg potpisuje kvalificirani stručnjak, priručnika za uporabu i održavanje ugrađenog proizvoda, izjave o sukladnosti i tehničkih podataka za ugrađene proizvode, izjave o ispravnom postavljanju;
- svega ostalog potrebnog za dovršetak i izvođenje radova prema pravilima struke i zakonima na snazi;
- spojeva s hidroizolacijskom oblogom</t>
  </si>
  <si>
    <t>realiziranih prema uputama proizvođača sustava.
U stavci uključen sav potreban spojni i montažni pribor.
Izvedba u svemu prema standardnoj tehničkoj specifikaciji prodajnog mjesta Eurospin - točka 3.1.2.
Obračun po m1.</t>
  </si>
  <si>
    <t>3.1.2.1.a.</t>
  </si>
  <si>
    <t>3.1.2.2.</t>
  </si>
  <si>
    <t>Dobava materijala i ugradnja ploča tvrde kamene vune, debljine 10 cm, spojenih s Kraft mono bitumenskim kartonom s funkcijom parne brane, za toplinsku izolaciju prorora instalacija kroz kosi krov. Ploče se umeću unutar čelične potkonstrukcije.
_ koeficijent toplinske provodljivosti  ≤ 0,038 W/(mK);
_ tlačna čvrstoća kod 10% deformacije min. 70 kPa;
_ klasa gorivosti: A1.
U stavci uključen sav potreban spojni i montažni pribor.
Izvedba u svemu prema standardnoj tehničkoj specifikaciji prodajnog mjesta Eurospin - točka 3.1.2.
Obračun po m2.</t>
  </si>
  <si>
    <t>3.1.2.2.a.</t>
  </si>
  <si>
    <t>Dovršetak krovne obloge kosog krova UKUPNO:</t>
  </si>
  <si>
    <t>STANDARDNA KROVNA OBLOGA UKUPNO:</t>
  </si>
  <si>
    <t>3.3.</t>
  </si>
  <si>
    <t>NESTANDARDNI RADOVI - RAVNI KROV POSTOJEĆEG DIJELA ZGRADE</t>
  </si>
  <si>
    <t>Realizacija pokrova tehničkih karakteristika Broof (t1) na nestandardnoj horizontalnoj monolitnoj armiranobetonskoj konstrukciji (K2).
Izvedba u svemu prema standardnoj tehničkoj specifikaciji prodajnog mjesta Eurospin.</t>
  </si>
  <si>
    <t>3.3.1.</t>
  </si>
  <si>
    <t xml:space="preserve">Sanacija slojeva neprohodnog ravnog krova </t>
  </si>
  <si>
    <t>3.3.1.1.</t>
  </si>
  <si>
    <t>Izvedba betona za pad na ravnom krovu postojećeg dijela zgrade, laganim pjenobetonom C 16/20, gustoće do 1800 kg/m3, prema HRN EN 206:2021 ili jednakovrijedno (tipa kao POROFOAM ili jednakovrijedan proizvod), debljine 5-16 cm, nagiba 2,5%, površine zaglađene za polaganje hidroizolacije i/ili sl.
Obračun po m3 stvarno izvedenog betona za pad.</t>
  </si>
  <si>
    <t>3.3.1.1.a.</t>
  </si>
  <si>
    <t>m³</t>
  </si>
  <si>
    <t>3.3.1.2.</t>
  </si>
  <si>
    <t>Sanacija hidroizolacije ravnog krova</t>
  </si>
  <si>
    <t>Dobava materijala i izrada horizontalne hidroizolacije ravnog neprohodnog krova dvoslojnim sustavom na bazi polimerbitumenskih traka, debljine 0,4 cm, ukupne debljine 0,8 cm, kao Indeks Flexter Testudo Spunbond Poliestere ili jednakovrijedno.
Prije izvedbe hidroizolacije površinu krovne arm.bet. ploče očistiti i odstraniti sve izbočene dijelove i slabodržeće slojeve.
U stavci uključena priprema podloge hladnom bitumenskom emulzijom iz programa proizvođača parne brane s utroškom min. 300 g/m2.
Prvi sloj se punoplošno lijepi na podlogu pomoću plamenika, te preklapa u širini min. 10 cm.
Hidroizolacija se rubno zadiže uz parapetne zidove i prodore krova u visini minimalno 50 cm (22 cm od visine gotovog krova).
Drugi sloj se punoplošno lijepi na prvi sloj pomoću plamenika, te preklapa u širini minimalno 10 cm u smjeru okomitom na prvi sloj.</t>
  </si>
  <si>
    <t>Obračun po m2 i m1 stvarno izvedenih radova.</t>
  </si>
  <si>
    <t>3.3.1.2.a.</t>
  </si>
  <si>
    <t>horizontalna i uzazidna hidroizolacija</t>
  </si>
  <si>
    <t>3.3.1.2.b.</t>
  </si>
  <si>
    <t>vertikalna hidroizolacija instalacijskih prodori krova, razvijene širine 60 cm</t>
  </si>
  <si>
    <t>3.3.1.3.</t>
  </si>
  <si>
    <t>Sanacija parne brane</t>
  </si>
  <si>
    <t>Dobava i postava parne brane od sintetičke membrane na bazi polietilena (d= 0,3 mm, PE, µ = 1.000.000). Membrana se slobodno polaže na podlogu i spaja samoljepljivom trakom na bazi butil-gume u preklopu spoja od 8 cm. Periferno se membrana lijepi za atiku ili zid samoljepljivom trakom na bazi butil-gume. Sloj parne brane potrebno je uzdići do visine termo izolacije. Ljepljenje uračunato u stavku.
Obračun po m2 stvarno izvedene parne brane.</t>
  </si>
  <si>
    <t>3.3.1.3.a.</t>
  </si>
  <si>
    <t>3.3.1.4.</t>
  </si>
  <si>
    <t>Sanacija toplinske izolacije ravnog krova</t>
  </si>
  <si>
    <t>Dobava materijala i ugradnja ploča tvrdog ekstrudiranog polistirena (XPS), debljine 18 (10+8) cm za toplinsku izolaciju ravnog neprohodnog krova, kao BASF STYRODUR 3035CS ili jednakovrijedno.
_ koeficijent toplinske provodljivosti  ≤ 0,030 W/(mK);
_ tlačna čvrstoća kod 10% deformacije min. 500 kPa;
_ klasa gorivosti: B1.
Ploče se slobodno polažu na hidroizolaciju u dva međusobno okomita smjera, preko razdjelnog sloja geotekstila (150 gr/m2), debljine 0,2 cm, uz rubno zadizanje visine 50 cm i preklope širine minimalno 20 cm, sve uključeno u cijenu stavke.
Obračun po m2 stvarno izvedenih radova.</t>
  </si>
  <si>
    <t>3.3.1.4.a.</t>
  </si>
  <si>
    <t>XPS</t>
  </si>
  <si>
    <t>3.3.1.4.b.</t>
  </si>
  <si>
    <t>3.3.1.5.</t>
  </si>
  <si>
    <t>Popravak PVC hidroizolacijske folije</t>
  </si>
  <si>
    <t>Izvedba završnog sloja neprohodnog ravnog, kosog krova i/ili sl, od hidroizolacijske folije od polimernog PVC-a na slojeve postojećeg krova. Sloj hidroizolacijske folije od polimernog PVC-P, kao SIKA ili jednakovrijedan proizvod, debljine 1,5 mm, uza zid podignuta min. 30 cm.
Hidroizolacija iz sintetičke membrane na bazi mekog PVC-a, armirana poliesterskom mrežicom, UV stabilna, debljine d= 1,5 mm, tip SIKAPLAN 15G, proizvođača SIKA AG ili jednakovrijedan proizvod. Membrane se polažu i mehanički fiksiraju za podlogu, nehrđajućim vijcima s podložnom pločicom u skladu s proračunom proizvođača hidroizolacijske membrane (Jet-Stream, prema Eurocodu1). Spojevi se obrađuju toplinskim ili kemijskim putem sa širinom vara od min. 3 cm, preklop 12 cm, u skladu s propisanom tehnologijom od strane proizvođača membrane. Preklop nije uključen u površinu.
Uključivo obrada prodora ranih odzraka, cijevi,</t>
  </si>
  <si>
    <t>ventilacija, istaka i/ili sl. Točan broj će se obračunati prema stanju na građevini zbog nemogućnosti pristupa na krov u fazi izrade projekta.</t>
  </si>
  <si>
    <t>3.3.1.5.a.</t>
  </si>
  <si>
    <t>ravni krov</t>
  </si>
  <si>
    <t>3.3.1.5.b.</t>
  </si>
  <si>
    <t>obrada prodora, istaka i/ili sl.</t>
  </si>
  <si>
    <t>3.3.1.6.</t>
  </si>
  <si>
    <t>Obrada oko svjetlosne kupole</t>
  </si>
  <si>
    <t>Dobava i postava specijalnih profila od galvaniziranog čeličnog lima 0,6 mm laminiranog sa slojem PVC membrane 0,8 mm, tip kao Sika-Trocal PVC lim ili jednakovrijedan. Dodatno brtvljenje trajnoelastičnim kitom na bazi poliuretana tipa kao SikaHyflex 250 Facade ili jednakovrijednim, odgovarajućim temeljnim premazom i PE ispunom za fuge.
Obračun po m1 stvarno izvedenih radova.</t>
  </si>
  <si>
    <t>3.3.1.6.a.</t>
  </si>
  <si>
    <t>obod uz svjetlarnik, r.š. 60 cm</t>
  </si>
  <si>
    <t>Sanacija slojeva neprohodnog ravnog krova  UKUPNO:</t>
  </si>
  <si>
    <t>3.3.2.</t>
  </si>
  <si>
    <t>Izvedba toplinske izolacije ispod i uokolo raznih detalja pri krovnim elementima i/ili sl., slojem ekstrudiranog polistirena jednostrano nahrapavljene površine (XPS R), prema HRN EN 13164 ili jednakovrijedno, λ max. 0,03 W/mK (prema HRN EN 12667 ili jednakovrijedno), g=25 kg/m3, debljine 10 cm.
Uključivo sloj rabitziranog polimer cementnog morta.
_ koeficijent toplinske provodljivosti  ≤ 0,038 W/(mK);
_ tlačna čvrstoća kod 10% deformacije min. 70 kPa;
_ klasa gorivosti: A1.
U stavci uključen sav potreban spojni i montažni pribor.
Izvedba u svemu prema standardnoj tehničkoj specifikaciji prodajnog mjesta Eurospin - točka 4.3.
Obračun po m2.</t>
  </si>
  <si>
    <t>3.3.2.a.</t>
  </si>
  <si>
    <t>3.3.3.</t>
  </si>
  <si>
    <t>Izvedba i postavljanje vertikalnih oluka - otpadnih cijevi krovne vode kružnog presjeka DN 110 od pocinčanog plastificiranog lima d=0,7 mm sa svim fazonskim komadima, pričvrsnim elementima i spojnim sredstvima. Uključivo izrada potrebnih ogrlica od plosnog profila na svakih 2,0 m za ugradbu uz zid obložen toplinskom fasadom debljine 15+4 (stara žbuka) cm.
Cijevi priključiti sa gornje strane na odvod krovnog slivnika uključujući koljeno za prolaz kroz atiku i sa vanjske strane atike na prihvatni lončić sa priključkom na vertikalnu odvodnu cijev (lonac je pokriven tipskom rešetkom i predviđen sa mrežicom za hvatanje lišća i sl.) na koji se nastavlja vertikalni oluk. Sa donje strane vertikalni oluk se priključuje na ljevanoželjeznu kanalizacionu cijev visine 2 m. Cijevi su profila 125 mm. Pri prolazu oluka kroz atiku zgrade isti treba obložiti ljepenkom i kamenom vunom "u rinfuzi".</t>
  </si>
  <si>
    <t>Vertikalni oluci koji se nalaze na strani postojeće zgrade uz koju se izvodi dogradnja, spuštaju se do novog krova gdje se izvodi fazonski komad za izljev na krov.
Boja po izboru investitora.
Stavka uključuje dobavu i postavu svih fazonskih komada, kuka, spojnica, koljena i dr. te izvedbu kvalitetnih spojeva na postojeći pokrov i odvodnju (uključivo potrebni opšav).
Obračun po m' razvijene dužine vertikalnog oluka i po kom kompletno izvedenih fazonskih elemenata.</t>
  </si>
  <si>
    <t>3.3.3.a.</t>
  </si>
  <si>
    <t>vertikalni oluci</t>
  </si>
  <si>
    <t>3.3.3.b.</t>
  </si>
  <si>
    <t>spoj na krovni slivnik i koljeno za prolaz kroz atiku</t>
  </si>
  <si>
    <t>3.3.3.c.</t>
  </si>
  <si>
    <t>priključni lončić</t>
  </si>
  <si>
    <t>3.3.3.d.</t>
  </si>
  <si>
    <t>lijevanoželjezna kanalizacijska cijev</t>
  </si>
  <si>
    <t>3.3.3.e.</t>
  </si>
  <si>
    <t>izljev na krov</t>
  </si>
  <si>
    <t>3.3.4.</t>
  </si>
  <si>
    <t>Dobava materijala, izrada i ugradnja sigurnosnog preljeva krova od termolakiranog pocinčanog lima debljine 0,8 mm, pravokutnog presjeka kanala dimenzija s.o. 20x10 cm, varijabilne dužine 30-35 cm, 37-42 cm, s vanjskom prirubnicom od lima, zakovicama i brtvama sa posebnim materijalom koji se može bojati.
Preljevi se pozicioniraju u skladu s projektom.
Prodor preljeva kroz vertikalnu hidroizolaciju brtvi se pomoću tipskih obujmica i kitanjem trajnoelastičnim kitom u skladu sa detaljima proizvođača hidroizolacije.
Boja lima RAL 7043, gloss 20.
Izvedba u svemu prema standardnoj tehničkoj specifikaciji prodajnog mjesta Eurospin - točka 3.1.1.
Detalji izvedbe u svemu prema standardnoj tehničkoj specifikaciji prodajnog mjesta Eurospin - grafički prikaz PNS03-8.
Obračun po komadu.</t>
  </si>
  <si>
    <t>3.3.4.a.</t>
  </si>
  <si>
    <t>30-35  cm</t>
  </si>
  <si>
    <t>3.3.4.b.</t>
  </si>
  <si>
    <t>37-42 cm</t>
  </si>
  <si>
    <t>3.3.5.</t>
  </si>
  <si>
    <t>Dobava materijala, izrada i ugradnja opšava vijenca nadozida ravnog krova od ravnog obostrano pocinčanog i obojenog čeličnog lima, debljine 0,8 mm, razvijene širine 80 cm.
Opšav se izvodi iz traka lima dužine do 3,0 m, s obostranom okapnicom, u nagibu prema krovu. Spojevi traka se izvode u ravnini opšava pomoću gornje i donje pokrovne trake - ''flastera''.
Opšav se montira na nosače od plosnog čeličnog profila - ''klamere''.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Obračun po m1.</t>
  </si>
  <si>
    <t>3.3.5.a.</t>
  </si>
  <si>
    <t>NESTANDARDNI RADOVI - RAVNI KROV POSTOJEĆEG DIJELA ZGRADE UKUPNO:</t>
  </si>
  <si>
    <t>KROVOPOKRIVAČKI I LIMARSKI RADOVI UKUPNO:</t>
  </si>
  <si>
    <t>4.1.2.</t>
  </si>
  <si>
    <t>Vodonepropusni polimercementni premaz kao Mapelastic i/ili sl., na armiranobetonskoj podnoj ploči. Premaz se izvodi u 2 sloja ukupne debljine 2 mm, tako da se u prvi sloj utisne alkalno otporna mrežica od staklenih vlakana.
Slojeve hidroizolacije odići vertikalno na zid cca 20 cm. Uključivo gumirana poliesterska traka, kao Mapeband, na rubovima zidova i podova, na kutovima zidova i/ili sl., sve u cijeni. Sve izvesti po uputama proizvođača, da se postigne tražena vodonepropusnost.
Izvedba u svemu prema standardnoj tehničkoj specifikaciji prodajnog mjesta Eurospin .
Obračun po m2 razvijene površine.</t>
  </si>
  <si>
    <t>4.1.2.a.</t>
  </si>
  <si>
    <t>4.4.11.</t>
  </si>
  <si>
    <t>Hidroizolacija poda podruma</t>
  </si>
  <si>
    <t>Izvedba horizontalne hidroizolacije podova tlu i/ili sl: jedan hladni bitumenski temeljni premaz (prema HRN U M3.240 ili jednakovr.) i dva sloja hidroizolacijske visoko fleksibilne polimer (elastomer) bitumenske trake, s uloškom od impregnirane staklene tkanine, prema HRN EN 13707:2013 i HRN EN 13969:2005 ili jednakovrijedno, obostrano zaštićene folijom, debljine 4,0 mm, varene 100%, s preklopom 10 cm.
Trake kvalitete T, postojanosti na -15 °C, sile kidanja minimalno 700 N.
Na mjestima uvala, pregiba, prodora i/ili sl. izvesti ojačanje dodatnim slojem iste trake.
Obračun po m2 kompletne izvedbe.</t>
  </si>
  <si>
    <t>4.4.11.a.</t>
  </si>
  <si>
    <t>4.4.12.</t>
  </si>
  <si>
    <t>Dobava i ugradnja jednokomponentnog vlaknima ojačanog cementnog morta, s reaktivnim pucolanskim komponentama, odabranim agregatima i posebnim dodacima. Ispunjava zahtjeve prema EN 1504-3.
Karakteristike proizvoda:
- specifična gustoća: min. 1,85 kg/L
- tlačna čvrstoća: min. 22 MPa (EN 12190 ili jednakovrijednom_____________)
- vlačna čvrstoća pri savijanju: min. 6 MPa (EN 1015-11 ili jednakovrijednom_____________)
- vlačna čvrstoća prionjivosti: min. 1,6 MPa (B) (EN 1542 ili jednakovrijednom_____________)
- maksimalno zrno agregata: Dmax: 1,4 mm - paropropusnost: μ 15/35 (EN 1742 A.12 ili jednakovrijedan__________________)
- kapilarno upijanje: &lt; 0,45 kg m-2 h-0,5 (EN 13057 ili jednakovrijedan___________________)
Proizvod se na podlogu nanosi postupkom špricanja / ručno u ukupnoj suhoj debljini min. 10 mm.</t>
  </si>
  <si>
    <t>Nakon nanošenja prvog sloja debljine 5 mm, pozicionirati mrežu od staklenih vlakana s dovoljnim preklopima te nanijeti drugi sloj od 5 mm.
Priprema podloge prema uputstvu proizvođača uključeno u cijenu.
Sve komponente sustava moraju biti kompatibilne.
Proizvod kao Sika MonoTop 722 MUR ili jednakovrijedan.
Radove izvesti prema uputama proizvođača materijala. Obračun po m2.</t>
  </si>
  <si>
    <t>4.4.12.a.</t>
  </si>
  <si>
    <t>4.4.13.</t>
  </si>
  <si>
    <t>Dobava i postava specijalne polimer-bitumenske trake integrirane sa HDPE slojem, EN 13969, do visine cca 30 cm od nivoa konačno uređenog terena (sokl). Izolacija se spušta na nivo horizontalne hidroizolacije. Ukupna visina izolacije iznosi 440 cm.
Na betonske podloge, podlogu od stare bitumenske hidroizolacije i sl. lijepi se specijalnim polimer-cementnim mortom. Ima debljinu od 1.6 mm. Gornja strana ima sloj HDPE filma - poprečno laminiranog čime se dobiva visoka otpornost na proboj.
Karakteristike :
vlačna sila (uzdužno) (MD) 500 N/50 mm ± 100 N/50 mm (EN 12311-1),
izduženje pri maksimalnoj vlačnoj sili (poprečno) (CMD) 180 % ± 15 % (EN 12311-1),
Otpornost spoja na smik (uzdužno) 350 N/50 mm ± 70 N/50 mm (EN 12317-1)
Radove izvesti prema uputama proizvođača</t>
  </si>
  <si>
    <t>materijala.
Proizvod tipa kao SikaShiled W-172 HDPE 1.6mm ili jednakovrijedan.
Ljepilo tipa kao SikaShiled W1 ili jednakovrijedno.
Svi proizvodi u sustavu trebaju biti kompatibilni.
Obračun po m2 površine.</t>
  </si>
  <si>
    <t>4.4.13.a.</t>
  </si>
  <si>
    <t>hidroizolacija ukopanog zida</t>
  </si>
  <si>
    <t>4.4.13.b.</t>
  </si>
  <si>
    <t>obrada prodora instalacija</t>
  </si>
  <si>
    <t>4.4.14.</t>
  </si>
  <si>
    <t>Hidroizolacija ukopanih zidova podruma bitumenskim trakama</t>
  </si>
  <si>
    <t>Izvedba vertikalne hidroizolacije ukopanih armirano betonskih i/ili sl., do visine cca 30 cm od nivoa konačno uređenog terena (sokl). Izolacija se spušta na nivo horizontalne hidroizolacije. Ukupna visina izolacije iznosi 440 cm.
Jedan hladni bitumenski temeljni premaz (prema HRN U M3.240 ili jednakovrijedno) i dva sloja hidroizolacijske visoko fleksibilne polimer (elastomer) bitumenske trake, s uloškom od impregnirane staklene tkanine, prema HRN EN 13707:2013 i HRN EN 13969:2005 ili jednakovrijedno, obostrano zaštićene folijom, debljine 4,0 mm, varene 100%, s preklopom 10 cm. Uključivo pažljivo izvedeni spojevi s horizontalnom temeljnom hidroizolacijom.
Na mjestima kuteva, pregiba, prodora i/ili sl. izvesti ojačanje dodatnim slojem iste trake. U slučaju pojave pukotina na temeljnom zidu (prije polaganja hidoizolacije) na njih se uskolinijski</t>
  </si>
  <si>
    <t>punktiraju dva sloja polimer bitumenske trake širine 50 cm, preko kojih se izvodi prethodno opisana hidroizolacija.
Obračun po m2 kompletne izvedbe.</t>
  </si>
  <si>
    <t>4.4.14.a.</t>
  </si>
  <si>
    <t>4.4.14.b.</t>
  </si>
  <si>
    <t>rubno ojačanje dodatnom vertikalnom hidroizolac. trakom razvijene širine 50 cm</t>
  </si>
  <si>
    <t>4.4.15.</t>
  </si>
  <si>
    <t>Izvedba prodora hidroizolacije radi ugradbe instalacija, elemenata konstrukcije i/ili sl., dvokomponentnim elastičnim polimercementnim hidroizolacijskim mortom, u dva sloja ukupne debljine 2,0 mm. Uključivo svi potrebni tipski fazonski elementi, trake, manšete i/ili sl., te brtvljenje spojeva, prodora i/ili sl., sve prema tehnologiji proizvođača odabranog materijala.
Obračun po komadu kompletno izvedene hidroizolacije na mjestu prodora.</t>
  </si>
  <si>
    <t>4.4.15.a.</t>
  </si>
  <si>
    <t>4.4.16.</t>
  </si>
  <si>
    <t>Izvedba dodatne hidroizolacije detalja, elemenata konstrukcije i/ili sl., dvokomponentnim elastičnim polimercementnim hidroizolacijskim mortom, u dva sloja ukupne debljine 2,0 mm. Hidroizolacija čeličnih L profila nosača staklenih stijena, potkonstrukcije i sl., razvijene širine cca 60 cm i brtvljenje spoja staklene stijene s podnom plohom i sl. trajnoelastičnom brtvom.
Uključivo svi potrebni tipski fazonski elementi, trake, manšete i/ili sl., te brtvljenje spojeva, prodora i/ili sl., sve prema tehnologiji proizvođača odabranog materijala.
Obračun po m1 kompletno izvedene hidroizolacije detalja, elemenata konstrukcije i sl. i brtvljenja trajnoelastičnom brtvom.</t>
  </si>
  <si>
    <t>4.4.16.a.</t>
  </si>
  <si>
    <t>4.4.17.</t>
  </si>
  <si>
    <t>Izvedba toplinske izolacije podova na tlu i/ili sl. (ispod armiranobetonske temeljne ploče podruma):
Sloj ekstrudiranog polistirena (XPS), prema HRN EN 13164 ili jednakovrijedno, λ max. 0,03 W/mK (prema HRN EN 12667 ili jednakovrijedno) g=25 kg/m3, ploče s profiliranim rubovima, debljine 10,0 cm.
Stavka uključuje i razdjelni sloj na toplinskoj izolaciji od tipskog geotekstila (400 g/m2), s preklopima širine minimalno 20 cm.
Obračun po m2 kompletne izvedbe.</t>
  </si>
  <si>
    <t>4.4.17.a.</t>
  </si>
  <si>
    <t>4.4.18.</t>
  </si>
  <si>
    <t>Izvedba toplinske izolacije ispod i uokolo raznih detalja ispod staklene fasade, pri ukopanim svjetlarnicima, pri krovnim elementima i/ili sl., slojem mineralne vune (MW), krovne ploče, (prema HRN EN 13162 ili jednakovrijedno) g=50 kg/m3, koje se lijepe na konstruktivne elemente, elemente ispune i/ili sl.
Obračun po m2 kompletne izvedbe.</t>
  </si>
  <si>
    <t>4.4.18.a.</t>
  </si>
  <si>
    <t>ploče debljine 10,0 cm</t>
  </si>
  <si>
    <t>4.4.18.b.</t>
  </si>
  <si>
    <t>ploče debljine 8,0 cm</t>
  </si>
  <si>
    <t>4.4.18.c.</t>
  </si>
  <si>
    <t>ploče debljine 5,0 cm</t>
  </si>
  <si>
    <t>4.4.19.</t>
  </si>
  <si>
    <t>Izvedba toplinske izolacije ispod i uokolo raznih detalja ispod staklene fasade, pri ukopanim svjetlarnicima, pri krovnim elementima i/ili sl., slojem ekstrudiranog polistirena (XPS), prema HRN EN 13164 ili jednakovrijedno, λ max. 0,03 W/mK (prema HRN EN 12667 ili jednakovr.), g=25 kg/m3, tvrde ploče, koje se lijepe na konstruktivne elemente, elemente ispune i/ili sl.
Obračun po m2 kompletne izvedbe.</t>
  </si>
  <si>
    <t>4.4.19.a.</t>
  </si>
  <si>
    <t>ploče debljine 12,0 cm</t>
  </si>
  <si>
    <t>4.4.19.b.</t>
  </si>
  <si>
    <t>4.4.19.c.</t>
  </si>
  <si>
    <t>4.4.19.d.</t>
  </si>
  <si>
    <t>ploče debljine 4,0 cm</t>
  </si>
  <si>
    <t>4.4.20.</t>
  </si>
  <si>
    <t>Toplinska izolacija ukopanih zidova podruma  - XPS</t>
  </si>
  <si>
    <t>Izvedba toplinske izolacije ukopanih zidova, temeljnih nadozida, traka, greda i /ili sl., u tlu, nasipu šljunka, i sl., slojem ekstrudiranog polistirena (XPS), prema HRN EN 13164 ili jednakovrijedno, λ max. 0,03 W/mK (prema HRN EN 12667 ili jednakovr.), g=25 kg/m3, tvrde ploče s profiliranim rubovima, slaganjem uz hidroizolirane plohe (tiplanje nije dozvoljeno), odnosno ugradba unutar oplate i/ili sl.
Obračun po m2 kompletne izvedbe.</t>
  </si>
  <si>
    <t>4.4.20.a.</t>
  </si>
  <si>
    <t>XPS debljine 12,0 cm (ukopani zidovi podruma)</t>
  </si>
  <si>
    <t>4.4.20.b.</t>
  </si>
  <si>
    <t>XPS debljine 8,0 cm (ukopani zidovi podruma)</t>
  </si>
  <si>
    <t>4.4.21.</t>
  </si>
  <si>
    <t>Toplinska izolacija ukopanih zidova podruma - MW</t>
  </si>
  <si>
    <t>Izvedba toplinske izolacije ukopanih zidova, temeljnih nadozida, traka, greda i /ili sl., u tlu, nasipu šljunka, i sl., slojem mineralne vune (MW), prema HRN EN 13164 ili jednakovrijedno, λ max. 0,035 W/mK (prema HRN EN 12667 ili jednakovr.), 115 kg/m3, tvrde ploče s profiliranim rubovima, slaganjem uz hidroizolirane plohe (tiplanje nije dozvoljeno), odnosno ugradba unutar oplate i/ili sl.
Razred reakcije na požar A1 (prema HRN EN 13 501-1 ili jednakovrijedno);
Otpor difuziji vodene pare μ 1 (prema HRN EN 12 086 ili jednakovrijedno).
Obračun po m2 kompletne izvedbe.</t>
  </si>
  <si>
    <t>4.4.21.a.</t>
  </si>
  <si>
    <t>ploče mineralne vune debljine 12 cm</t>
  </si>
  <si>
    <t>4.4.21.b.</t>
  </si>
  <si>
    <t>ploče mineralne vune debljine 8 cm</t>
  </si>
  <si>
    <t>4.4.22.</t>
  </si>
  <si>
    <t>Geotekstil na ukopanim zidovima</t>
  </si>
  <si>
    <t>Dobava, doprema i postavljanje razdjelnog sloja preko hidroizolacije ukopanih zidova, u tlu, nasipu šljunka, i sl., od geotekstila težine 300 g/m2, slaganjem uz hidroizolirane plohe (tiplanje nije dozvoljeno), i/ili sl.
Obračun po m2 kompletne izvedbe.</t>
  </si>
  <si>
    <t>4.4.22.a.</t>
  </si>
  <si>
    <t>4.4.23.</t>
  </si>
  <si>
    <t>Zaštita izolacije ukopanih zidova podruma</t>
  </si>
  <si>
    <t>Izvedba zaštite vertikalne hidroizolacije, toplinske izolacije i/ili sl., u tlu, nasipu šljunka i/ili sl. membranom sa čepovima, izrađenom iz polietilena visoke gustoće (HDPE), deblj. cca 0,1/1,0 cm, s ugrađenom samoljepivom trakom koja se spaja pritiskom.
Obračun po m2 kompletne izvedbe.</t>
  </si>
  <si>
    <t>4.4.23.a.</t>
  </si>
  <si>
    <t>4.4.24.</t>
  </si>
  <si>
    <t>Ispuna, otvora u arm. bet. konstrukciji na mjestima nekadašnjih prodora instalacionih cijevi, dimnjaka, ventilacija i sl. kroz strop, a koji više nisu u funkciji. Ispunjavaju se betonom uz zaglađivanje površine. Rad obuhvaća otucanje rubova, umetanje sidara armature u bočne stranice ab ploče, čišćenje i otprašivanje ruba, ugradbu odgovarajuće oplate, postavu armaturne mreže te zalijevanje sitnozrnim betonom uz poravnanje površine.
Obračun po kom. (zapunjenom otvoru) kompletne izvedbe.</t>
  </si>
  <si>
    <t>4.4.24.a.</t>
  </si>
  <si>
    <t>4.4.28.</t>
  </si>
  <si>
    <t>4.4.28.1.</t>
  </si>
  <si>
    <t xml:space="preserve"> Ispuna dilatacijskih reški konstrukcije</t>
  </si>
  <si>
    <t>Izvedba ispune konstrukcijskih dilatacijskih reški na spoju armiranobetonskih temelja, zidova i/ili sl., slojem ekstrudiranog polistirena (XPS), prema HRN EN 13164 ili jednakovrijedno, λ max. 0,030 W/mK (prema HRN EN 12667 ili jednakovrijedno), g=25 kg/m3, debljine 2,0 cm, 4,0 cm, i sl. slaganjem uz temelje i/ili zidove (tiplanje nije dozvoljeno), odnosno ugradbom unutar oplate i/ili sl.
Obračun po m2 kompletne izvedbe.</t>
  </si>
  <si>
    <t>4.4.28.1.a.</t>
  </si>
  <si>
    <t>XPS 4 cm</t>
  </si>
  <si>
    <t>4.4.28.1.b.</t>
  </si>
  <si>
    <t>XPS 2 cm</t>
  </si>
  <si>
    <t>4.4.28.2.</t>
  </si>
  <si>
    <t>Ispuna dilatacijskih reški prefabricirane i monolitne konstrukcije</t>
  </si>
  <si>
    <t>Izvedba dilatacijskih reški na spoju prefabriciranih i monolitnih armiranobetonskih elemenata, umetanjem razdjelnog sloja od ekspandirane polietilenske folije, kao Isolmat ili jednakovrijedno, debljine 0,5 cm, polaganjem na temelje, zidove, stupove i/ili sl., odnosno ugradbom unutar oplate i/ili sl.
Obračun po m2 kompletne izvedbe.</t>
  </si>
  <si>
    <t>4.4.28.2.a.</t>
  </si>
  <si>
    <t>Ispuna dilatacijskih reški UKUPNO:</t>
  </si>
  <si>
    <t>Vrsta radova:     Izolaterski radovi</t>
  </si>
  <si>
    <t>Ponuditelj:         Izolacija-Koška d.o.o., Josipa Kozarca 8, Koška</t>
  </si>
  <si>
    <t>Napomena: Priprema podloge je dužnost naručitelja radova.</t>
  </si>
  <si>
    <t>*obračun vršiti po stvarno izvedenim količinama (razvijene širine horizontala + vertikala);</t>
  </si>
  <si>
    <t>*plaćanje po dogovoru prilikom ugovaranja;</t>
  </si>
  <si>
    <t>*jamstveni rok je po zakonu o obveznim odnosima (na krovove 10 godina);</t>
  </si>
  <si>
    <t>*rokovi izvođenja prema dogovoru prilikom ugovaranja;</t>
  </si>
  <si>
    <t>*opcija ponude je trideset dana ili do promjene cijena materijala.</t>
  </si>
  <si>
    <t>IZOLACIJA-KOŠKA d.o.o.</t>
  </si>
  <si>
    <t>Sastavio: Dražen Grgljanić, ing.građ.</t>
  </si>
  <si>
    <t xml:space="preserve"> Željko Tomić, član uprave</t>
  </si>
  <si>
    <r>
      <t xml:space="preserve">Polaganje hodne protuklizne trake na krovu objekta u širini 100 cm, od materijala sukladno sistemu hidroizolacije krova s protukliznom površinom. Izvedba do gotove funkcionalnosti. </t>
    </r>
    <r>
      <rPr>
        <sz val="9"/>
        <color rgb="FFFF0000"/>
        <rFont val="Calibri"/>
        <family val="2"/>
        <charset val="238"/>
      </rPr>
      <t>Nudimo:  Hodna membrana,  širina role 0,75 m</t>
    </r>
  </si>
  <si>
    <t>03.06.2025. u Koški,</t>
  </si>
  <si>
    <r>
      <t xml:space="preserve">geotekstil </t>
    </r>
    <r>
      <rPr>
        <sz val="9"/>
        <color rgb="FFFF0000"/>
        <rFont val="Calibri"/>
        <family val="2"/>
        <charset val="238"/>
      </rPr>
      <t>Nudimo: Geotekstil PP 200 gr/m2</t>
    </r>
  </si>
  <si>
    <r>
      <t xml:space="preserve">Ukupna površina ravnog krova građevine, nagiba 5% = 860 m2 </t>
    </r>
    <r>
      <rPr>
        <sz val="9"/>
        <color rgb="FFFF0000"/>
        <rFont val="Calibri"/>
        <family val="2"/>
        <charset val="238"/>
      </rPr>
      <t>NE NUDIMO!</t>
    </r>
  </si>
  <si>
    <r>
      <t xml:space="preserve">Ukupna površina ravnog krova ulazne nadstrešnice, nagiba 2% = 48 m2 </t>
    </r>
    <r>
      <rPr>
        <sz val="9"/>
        <color rgb="FFFF0000"/>
        <rFont val="Calibri"/>
        <family val="2"/>
        <charset val="238"/>
      </rPr>
      <t>NE NUDIMO!</t>
    </r>
  </si>
  <si>
    <r>
      <t>Ukupna površina ravnog krova nadstrešnice dostavne rampe, nagiba 2% = 65 m2</t>
    </r>
    <r>
      <rPr>
        <sz val="9"/>
        <color rgb="FFFF0000"/>
        <rFont val="Calibri"/>
        <family val="2"/>
        <charset val="238"/>
      </rPr>
      <t xml:space="preserve"> NE NUDIMO!</t>
    </r>
  </si>
  <si>
    <r>
      <t xml:space="preserve">Priprema ugradnje </t>
    </r>
    <r>
      <rPr>
        <sz val="9"/>
        <color rgb="FFFF0000"/>
        <rFont val="Calibri"/>
        <family val="2"/>
        <charset val="238"/>
      </rPr>
      <t>NE NUDIMO!</t>
    </r>
  </si>
  <si>
    <r>
      <t xml:space="preserve">Visoko profilirani trapezni lim </t>
    </r>
    <r>
      <rPr>
        <sz val="9"/>
        <color rgb="FFFF0000"/>
        <rFont val="Calibri"/>
        <family val="2"/>
        <charset val="238"/>
      </rPr>
      <t>NE NUDIMO!</t>
    </r>
  </si>
  <si>
    <r>
      <t>Priključni otvori za odvodne cijevi</t>
    </r>
    <r>
      <rPr>
        <sz val="9"/>
        <color rgb="FFFF0000"/>
        <rFont val="Calibri"/>
        <family val="2"/>
        <charset val="238"/>
      </rPr>
      <t xml:space="preserve"> NE NUDIMO!</t>
    </r>
  </si>
  <si>
    <r>
      <t xml:space="preserve">Sigurnosni preljev krova </t>
    </r>
    <r>
      <rPr>
        <sz val="9"/>
        <color rgb="FFFF0000"/>
        <rFont val="Calibri"/>
        <family val="2"/>
        <charset val="238"/>
      </rPr>
      <t xml:space="preserve"> NE NUDIMO!</t>
    </r>
  </si>
  <si>
    <r>
      <t xml:space="preserve">Opšav gornjeg ruba fasadnih panela (atike)  </t>
    </r>
    <r>
      <rPr>
        <sz val="9"/>
        <color rgb="FFFF0000"/>
        <rFont val="Calibri"/>
        <family val="2"/>
        <charset val="238"/>
      </rPr>
      <t>NE NUDIMO!</t>
    </r>
  </si>
  <si>
    <r>
      <t xml:space="preserve">Projektiranje, montaža i puštanje u pogon  </t>
    </r>
    <r>
      <rPr>
        <sz val="9"/>
        <color rgb="FFFF0000"/>
        <rFont val="Calibri"/>
        <family val="2"/>
        <charset val="238"/>
      </rPr>
      <t>NE NUDIMO!</t>
    </r>
  </si>
  <si>
    <r>
      <t xml:space="preserve">Sigurnosna užad  </t>
    </r>
    <r>
      <rPr>
        <sz val="9"/>
        <color rgb="FFFF0000"/>
        <rFont val="Calibri"/>
        <family val="2"/>
        <charset val="238"/>
      </rPr>
      <t>NE NUDIMO!</t>
    </r>
  </si>
  <si>
    <r>
      <t xml:space="preserve">Toplinska izolacija prodora instalacija  </t>
    </r>
    <r>
      <rPr>
        <sz val="9"/>
        <color rgb="FFFF0000"/>
        <rFont val="Calibri"/>
        <family val="2"/>
        <charset val="238"/>
      </rPr>
      <t>NE NUDIMO!</t>
    </r>
  </si>
  <si>
    <r>
      <t xml:space="preserve">Sanacija podložnog betona za pad ravnog krova </t>
    </r>
    <r>
      <rPr>
        <sz val="9"/>
        <color rgb="FFFF0000"/>
        <rFont val="Calibri"/>
        <family val="2"/>
        <charset val="238"/>
      </rPr>
      <t xml:space="preserve"> NE NUDIMO!</t>
    </r>
  </si>
  <si>
    <r>
      <t xml:space="preserve">Vertikale krovne vode na postojećem dijelu građevine </t>
    </r>
    <r>
      <rPr>
        <sz val="9"/>
        <color rgb="FFFF0000"/>
        <rFont val="Calibri"/>
        <family val="2"/>
        <charset val="238"/>
      </rPr>
      <t>NE NUDIMO!</t>
    </r>
  </si>
  <si>
    <r>
      <t xml:space="preserve">Sigurnosni preljev krovne vode na postojećem dijelu građevine  </t>
    </r>
    <r>
      <rPr>
        <sz val="9"/>
        <color rgb="FFFF0000"/>
        <rFont val="Calibri"/>
        <family val="2"/>
        <charset val="238"/>
      </rPr>
      <t>NE NUDIMO!</t>
    </r>
  </si>
  <si>
    <r>
      <t xml:space="preserve">Opšav atike postojećeg dijela građevine </t>
    </r>
    <r>
      <rPr>
        <sz val="9"/>
        <color rgb="FFFF0000"/>
        <rFont val="Calibri"/>
        <family val="2"/>
        <charset val="238"/>
      </rPr>
      <t xml:space="preserve"> NE NUDIMO!</t>
    </r>
  </si>
  <si>
    <r>
      <t xml:space="preserve">Hidroizolacijski premazi u mokrim prostorima:
prostori obrade i sanitarni prostori   </t>
    </r>
    <r>
      <rPr>
        <sz val="9"/>
        <color rgb="FFFF0000"/>
        <rFont val="Calibri"/>
        <family val="2"/>
        <charset val="238"/>
      </rPr>
      <t>NE NUDIMO!</t>
    </r>
  </si>
  <si>
    <r>
      <t xml:space="preserve">Izravnanje postojećih ukopanih zidova reparaturnim mortom  </t>
    </r>
    <r>
      <rPr>
        <sz val="9"/>
        <color rgb="FFFF0000"/>
        <rFont val="Calibri"/>
        <family val="2"/>
        <charset val="238"/>
      </rPr>
      <t>NE NUDIMO!</t>
    </r>
  </si>
  <si>
    <r>
      <t xml:space="preserve">Hidroizolacija ukopanih zidova podruma i podnožja postojećih zidova prizemlja sintetičkim trakama  </t>
    </r>
    <r>
      <rPr>
        <sz val="9"/>
        <color rgb="FFFF0000"/>
        <rFont val="Calibri"/>
        <family val="2"/>
        <charset val="238"/>
      </rPr>
      <t>NE NUDIMO!</t>
    </r>
  </si>
  <si>
    <r>
      <t xml:space="preserve">Obrada prodora hidroizolacije  </t>
    </r>
    <r>
      <rPr>
        <sz val="9"/>
        <color rgb="FFFF0000"/>
        <rFont val="Calibri"/>
        <family val="2"/>
        <charset val="238"/>
      </rPr>
      <t>NE NUDIMO!</t>
    </r>
  </si>
  <si>
    <r>
      <t xml:space="preserve">Hidroizolacija i brtvjenje na detaljima  </t>
    </r>
    <r>
      <rPr>
        <sz val="9"/>
        <color rgb="FFFF0000"/>
        <rFont val="Calibri"/>
        <family val="2"/>
        <charset val="238"/>
      </rPr>
      <t>NE NUDIMO!</t>
    </r>
  </si>
  <si>
    <r>
      <t xml:space="preserve">Toplinska izolacija poda podruma  </t>
    </r>
    <r>
      <rPr>
        <sz val="9"/>
        <color rgb="FFFF0000"/>
        <rFont val="Calibri"/>
        <family val="2"/>
        <charset val="238"/>
      </rPr>
      <t>NE NUDIMO!</t>
    </r>
  </si>
  <si>
    <r>
      <t xml:space="preserve">Toplinska izolacija detalja - MW  </t>
    </r>
    <r>
      <rPr>
        <sz val="9"/>
        <color rgb="FFFF0000"/>
        <rFont val="Calibri"/>
        <family val="2"/>
        <charset val="238"/>
      </rPr>
      <t>NE NUDIMO!</t>
    </r>
  </si>
  <si>
    <r>
      <t xml:space="preserve">Toplinska izolacija detalja - XPS  </t>
    </r>
    <r>
      <rPr>
        <sz val="9"/>
        <color rgb="FFFF0000"/>
        <rFont val="Calibri"/>
        <family val="2"/>
        <charset val="238"/>
      </rPr>
      <t>NE NUDIMO!</t>
    </r>
  </si>
  <si>
    <r>
      <t xml:space="preserve">Ispuna otvora u postojećim zidovima  </t>
    </r>
    <r>
      <rPr>
        <sz val="9"/>
        <color rgb="FFFF0000"/>
        <rFont val="Calibri"/>
        <family val="2"/>
        <charset val="238"/>
      </rPr>
      <t>NE NUDIMO!</t>
    </r>
  </si>
  <si>
    <r>
      <t xml:space="preserve">Ispuna dilatacijskih reški  </t>
    </r>
    <r>
      <rPr>
        <sz val="9"/>
        <color rgb="FFFF0000"/>
        <rFont val="Calibri"/>
        <family val="2"/>
        <charset val="238"/>
      </rPr>
      <t>NE NUDIMO!</t>
    </r>
  </si>
  <si>
    <t>Predmet:           Troškovnik ponude br. 475/2025</t>
  </si>
  <si>
    <t>Objekt:               EUROSPIN SAVSKA OPATOVINA ZAGREB</t>
  </si>
  <si>
    <t>Naručitelj:          Tribe Inženjering d.o.o., Radnička cesta 177, 5 kat, Zagreb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</si>
</sst>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k_n_-;\-* #,##0.00\ _k_n_-;_-* &quot;-&quot;??\ _k_n_-;_-@_-"/>
    <numFmt numFmtId="165" formatCode="#,##0.00\ [$€-1]"/>
    <numFmt numFmtId="166" formatCode="_-* #,##0.00\ _k_n_-;\-* #,##0.00\ _k_n_-;_-* \-??\ _k_n_-;_-@_-"/>
  </numFmts>
  <fonts count="18" x14ac:knownFonts="1">
    <font>
      <sz val="11"/>
      <color rgb="FF000000"/>
      <name val="Calibri"/>
      <family val="2"/>
    </font>
    <font>
      <b/>
      <sz val="14"/>
      <color theme="0"/>
      <name val="Calibri"/>
      <family val="2"/>
      <charset val="238"/>
    </font>
    <font>
      <sz val="9"/>
      <color rgb="FF000000"/>
      <name val="Calibri"/>
      <family val="2"/>
    </font>
    <font>
      <b/>
      <sz val="14"/>
      <color rgb="FF000000"/>
      <name val="Calibri"/>
      <family val="2"/>
    </font>
    <font>
      <b/>
      <sz val="11"/>
      <color rgb="FF000000"/>
      <name val="Calibri"/>
      <family val="2"/>
    </font>
    <font>
      <b/>
      <sz val="9"/>
      <color rgb="FF000000"/>
      <name val="Calibri"/>
      <family val="2"/>
    </font>
    <font>
      <sz val="9"/>
      <color rgb="FFFF0000"/>
      <name val="Calibri"/>
      <family val="2"/>
    </font>
    <font>
      <sz val="10"/>
      <name val="Arial"/>
      <family val="2"/>
      <charset val="238"/>
    </font>
    <font>
      <b/>
      <sz val="10"/>
      <name val="Arial"/>
      <family val="2"/>
      <charset val="238"/>
    </font>
    <font>
      <b/>
      <sz val="10"/>
      <color rgb="FF000000"/>
      <name val="Arial"/>
      <family val="2"/>
      <charset val="238"/>
    </font>
    <font>
      <sz val="10"/>
      <name val="Arial"/>
      <family val="2"/>
    </font>
    <font>
      <sz val="10"/>
      <color rgb="FF000000"/>
      <name val="Tahoma"/>
      <family val="2"/>
      <charset val="238"/>
    </font>
    <font>
      <b/>
      <sz val="10"/>
      <color indexed="8"/>
      <name val="Calibri"/>
      <family val="2"/>
      <charset val="204"/>
    </font>
    <font>
      <sz val="8"/>
      <name val="Arial"/>
      <family val="2"/>
    </font>
    <font>
      <b/>
      <sz val="10"/>
      <color indexed="8"/>
      <name val="Arial"/>
      <family val="2"/>
      <charset val="238"/>
    </font>
    <font>
      <strike/>
      <sz val="9"/>
      <color rgb="FF000000"/>
      <name val="Calibri"/>
      <family val="2"/>
    </font>
    <font>
      <sz val="9"/>
      <color rgb="FFFF0000"/>
      <name val="Calibri"/>
      <family val="2"/>
      <charset val="238"/>
    </font>
    <font>
      <strike/>
      <sz val="9"/>
      <color rgb="FFFF0000"/>
      <name val="Calibri"/>
      <family val="2"/>
    </font>
  </fonts>
  <fills count="8">
    <fill>
      <patternFill patternType="none"/>
    </fill>
    <fill>
      <patternFill patternType="gray125"/>
    </fill>
    <fill>
      <patternFill patternType="solid">
        <fgColor rgb="FFB4B4B4"/>
      </patternFill>
    </fill>
    <fill>
      <patternFill patternType="solid">
        <fgColor rgb="FFD3D3D3"/>
      </patternFill>
    </fill>
    <fill>
      <patternFill patternType="solid">
        <fgColor rgb="FFC8C8C8"/>
      </patternFill>
    </fill>
    <fill>
      <patternFill patternType="solid">
        <fgColor rgb="FFDCDCDC"/>
      </patternFill>
    </fill>
    <fill>
      <patternFill patternType="solid">
        <fgColor theme="0" tint="-0.249977111117893"/>
        <bgColor indexed="64"/>
      </patternFill>
    </fill>
    <fill>
      <patternFill patternType="solid">
        <fgColor rgb="FFBFBFBF"/>
        <bgColor rgb="FFBFBFBF"/>
      </patternFill>
    </fill>
  </fills>
  <borders count="6">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applyBorder="0"/>
    <xf numFmtId="0" fontId="7" fillId="0" borderId="0"/>
    <xf numFmtId="0" fontId="7" fillId="0" borderId="0"/>
    <xf numFmtId="0" fontId="10" fillId="0" borderId="0"/>
    <xf numFmtId="0" fontId="7" fillId="0" borderId="0"/>
    <xf numFmtId="164" fontId="7" fillId="0" borderId="0" applyFont="0" applyFill="0" applyBorder="0" applyAlignment="0" applyProtection="0"/>
  </cellStyleXfs>
  <cellXfs count="61">
    <xf numFmtId="0" fontId="0" fillId="0" borderId="0" xfId="0"/>
    <xf numFmtId="0" fontId="2" fillId="0" borderId="0" xfId="0" applyFont="1"/>
    <xf numFmtId="0" fontId="0" fillId="0" borderId="0" xfId="0" applyAlignment="1">
      <alignment vertical="top"/>
    </xf>
    <xf numFmtId="0" fontId="3" fillId="0" borderId="0" xfId="0" applyFont="1" applyAlignment="1">
      <alignment wrapText="1"/>
    </xf>
    <xf numFmtId="0" fontId="4" fillId="0" borderId="0" xfId="0" applyFont="1" applyAlignment="1">
      <alignment wrapText="1"/>
    </xf>
    <xf numFmtId="0" fontId="5" fillId="2" borderId="0" xfId="0" applyFont="1" applyFill="1"/>
    <xf numFmtId="0" fontId="5" fillId="2" borderId="0" xfId="0" applyFont="1" applyFill="1" applyAlignment="1">
      <alignment wrapText="1"/>
    </xf>
    <xf numFmtId="0" fontId="5" fillId="2" borderId="0" xfId="0" applyFont="1" applyFill="1" applyAlignment="1">
      <alignment horizontal="center"/>
    </xf>
    <xf numFmtId="0" fontId="2" fillId="0" borderId="0" xfId="0" applyFont="1" applyAlignment="1">
      <alignment horizontal="justify" vertical="top" wrapText="1"/>
    </xf>
    <xf numFmtId="0" fontId="2" fillId="0" borderId="0" xfId="0" applyFont="1" applyAlignment="1">
      <alignment horizontal="center"/>
    </xf>
    <xf numFmtId="0" fontId="5" fillId="3" borderId="0" xfId="0" applyFont="1" applyFill="1" applyAlignment="1">
      <alignment horizontal="center" vertical="center" wrapText="1"/>
    </xf>
    <xf numFmtId="0" fontId="5" fillId="4" borderId="0" xfId="0" applyFont="1" applyFill="1"/>
    <xf numFmtId="0" fontId="5" fillId="4" borderId="0" xfId="0" applyFont="1" applyFill="1" applyAlignment="1">
      <alignment wrapText="1"/>
    </xf>
    <xf numFmtId="0" fontId="5" fillId="4" borderId="0" xfId="0" applyFont="1" applyFill="1" applyAlignment="1">
      <alignment horizontal="center"/>
    </xf>
    <xf numFmtId="0" fontId="5" fillId="5" borderId="0" xfId="0" applyFont="1" applyFill="1"/>
    <xf numFmtId="0" fontId="2" fillId="0" borderId="0" xfId="0" applyFont="1" applyAlignment="1">
      <alignment vertical="top"/>
    </xf>
    <xf numFmtId="0" fontId="5" fillId="0" borderId="0" xfId="0" applyFont="1" applyAlignment="1">
      <alignment wrapText="1"/>
    </xf>
    <xf numFmtId="0" fontId="2" fillId="0" borderId="0" xfId="0" applyFont="1" applyAlignment="1">
      <alignment horizontal="justify" wrapText="1"/>
    </xf>
    <xf numFmtId="4" fontId="2" fillId="0" borderId="0" xfId="0" applyNumberFormat="1" applyFont="1"/>
    <xf numFmtId="165" fontId="2" fillId="0" borderId="0" xfId="0" applyNumberFormat="1" applyFont="1" applyProtection="1">
      <protection locked="0"/>
    </xf>
    <xf numFmtId="165" fontId="2" fillId="0" borderId="0" xfId="0" applyNumberFormat="1" applyFont="1"/>
    <xf numFmtId="0" fontId="2" fillId="0" borderId="0" xfId="0" applyFont="1" applyAlignment="1">
      <alignment wrapText="1"/>
    </xf>
    <xf numFmtId="0" fontId="2" fillId="0" borderId="0" xfId="0" applyFont="1" applyAlignment="1">
      <alignment horizontal="right"/>
    </xf>
    <xf numFmtId="0" fontId="6" fillId="0" borderId="0" xfId="0" applyFont="1" applyAlignment="1">
      <alignment horizontal="center" vertical="center"/>
    </xf>
    <xf numFmtId="165" fontId="5" fillId="5" borderId="0" xfId="0" applyNumberFormat="1" applyFont="1" applyFill="1"/>
    <xf numFmtId="165" fontId="5" fillId="4" borderId="0" xfId="0" applyNumberFormat="1" applyFont="1" applyFill="1"/>
    <xf numFmtId="165" fontId="5" fillId="2" borderId="0" xfId="0" applyNumberFormat="1" applyFont="1" applyFill="1"/>
    <xf numFmtId="0" fontId="8" fillId="6" borderId="0" xfId="1" applyFont="1" applyFill="1"/>
    <xf numFmtId="4" fontId="9" fillId="0" borderId="0" xfId="2" applyNumberFormat="1" applyFont="1" applyAlignment="1">
      <alignment vertical="top"/>
    </xf>
    <xf numFmtId="166" fontId="9" fillId="0" borderId="0" xfId="2" applyNumberFormat="1" applyFont="1" applyAlignment="1">
      <alignment vertical="top"/>
    </xf>
    <xf numFmtId="4" fontId="0" fillId="0" borderId="0" xfId="0" applyNumberFormat="1" applyAlignment="1">
      <alignment horizontal="right"/>
    </xf>
    <xf numFmtId="0" fontId="11" fillId="7" borderId="1" xfId="3" applyFont="1" applyFill="1" applyBorder="1" applyAlignment="1">
      <alignment horizontal="left"/>
    </xf>
    <xf numFmtId="0" fontId="11" fillId="7" borderId="2" xfId="3" applyFont="1" applyFill="1" applyBorder="1"/>
    <xf numFmtId="0" fontId="11" fillId="7" borderId="2" xfId="3" applyFont="1" applyFill="1" applyBorder="1" applyAlignment="1">
      <alignment horizontal="center"/>
    </xf>
    <xf numFmtId="0" fontId="11" fillId="7" borderId="3" xfId="3" applyFont="1" applyFill="1" applyBorder="1" applyAlignment="1">
      <alignment horizontal="left"/>
    </xf>
    <xf numFmtId="0" fontId="11" fillId="7" borderId="0" xfId="3" applyFont="1" applyFill="1" applyAlignment="1">
      <alignment horizontal="left"/>
    </xf>
    <xf numFmtId="0" fontId="11" fillId="7" borderId="4" xfId="3" applyFont="1" applyFill="1" applyBorder="1" applyAlignment="1">
      <alignment horizontal="left"/>
    </xf>
    <xf numFmtId="0" fontId="11" fillId="7" borderId="5" xfId="3" applyFont="1" applyFill="1" applyBorder="1" applyAlignment="1">
      <alignment horizontal="left"/>
    </xf>
    <xf numFmtId="0" fontId="12" fillId="0" borderId="0" xfId="3" applyFont="1"/>
    <xf numFmtId="0" fontId="7" fillId="0" borderId="0" xfId="4"/>
    <xf numFmtId="4" fontId="13" fillId="0" borderId="0" xfId="3" applyNumberFormat="1" applyFont="1" applyAlignment="1">
      <alignment wrapText="1"/>
    </xf>
    <xf numFmtId="0" fontId="8" fillId="0" borderId="0" xfId="3" applyFont="1"/>
    <xf numFmtId="0" fontId="14" fillId="0" borderId="0" xfId="3" applyFont="1"/>
    <xf numFmtId="164" fontId="8" fillId="0" borderId="0" xfId="5" applyFont="1" applyAlignment="1">
      <alignment horizontal="center"/>
    </xf>
    <xf numFmtId="0" fontId="8" fillId="0" borderId="0" xfId="3" applyFont="1" applyAlignment="1">
      <alignment horizontal="left" vertical="top"/>
    </xf>
    <xf numFmtId="0" fontId="8" fillId="0" borderId="0" xfId="3" applyFont="1" applyAlignment="1">
      <alignment horizontal="right"/>
    </xf>
    <xf numFmtId="0" fontId="15" fillId="0" borderId="0" xfId="0" applyFont="1" applyAlignment="1">
      <alignment horizontal="center"/>
    </xf>
    <xf numFmtId="4" fontId="15" fillId="0" borderId="0" xfId="0" applyNumberFormat="1" applyFont="1"/>
    <xf numFmtId="0" fontId="15" fillId="0" borderId="0" xfId="0" applyFont="1"/>
    <xf numFmtId="0" fontId="17" fillId="0" borderId="0" xfId="0" applyFont="1" applyAlignment="1">
      <alignment horizontal="center"/>
    </xf>
    <xf numFmtId="0" fontId="1" fillId="0" borderId="0" xfId="0" applyFont="1"/>
    <xf numFmtId="0" fontId="2" fillId="0" borderId="0" xfId="0" applyFont="1"/>
    <xf numFmtId="0" fontId="5" fillId="4" borderId="0" xfId="0" applyFont="1" applyFill="1" applyAlignment="1">
      <alignment wrapText="1"/>
    </xf>
    <xf numFmtId="0" fontId="5" fillId="4" borderId="0" xfId="0" applyFont="1" applyFill="1" applyAlignment="1">
      <alignment horizontal="center"/>
    </xf>
    <xf numFmtId="0" fontId="5" fillId="4" borderId="0" xfId="0" applyFont="1" applyFill="1"/>
    <xf numFmtId="0" fontId="5" fillId="2" borderId="0" xfId="0" applyFont="1" applyFill="1" applyAlignment="1">
      <alignment wrapText="1"/>
    </xf>
    <xf numFmtId="0" fontId="5" fillId="2" borderId="0" xfId="0" applyFont="1" applyFill="1" applyAlignment="1">
      <alignment horizontal="center"/>
    </xf>
    <xf numFmtId="0" fontId="5" fillId="2" borderId="0" xfId="0" applyFont="1" applyFill="1"/>
    <xf numFmtId="0" fontId="5" fillId="5" borderId="0" xfId="0" applyFont="1" applyFill="1" applyAlignment="1">
      <alignment wrapText="1"/>
    </xf>
    <xf numFmtId="0" fontId="5" fillId="5" borderId="0" xfId="0" applyFont="1" applyFill="1" applyAlignment="1">
      <alignment horizontal="center"/>
    </xf>
    <xf numFmtId="0" fontId="5" fillId="5" borderId="0" xfId="0" applyFont="1" applyFill="1"/>
  </cellXfs>
  <cellStyles count="6">
    <cellStyle name="Normal 10" xfId="2" xr:uid="{00000000-0005-0000-0000-000000000000}"/>
    <cellStyle name="Normal 2 10 2" xfId="4" xr:uid="{00000000-0005-0000-0000-000001000000}"/>
    <cellStyle name="Normalno" xfId="0" builtinId="0"/>
    <cellStyle name="Normalno 2 4" xfId="3" xr:uid="{00000000-0005-0000-0000-000003000000}"/>
    <cellStyle name="Obično 3 2" xfId="1" xr:uid="{00000000-0005-0000-0000-000004000000}"/>
    <cellStyle name="Zarez 2 2 11"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0</xdr:colOff>
      <xdr:row>283</xdr:row>
      <xdr:rowOff>0</xdr:rowOff>
    </xdr:from>
    <xdr:ext cx="184731" cy="264560"/>
    <xdr:sp macro="" textlink="">
      <xdr:nvSpPr>
        <xdr:cNvPr id="2" name="TextBox 53">
          <a:extLst>
            <a:ext uri="{FF2B5EF4-FFF2-40B4-BE49-F238E27FC236}">
              <a16:creationId xmlns:a16="http://schemas.microsoft.com/office/drawing/2014/main" id="{1858EE81-40B6-4D47-A7B2-72A5B8ECB5F3}"/>
            </a:ext>
          </a:extLst>
        </xdr:cNvPr>
        <xdr:cNvSpPr txBox="1"/>
      </xdr:nvSpPr>
      <xdr:spPr>
        <a:xfrm>
          <a:off x="0" y="53781960"/>
          <a:ext cx="184731" cy="264560"/>
        </a:xfrm>
        <a:prstGeom prst="rect">
          <a:avLst/>
        </a:prstGeom>
        <a:noFill/>
        <a:ln/>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1</xdr:col>
      <xdr:colOff>236220</xdr:colOff>
      <xdr:row>285</xdr:row>
      <xdr:rowOff>0</xdr:rowOff>
    </xdr:from>
    <xdr:ext cx="184731" cy="264560"/>
    <xdr:sp macro="" textlink="">
      <xdr:nvSpPr>
        <xdr:cNvPr id="3" name="TextBox 53">
          <a:extLst>
            <a:ext uri="{FF2B5EF4-FFF2-40B4-BE49-F238E27FC236}">
              <a16:creationId xmlns:a16="http://schemas.microsoft.com/office/drawing/2014/main" id="{1F1F930F-F75B-4975-8BFA-8A945987BF8E}"/>
            </a:ext>
          </a:extLst>
        </xdr:cNvPr>
        <xdr:cNvSpPr txBox="1"/>
      </xdr:nvSpPr>
      <xdr:spPr>
        <a:xfrm>
          <a:off x="982980" y="54147720"/>
          <a:ext cx="184731" cy="264560"/>
        </a:xfrm>
        <a:prstGeom prst="rect">
          <a:avLst/>
        </a:prstGeom>
        <a:noFill/>
        <a:ln/>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6"/>
  <sheetViews>
    <sheetView showZeros="0" view="pageBreakPreview" zoomScaleNormal="100" zoomScaleSheetLayoutView="100" workbookViewId="0">
      <selection activeCell="B16" sqref="B16"/>
    </sheetView>
  </sheetViews>
  <sheetFormatPr defaultColWidth="9.109375" defaultRowHeight="12" x14ac:dyDescent="0.25"/>
  <cols>
    <col min="1" max="1" width="35.6640625" style="1" customWidth="1"/>
    <col min="2" max="2" width="53.6640625" style="1" customWidth="1"/>
    <col min="3" max="3" width="9.109375" style="1" customWidth="1"/>
    <col min="4" max="16384" width="9.109375" style="1"/>
  </cols>
  <sheetData>
    <row r="2" spans="1:2" ht="18" x14ac:dyDescent="0.35">
      <c r="A2" s="50" t="s">
        <v>0</v>
      </c>
      <c r="B2" s="51"/>
    </row>
    <row r="4" spans="1:2" ht="18" x14ac:dyDescent="0.35">
      <c r="A4" s="2" t="s">
        <v>1</v>
      </c>
      <c r="B4" s="3" t="s">
        <v>2</v>
      </c>
    </row>
    <row r="5" spans="1:2" ht="54" x14ac:dyDescent="0.35">
      <c r="A5" s="2" t="s">
        <v>3</v>
      </c>
      <c r="B5" s="3" t="s">
        <v>4</v>
      </c>
    </row>
    <row r="6" spans="1:2" ht="14.4" x14ac:dyDescent="0.3">
      <c r="A6" s="2" t="s">
        <v>5</v>
      </c>
      <c r="B6" s="4" t="s">
        <v>6</v>
      </c>
    </row>
    <row r="7" spans="1:2" ht="28.8" x14ac:dyDescent="0.3">
      <c r="A7" s="2" t="s">
        <v>7</v>
      </c>
      <c r="B7" s="4" t="s">
        <v>8</v>
      </c>
    </row>
    <row r="8" spans="1:2" ht="72" x14ac:dyDescent="0.35">
      <c r="A8" s="2" t="s">
        <v>9</v>
      </c>
      <c r="B8" s="3" t="s">
        <v>10</v>
      </c>
    </row>
    <row r="9" spans="1:2" ht="43.2" x14ac:dyDescent="0.3">
      <c r="A9" s="2" t="s">
        <v>11</v>
      </c>
      <c r="B9" s="4" t="s">
        <v>12</v>
      </c>
    </row>
    <row r="10" spans="1:2" ht="57.6" x14ac:dyDescent="0.3">
      <c r="A10" s="2" t="s">
        <v>13</v>
      </c>
      <c r="B10" s="4" t="s">
        <v>14</v>
      </c>
    </row>
    <row r="11" spans="1:2" ht="57.6" x14ac:dyDescent="0.3">
      <c r="A11" s="2" t="s">
        <v>15</v>
      </c>
      <c r="B11" s="4" t="s">
        <v>16</v>
      </c>
    </row>
    <row r="12" spans="1:2" ht="28.8" x14ac:dyDescent="0.3">
      <c r="A12" s="2" t="s">
        <v>17</v>
      </c>
      <c r="B12" s="4" t="s">
        <v>18</v>
      </c>
    </row>
    <row r="13" spans="1:2" ht="57.6" x14ac:dyDescent="0.3">
      <c r="A13" s="2" t="s">
        <v>19</v>
      </c>
      <c r="B13" s="4" t="s">
        <v>20</v>
      </c>
    </row>
    <row r="14" spans="1:2" ht="57.6" x14ac:dyDescent="0.3">
      <c r="A14" s="2" t="s">
        <v>21</v>
      </c>
      <c r="B14" s="4" t="s">
        <v>22</v>
      </c>
    </row>
    <row r="15" spans="1:2" ht="57.6" x14ac:dyDescent="0.3">
      <c r="A15" s="2" t="s">
        <v>23</v>
      </c>
      <c r="B15" s="4" t="s">
        <v>24</v>
      </c>
    </row>
    <row r="16" spans="1:2" ht="14.4" x14ac:dyDescent="0.3">
      <c r="A16" t="s">
        <v>25</v>
      </c>
      <c r="B16" s="4" t="s">
        <v>26</v>
      </c>
    </row>
  </sheetData>
  <mergeCells count="1">
    <mergeCell ref="A2:B2"/>
  </mergeCells>
  <pageMargins left="0.6" right="0.6" top="0.75" bottom="0.75" header="0.3" footer="0.3"/>
  <pageSetup paperSize="9" orientation="portrait" r:id="rId1"/>
  <headerFoot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3"/>
  <sheetViews>
    <sheetView showZeros="0" tabSelected="1" view="pageBreakPreview" zoomScale="75" zoomScaleNormal="100" zoomScaleSheetLayoutView="75" workbookViewId="0"/>
  </sheetViews>
  <sheetFormatPr defaultColWidth="9.109375" defaultRowHeight="12" x14ac:dyDescent="0.25"/>
  <cols>
    <col min="1" max="1" width="9.6640625" style="1" customWidth="1"/>
    <col min="2" max="2" width="37.6640625" style="21" customWidth="1"/>
    <col min="3" max="3" width="7.6640625" style="9" customWidth="1"/>
    <col min="4" max="5" width="10.6640625" style="1" customWidth="1"/>
    <col min="6" max="6" width="12.6640625" style="1" customWidth="1"/>
    <col min="7" max="16384" width="9.109375" style="1"/>
  </cols>
  <sheetData>
    <row r="1" spans="1:6" ht="13.2" x14ac:dyDescent="0.25">
      <c r="A1" s="27" t="s">
        <v>335</v>
      </c>
      <c r="B1" s="27"/>
      <c r="C1" s="27"/>
      <c r="D1" s="27"/>
      <c r="E1" s="27"/>
      <c r="F1" s="27"/>
    </row>
    <row r="2" spans="1:6" ht="13.2" x14ac:dyDescent="0.25">
      <c r="A2" s="27" t="s">
        <v>297</v>
      </c>
      <c r="B2" s="27"/>
      <c r="C2" s="27"/>
      <c r="D2" s="27"/>
      <c r="E2" s="27"/>
      <c r="F2" s="27"/>
    </row>
    <row r="3" spans="1:6" ht="13.2" x14ac:dyDescent="0.25">
      <c r="A3" s="27" t="s">
        <v>337</v>
      </c>
      <c r="B3" s="27"/>
      <c r="C3" s="27"/>
      <c r="D3" s="27"/>
      <c r="E3" s="27"/>
      <c r="F3" s="27"/>
    </row>
    <row r="4" spans="1:6" ht="13.2" x14ac:dyDescent="0.25">
      <c r="A4" s="27" t="s">
        <v>336</v>
      </c>
      <c r="B4" s="27"/>
      <c r="C4" s="27"/>
      <c r="D4" s="27"/>
      <c r="E4" s="27"/>
      <c r="F4" s="27"/>
    </row>
    <row r="5" spans="1:6" ht="13.2" x14ac:dyDescent="0.25">
      <c r="A5" s="27" t="s">
        <v>296</v>
      </c>
      <c r="B5" s="27"/>
      <c r="C5" s="27"/>
      <c r="D5" s="27"/>
      <c r="E5" s="27"/>
      <c r="F5" s="27"/>
    </row>
    <row r="8" spans="1:6" x14ac:dyDescent="0.25">
      <c r="A8" s="5" t="s">
        <v>27</v>
      </c>
      <c r="B8" s="55" t="s">
        <v>28</v>
      </c>
      <c r="C8" s="56"/>
      <c r="D8" s="57"/>
      <c r="E8" s="57"/>
      <c r="F8" s="57"/>
    </row>
    <row r="10" spans="1:6" x14ac:dyDescent="0.25">
      <c r="A10" s="5"/>
      <c r="B10" s="6" t="s">
        <v>29</v>
      </c>
      <c r="C10" s="7"/>
      <c r="D10" s="5"/>
      <c r="E10" s="5"/>
      <c r="F10" s="5"/>
    </row>
    <row r="12" spans="1:6" ht="240" x14ac:dyDescent="0.25">
      <c r="B12" s="8" t="s">
        <v>30</v>
      </c>
    </row>
    <row r="13" spans="1:6" ht="228" x14ac:dyDescent="0.25">
      <c r="B13" s="8" t="s">
        <v>31</v>
      </c>
    </row>
    <row r="14" spans="1:6" ht="240" x14ac:dyDescent="0.25">
      <c r="B14" s="8" t="s">
        <v>32</v>
      </c>
    </row>
    <row r="15" spans="1:6" ht="228" x14ac:dyDescent="0.25">
      <c r="B15" s="8" t="s">
        <v>33</v>
      </c>
    </row>
    <row r="16" spans="1:6" ht="228" x14ac:dyDescent="0.25">
      <c r="B16" s="8" t="s">
        <v>34</v>
      </c>
    </row>
    <row r="17" spans="1:6" ht="240" x14ac:dyDescent="0.25">
      <c r="B17" s="8" t="s">
        <v>35</v>
      </c>
    </row>
    <row r="18" spans="1:6" ht="228" x14ac:dyDescent="0.25">
      <c r="B18" s="8" t="s">
        <v>36</v>
      </c>
    </row>
    <row r="19" spans="1:6" ht="240" x14ac:dyDescent="0.25">
      <c r="B19" s="8" t="s">
        <v>37</v>
      </c>
    </row>
    <row r="20" spans="1:6" ht="204" x14ac:dyDescent="0.25">
      <c r="B20" s="8" t="s">
        <v>38</v>
      </c>
    </row>
    <row r="22" spans="1:6" ht="30" customHeight="1" x14ac:dyDescent="0.25">
      <c r="A22" s="10" t="s">
        <v>39</v>
      </c>
      <c r="B22" s="10" t="s">
        <v>40</v>
      </c>
      <c r="C22" s="10" t="s">
        <v>41</v>
      </c>
      <c r="D22" s="10" t="s">
        <v>42</v>
      </c>
      <c r="E22" s="10" t="s">
        <v>43</v>
      </c>
      <c r="F22" s="10" t="s">
        <v>44</v>
      </c>
    </row>
    <row r="24" spans="1:6" x14ac:dyDescent="0.25">
      <c r="A24" s="11" t="s">
        <v>45</v>
      </c>
      <c r="B24" s="52" t="s">
        <v>46</v>
      </c>
      <c r="C24" s="53"/>
      <c r="D24" s="54"/>
      <c r="E24" s="54"/>
      <c r="F24" s="54"/>
    </row>
    <row r="26" spans="1:6" x14ac:dyDescent="0.25">
      <c r="A26" s="11"/>
      <c r="B26" s="12" t="s">
        <v>29</v>
      </c>
      <c r="C26" s="13"/>
      <c r="D26" s="11"/>
      <c r="E26" s="11"/>
      <c r="F26" s="11"/>
    </row>
    <row r="28" spans="1:6" ht="72" x14ac:dyDescent="0.25">
      <c r="B28" s="8" t="s">
        <v>47</v>
      </c>
    </row>
    <row r="30" spans="1:6" x14ac:dyDescent="0.25">
      <c r="A30" s="14" t="s">
        <v>48</v>
      </c>
      <c r="B30" s="58" t="s">
        <v>49</v>
      </c>
      <c r="C30" s="59"/>
      <c r="D30" s="60"/>
      <c r="E30" s="60"/>
      <c r="F30" s="60"/>
    </row>
    <row r="32" spans="1:6" x14ac:dyDescent="0.25">
      <c r="A32" s="15" t="s">
        <v>50</v>
      </c>
      <c r="B32" s="16" t="s">
        <v>313</v>
      </c>
    </row>
    <row r="33" spans="1:6" ht="108" x14ac:dyDescent="0.25">
      <c r="B33" s="8" t="s">
        <v>51</v>
      </c>
    </row>
    <row r="34" spans="1:6" x14ac:dyDescent="0.25">
      <c r="A34" s="1" t="s">
        <v>52</v>
      </c>
      <c r="B34" s="17" t="s">
        <v>53</v>
      </c>
      <c r="C34" s="46" t="s">
        <v>54</v>
      </c>
      <c r="D34" s="47">
        <v>1</v>
      </c>
      <c r="E34" s="19"/>
      <c r="F34" s="20">
        <f>ROUND(D34*E34,2)</f>
        <v>0</v>
      </c>
    </row>
    <row r="35" spans="1:6" x14ac:dyDescent="0.25">
      <c r="C35" s="46"/>
      <c r="D35" s="48"/>
    </row>
    <row r="36" spans="1:6" x14ac:dyDescent="0.25">
      <c r="A36" s="15" t="s">
        <v>55</v>
      </c>
      <c r="B36" s="16" t="s">
        <v>314</v>
      </c>
      <c r="C36" s="46"/>
      <c r="D36" s="48"/>
    </row>
    <row r="37" spans="1:6" ht="216" x14ac:dyDescent="0.25">
      <c r="B37" s="8" t="s">
        <v>56</v>
      </c>
      <c r="C37" s="46"/>
      <c r="D37" s="48"/>
    </row>
    <row r="38" spans="1:6" ht="168" x14ac:dyDescent="0.25">
      <c r="B38" s="8" t="s">
        <v>57</v>
      </c>
      <c r="C38" s="46"/>
      <c r="D38" s="48"/>
    </row>
    <row r="39" spans="1:6" x14ac:dyDescent="0.25">
      <c r="A39" s="1" t="s">
        <v>58</v>
      </c>
      <c r="B39" s="17" t="s">
        <v>53</v>
      </c>
      <c r="C39" s="46" t="s">
        <v>59</v>
      </c>
      <c r="D39" s="47">
        <v>870.35</v>
      </c>
      <c r="E39" s="19"/>
      <c r="F39" s="20">
        <f>ROUND(D39*E39,2)</f>
        <v>0</v>
      </c>
    </row>
    <row r="41" spans="1:6" x14ac:dyDescent="0.25">
      <c r="A41" s="15" t="s">
        <v>60</v>
      </c>
      <c r="B41" s="16" t="s">
        <v>61</v>
      </c>
    </row>
    <row r="42" spans="1:6" ht="204" x14ac:dyDescent="0.25">
      <c r="B42" s="8" t="s">
        <v>62</v>
      </c>
    </row>
    <row r="43" spans="1:6" x14ac:dyDescent="0.25">
      <c r="A43" s="1" t="s">
        <v>63</v>
      </c>
      <c r="B43" s="17" t="s">
        <v>53</v>
      </c>
      <c r="C43" s="9" t="s">
        <v>59</v>
      </c>
      <c r="D43" s="18">
        <v>922.7</v>
      </c>
      <c r="E43" s="19">
        <v>11.5</v>
      </c>
      <c r="F43" s="20">
        <f>ROUND(D43*E43,2)</f>
        <v>10611.05</v>
      </c>
    </row>
    <row r="45" spans="1:6" x14ac:dyDescent="0.25">
      <c r="A45" s="15" t="s">
        <v>64</v>
      </c>
      <c r="B45" s="16" t="s">
        <v>65</v>
      </c>
    </row>
    <row r="46" spans="1:6" ht="216" x14ac:dyDescent="0.25">
      <c r="B46" s="8" t="s">
        <v>66</v>
      </c>
    </row>
    <row r="47" spans="1:6" ht="60" x14ac:dyDescent="0.25">
      <c r="B47" s="8" t="s">
        <v>67</v>
      </c>
    </row>
    <row r="48" spans="1:6" x14ac:dyDescent="0.25">
      <c r="A48" s="1" t="s">
        <v>68</v>
      </c>
      <c r="B48" s="17" t="s">
        <v>53</v>
      </c>
      <c r="C48" s="9" t="s">
        <v>59</v>
      </c>
      <c r="D48" s="18">
        <v>870.35</v>
      </c>
      <c r="E48" s="19">
        <v>27.9</v>
      </c>
      <c r="F48" s="20">
        <f>ROUND(D48*E48,2)</f>
        <v>24282.77</v>
      </c>
    </row>
    <row r="50" spans="1:6" x14ac:dyDescent="0.25">
      <c r="A50" s="15" t="s">
        <v>69</v>
      </c>
      <c r="B50" s="16" t="s">
        <v>70</v>
      </c>
    </row>
    <row r="51" spans="1:6" ht="228" x14ac:dyDescent="0.25">
      <c r="B51" s="8" t="s">
        <v>71</v>
      </c>
    </row>
    <row r="52" spans="1:6" ht="36" x14ac:dyDescent="0.25">
      <c r="B52" s="8" t="s">
        <v>72</v>
      </c>
    </row>
    <row r="53" spans="1:6" ht="24" x14ac:dyDescent="0.25">
      <c r="A53" s="1" t="s">
        <v>73</v>
      </c>
      <c r="B53" s="17" t="s">
        <v>310</v>
      </c>
      <c r="C53" s="49" t="s">
        <v>54</v>
      </c>
      <c r="D53" s="47">
        <v>1</v>
      </c>
      <c r="E53" s="19"/>
      <c r="F53" s="20">
        <f>ROUND(D53*E53,2)</f>
        <v>0</v>
      </c>
    </row>
    <row r="54" spans="1:6" ht="24" x14ac:dyDescent="0.25">
      <c r="A54" s="1" t="s">
        <v>74</v>
      </c>
      <c r="B54" s="17" t="s">
        <v>311</v>
      </c>
      <c r="C54" s="49" t="s">
        <v>54</v>
      </c>
      <c r="D54" s="47">
        <v>1</v>
      </c>
      <c r="E54" s="19"/>
      <c r="F54" s="20">
        <f>ROUND(D54*E54,2)</f>
        <v>0</v>
      </c>
    </row>
    <row r="55" spans="1:6" ht="24" x14ac:dyDescent="0.25">
      <c r="A55" s="1" t="s">
        <v>75</v>
      </c>
      <c r="B55" s="17" t="s">
        <v>312</v>
      </c>
      <c r="C55" s="49" t="s">
        <v>54</v>
      </c>
      <c r="D55" s="47">
        <v>1</v>
      </c>
      <c r="E55" s="19"/>
      <c r="F55" s="20">
        <f>ROUND(D55*E55,2)</f>
        <v>0</v>
      </c>
    </row>
    <row r="56" spans="1:6" x14ac:dyDescent="0.25">
      <c r="E56" s="22" t="s">
        <v>76</v>
      </c>
      <c r="F56" s="20">
        <f>SUM(F53:F55)</f>
        <v>0</v>
      </c>
    </row>
    <row r="58" spans="1:6" x14ac:dyDescent="0.25">
      <c r="A58" s="15" t="s">
        <v>77</v>
      </c>
      <c r="B58" s="16" t="s">
        <v>78</v>
      </c>
    </row>
    <row r="59" spans="1:6" ht="228" x14ac:dyDescent="0.25">
      <c r="B59" s="8" t="s">
        <v>79</v>
      </c>
    </row>
    <row r="60" spans="1:6" ht="36" x14ac:dyDescent="0.25">
      <c r="B60" s="8" t="s">
        <v>80</v>
      </c>
    </row>
    <row r="61" spans="1:6" x14ac:dyDescent="0.25">
      <c r="A61" s="1" t="s">
        <v>81</v>
      </c>
      <c r="B61" s="17" t="s">
        <v>82</v>
      </c>
      <c r="C61" s="9" t="s">
        <v>59</v>
      </c>
      <c r="D61" s="18">
        <v>870.35</v>
      </c>
      <c r="E61" s="19">
        <v>19.600000000000001</v>
      </c>
      <c r="F61" s="20">
        <f t="shared" ref="F61:F67" si="0">ROUND(D61*E61,2)</f>
        <v>17058.86</v>
      </c>
    </row>
    <row r="62" spans="1:6" ht="24" x14ac:dyDescent="0.25">
      <c r="A62" s="1" t="s">
        <v>83</v>
      </c>
      <c r="B62" s="17" t="s">
        <v>84</v>
      </c>
      <c r="C62" s="9" t="s">
        <v>85</v>
      </c>
      <c r="D62" s="18">
        <v>70.09</v>
      </c>
      <c r="E62" s="19">
        <v>21</v>
      </c>
      <c r="F62" s="20">
        <f t="shared" si="0"/>
        <v>1471.89</v>
      </c>
    </row>
    <row r="63" spans="1:6" ht="24" x14ac:dyDescent="0.25">
      <c r="A63" s="1" t="s">
        <v>86</v>
      </c>
      <c r="B63" s="17" t="s">
        <v>87</v>
      </c>
      <c r="C63" s="9" t="s">
        <v>88</v>
      </c>
      <c r="D63" s="18">
        <v>14</v>
      </c>
      <c r="E63" s="19">
        <v>30</v>
      </c>
      <c r="F63" s="20">
        <f t="shared" si="0"/>
        <v>420</v>
      </c>
    </row>
    <row r="64" spans="1:6" ht="24" x14ac:dyDescent="0.25">
      <c r="A64" s="1" t="s">
        <v>89</v>
      </c>
      <c r="B64" s="17" t="s">
        <v>90</v>
      </c>
      <c r="C64" s="9" t="s">
        <v>88</v>
      </c>
      <c r="D64" s="18">
        <v>1</v>
      </c>
      <c r="E64" s="19">
        <v>40</v>
      </c>
      <c r="F64" s="20">
        <f t="shared" si="0"/>
        <v>40</v>
      </c>
    </row>
    <row r="65" spans="1:6" ht="24" x14ac:dyDescent="0.25">
      <c r="A65" s="1" t="s">
        <v>91</v>
      </c>
      <c r="B65" s="17" t="s">
        <v>92</v>
      </c>
      <c r="C65" s="9" t="s">
        <v>88</v>
      </c>
      <c r="D65" s="18">
        <v>1</v>
      </c>
      <c r="E65" s="19">
        <v>35</v>
      </c>
      <c r="F65" s="20">
        <f t="shared" si="0"/>
        <v>35</v>
      </c>
    </row>
    <row r="66" spans="1:6" ht="24" x14ac:dyDescent="0.25">
      <c r="A66" s="1" t="s">
        <v>93</v>
      </c>
      <c r="B66" s="17" t="s">
        <v>94</v>
      </c>
      <c r="C66" s="9" t="s">
        <v>88</v>
      </c>
      <c r="D66" s="18">
        <v>4</v>
      </c>
      <c r="E66" s="19">
        <v>35</v>
      </c>
      <c r="F66" s="20">
        <f t="shared" si="0"/>
        <v>140</v>
      </c>
    </row>
    <row r="67" spans="1:6" ht="24" x14ac:dyDescent="0.25">
      <c r="A67" s="1" t="s">
        <v>95</v>
      </c>
      <c r="B67" s="17" t="s">
        <v>96</v>
      </c>
      <c r="C67" s="9" t="s">
        <v>88</v>
      </c>
      <c r="D67" s="18">
        <v>12</v>
      </c>
      <c r="E67" s="19">
        <v>30</v>
      </c>
      <c r="F67" s="20">
        <f t="shared" si="0"/>
        <v>360</v>
      </c>
    </row>
    <row r="68" spans="1:6" x14ac:dyDescent="0.25">
      <c r="E68" s="22" t="s">
        <v>76</v>
      </c>
      <c r="F68" s="20">
        <f>SUM(F61:F67)</f>
        <v>19525.75</v>
      </c>
    </row>
    <row r="70" spans="1:6" x14ac:dyDescent="0.25">
      <c r="A70" s="15" t="s">
        <v>97</v>
      </c>
      <c r="B70" s="16" t="s">
        <v>98</v>
      </c>
    </row>
    <row r="71" spans="1:6" ht="204" x14ac:dyDescent="0.25">
      <c r="B71" s="8" t="s">
        <v>99</v>
      </c>
    </row>
    <row r="72" spans="1:6" ht="24" x14ac:dyDescent="0.25">
      <c r="A72" s="1" t="s">
        <v>100</v>
      </c>
      <c r="B72" s="17" t="s">
        <v>101</v>
      </c>
      <c r="C72" s="9" t="s">
        <v>85</v>
      </c>
      <c r="D72" s="18">
        <v>70.09</v>
      </c>
      <c r="E72" s="19">
        <v>44</v>
      </c>
      <c r="F72" s="20">
        <f>ROUND(D72*E72,2)</f>
        <v>3083.96</v>
      </c>
    </row>
    <row r="73" spans="1:6" ht="24" x14ac:dyDescent="0.25">
      <c r="A73" s="1" t="s">
        <v>102</v>
      </c>
      <c r="B73" s="17" t="s">
        <v>103</v>
      </c>
      <c r="C73" s="9" t="s">
        <v>85</v>
      </c>
      <c r="D73" s="18">
        <v>26.88</v>
      </c>
      <c r="E73" s="19">
        <v>19</v>
      </c>
      <c r="F73" s="20">
        <f>ROUND(D73*E73,2)</f>
        <v>510.72</v>
      </c>
    </row>
    <row r="74" spans="1:6" ht="24" x14ac:dyDescent="0.25">
      <c r="A74" s="1" t="s">
        <v>104</v>
      </c>
      <c r="B74" s="17" t="s">
        <v>105</v>
      </c>
      <c r="C74" s="9" t="s">
        <v>85</v>
      </c>
      <c r="D74" s="18">
        <v>29.87</v>
      </c>
      <c r="E74" s="19">
        <v>15</v>
      </c>
      <c r="F74" s="20">
        <f>ROUND(D74*E74,2)</f>
        <v>448.05</v>
      </c>
    </row>
    <row r="75" spans="1:6" ht="36" x14ac:dyDescent="0.25">
      <c r="A75" s="1" t="s">
        <v>106</v>
      </c>
      <c r="B75" s="17" t="s">
        <v>107</v>
      </c>
      <c r="C75" s="9" t="s">
        <v>85</v>
      </c>
      <c r="D75" s="18">
        <v>50.68</v>
      </c>
      <c r="E75" s="19">
        <v>19</v>
      </c>
      <c r="F75" s="20">
        <f>ROUND(D75*E75,2)</f>
        <v>962.92</v>
      </c>
    </row>
    <row r="76" spans="1:6" x14ac:dyDescent="0.25">
      <c r="E76" s="22" t="s">
        <v>76</v>
      </c>
      <c r="F76" s="20">
        <f>SUM(F72:F75)</f>
        <v>5005.6500000000005</v>
      </c>
    </row>
    <row r="78" spans="1:6" x14ac:dyDescent="0.25">
      <c r="A78" s="15" t="s">
        <v>108</v>
      </c>
      <c r="B78" s="16" t="s">
        <v>315</v>
      </c>
    </row>
    <row r="79" spans="1:6" ht="132" x14ac:dyDescent="0.25">
      <c r="B79" s="8" t="s">
        <v>109</v>
      </c>
    </row>
    <row r="80" spans="1:6" x14ac:dyDescent="0.25">
      <c r="A80" s="1" t="s">
        <v>110</v>
      </c>
      <c r="B80" s="17" t="s">
        <v>53</v>
      </c>
      <c r="C80" s="46" t="s">
        <v>88</v>
      </c>
      <c r="D80" s="47">
        <v>10</v>
      </c>
      <c r="E80" s="19"/>
      <c r="F80" s="20">
        <f>ROUND(D80*E80,2)</f>
        <v>0</v>
      </c>
    </row>
    <row r="82" spans="1:6" x14ac:dyDescent="0.25">
      <c r="A82" s="15" t="s">
        <v>111</v>
      </c>
      <c r="B82" s="16" t="s">
        <v>316</v>
      </c>
    </row>
    <row r="83" spans="1:6" ht="228" x14ac:dyDescent="0.25">
      <c r="B83" s="8" t="s">
        <v>112</v>
      </c>
    </row>
    <row r="84" spans="1:6" x14ac:dyDescent="0.25">
      <c r="B84" s="8" t="s">
        <v>113</v>
      </c>
    </row>
    <row r="85" spans="1:6" x14ac:dyDescent="0.25">
      <c r="A85" s="1" t="s">
        <v>114</v>
      </c>
      <c r="B85" s="17" t="s">
        <v>53</v>
      </c>
      <c r="C85" s="46" t="s">
        <v>88</v>
      </c>
      <c r="D85" s="47">
        <v>10</v>
      </c>
      <c r="E85" s="19"/>
      <c r="F85" s="20">
        <f>ROUND(D85*E85,2)</f>
        <v>0</v>
      </c>
    </row>
    <row r="87" spans="1:6" ht="24" x14ac:dyDescent="0.25">
      <c r="A87" s="15" t="s">
        <v>115</v>
      </c>
      <c r="B87" s="16" t="s">
        <v>317</v>
      </c>
    </row>
    <row r="88" spans="1:6" ht="216" x14ac:dyDescent="0.25">
      <c r="B88" s="8" t="s">
        <v>116</v>
      </c>
    </row>
    <row r="89" spans="1:6" ht="36" x14ac:dyDescent="0.25">
      <c r="B89" s="8" t="s">
        <v>117</v>
      </c>
    </row>
    <row r="90" spans="1:6" ht="24" x14ac:dyDescent="0.25">
      <c r="A90" s="1" t="s">
        <v>118</v>
      </c>
      <c r="B90" s="17" t="s">
        <v>119</v>
      </c>
      <c r="C90" s="46" t="s">
        <v>85</v>
      </c>
      <c r="D90" s="47">
        <v>97.03</v>
      </c>
      <c r="E90" s="19"/>
      <c r="F90" s="20">
        <f>ROUND(D90*E90,2)</f>
        <v>0</v>
      </c>
    </row>
    <row r="91" spans="1:6" x14ac:dyDescent="0.25">
      <c r="B91" s="17"/>
      <c r="D91" s="18"/>
      <c r="E91" s="19"/>
      <c r="F91" s="20"/>
    </row>
    <row r="92" spans="1:6" x14ac:dyDescent="0.25">
      <c r="A92" s="15" t="s">
        <v>120</v>
      </c>
      <c r="B92" s="16" t="s">
        <v>121</v>
      </c>
    </row>
    <row r="93" spans="1:6" ht="60" x14ac:dyDescent="0.25">
      <c r="B93" s="8" t="s">
        <v>307</v>
      </c>
    </row>
    <row r="94" spans="1:6" x14ac:dyDescent="0.25">
      <c r="A94" s="1" t="s">
        <v>122</v>
      </c>
      <c r="B94" s="17" t="s">
        <v>53</v>
      </c>
      <c r="C94" s="9" t="s">
        <v>85</v>
      </c>
      <c r="D94" s="18">
        <v>37</v>
      </c>
      <c r="E94" s="19">
        <v>22</v>
      </c>
      <c r="F94" s="20">
        <f>ROUND(D94*E94,2)</f>
        <v>814</v>
      </c>
    </row>
    <row r="95" spans="1:6" x14ac:dyDescent="0.25">
      <c r="B95" s="17"/>
      <c r="D95" s="18"/>
      <c r="E95" s="19"/>
      <c r="F95" s="20"/>
    </row>
    <row r="96" spans="1:6" ht="24" x14ac:dyDescent="0.25">
      <c r="A96" s="15" t="s">
        <v>123</v>
      </c>
      <c r="B96" s="16" t="s">
        <v>318</v>
      </c>
    </row>
    <row r="97" spans="1:6" ht="206.25" customHeight="1" x14ac:dyDescent="0.25">
      <c r="B97" s="8" t="s">
        <v>124</v>
      </c>
      <c r="C97" s="23"/>
    </row>
    <row r="98" spans="1:6" ht="123.75" customHeight="1" x14ac:dyDescent="0.25">
      <c r="B98" s="8" t="s">
        <v>125</v>
      </c>
      <c r="C98" s="23"/>
    </row>
    <row r="99" spans="1:6" x14ac:dyDescent="0.25">
      <c r="A99" s="1" t="s">
        <v>126</v>
      </c>
      <c r="B99" s="17" t="s">
        <v>53</v>
      </c>
      <c r="C99" s="46" t="s">
        <v>54</v>
      </c>
      <c r="D99" s="47">
        <v>1</v>
      </c>
      <c r="E99" s="19"/>
      <c r="F99" s="20">
        <f>ROUND(D99*E99,2)</f>
        <v>0</v>
      </c>
    </row>
    <row r="101" spans="1:6" x14ac:dyDescent="0.25">
      <c r="A101" s="14" t="s">
        <v>48</v>
      </c>
      <c r="B101" s="58" t="s">
        <v>127</v>
      </c>
      <c r="C101" s="59"/>
      <c r="D101" s="60"/>
      <c r="E101" s="60"/>
      <c r="F101" s="24">
        <f>SUM(F34,F39,F43,F48,F56,F68,F76,F80,F85,F90,F94,F99)</f>
        <v>60239.22</v>
      </c>
    </row>
    <row r="103" spans="1:6" x14ac:dyDescent="0.25">
      <c r="A103" s="14" t="s">
        <v>128</v>
      </c>
      <c r="B103" s="58" t="s">
        <v>129</v>
      </c>
      <c r="C103" s="59"/>
      <c r="D103" s="60"/>
      <c r="E103" s="60"/>
      <c r="F103" s="60"/>
    </row>
    <row r="105" spans="1:6" x14ac:dyDescent="0.25">
      <c r="A105" s="15" t="s">
        <v>130</v>
      </c>
      <c r="B105" s="16" t="s">
        <v>319</v>
      </c>
    </row>
    <row r="106" spans="1:6" ht="228" x14ac:dyDescent="0.25">
      <c r="B106" s="8" t="s">
        <v>131</v>
      </c>
    </row>
    <row r="107" spans="1:6" ht="216" x14ac:dyDescent="0.25">
      <c r="B107" s="8" t="s">
        <v>132</v>
      </c>
    </row>
    <row r="108" spans="1:6" ht="72" x14ac:dyDescent="0.25">
      <c r="B108" s="8" t="s">
        <v>133</v>
      </c>
    </row>
    <row r="109" spans="1:6" x14ac:dyDescent="0.25">
      <c r="A109" s="1" t="s">
        <v>134</v>
      </c>
      <c r="B109" s="17" t="s">
        <v>53</v>
      </c>
      <c r="C109" s="46" t="s">
        <v>85</v>
      </c>
      <c r="D109" s="47">
        <v>51.4</v>
      </c>
      <c r="E109" s="19"/>
      <c r="F109" s="20">
        <f>ROUND(D109*E109,2)</f>
        <v>0</v>
      </c>
    </row>
    <row r="111" spans="1:6" x14ac:dyDescent="0.25">
      <c r="A111" s="15" t="s">
        <v>135</v>
      </c>
      <c r="B111" s="16" t="s">
        <v>320</v>
      </c>
    </row>
    <row r="112" spans="1:6" ht="168" x14ac:dyDescent="0.25">
      <c r="B112" s="8" t="s">
        <v>136</v>
      </c>
    </row>
    <row r="113" spans="1:6" x14ac:dyDescent="0.25">
      <c r="A113" s="1" t="s">
        <v>137</v>
      </c>
      <c r="B113" s="17" t="s">
        <v>53</v>
      </c>
      <c r="C113" s="46" t="s">
        <v>59</v>
      </c>
      <c r="D113" s="47">
        <v>10</v>
      </c>
      <c r="E113" s="19"/>
      <c r="F113" s="20">
        <f>ROUND(D113*E113,2)</f>
        <v>0</v>
      </c>
    </row>
    <row r="115" spans="1:6" x14ac:dyDescent="0.25">
      <c r="A115" s="14" t="s">
        <v>128</v>
      </c>
      <c r="B115" s="58" t="s">
        <v>138</v>
      </c>
      <c r="C115" s="59"/>
      <c r="D115" s="60"/>
      <c r="E115" s="60"/>
      <c r="F115" s="24">
        <f>SUM(F109,F113)</f>
        <v>0</v>
      </c>
    </row>
    <row r="117" spans="1:6" x14ac:dyDescent="0.25">
      <c r="A117" s="11" t="s">
        <v>45</v>
      </c>
      <c r="B117" s="52" t="s">
        <v>139</v>
      </c>
      <c r="C117" s="53"/>
      <c r="D117" s="54"/>
      <c r="E117" s="54"/>
      <c r="F117" s="25">
        <f>SUM(F101,F115)</f>
        <v>60239.22</v>
      </c>
    </row>
    <row r="120" spans="1:6" x14ac:dyDescent="0.25">
      <c r="A120" s="11" t="s">
        <v>140</v>
      </c>
      <c r="B120" s="52" t="s">
        <v>141</v>
      </c>
      <c r="C120" s="53"/>
      <c r="D120" s="54"/>
      <c r="E120" s="54"/>
      <c r="F120" s="54"/>
    </row>
    <row r="122" spans="1:6" x14ac:dyDescent="0.25">
      <c r="A122" s="11"/>
      <c r="B122" s="12" t="s">
        <v>29</v>
      </c>
      <c r="C122" s="13"/>
      <c r="D122" s="11"/>
      <c r="E122" s="11"/>
      <c r="F122" s="11"/>
    </row>
    <row r="124" spans="1:6" ht="60" x14ac:dyDescent="0.25">
      <c r="B124" s="8" t="s">
        <v>142</v>
      </c>
    </row>
    <row r="126" spans="1:6" x14ac:dyDescent="0.25">
      <c r="A126" s="14" t="s">
        <v>143</v>
      </c>
      <c r="B126" s="58" t="s">
        <v>144</v>
      </c>
      <c r="C126" s="59"/>
      <c r="D126" s="60"/>
      <c r="E126" s="60"/>
      <c r="F126" s="60"/>
    </row>
    <row r="128" spans="1:6" ht="24" x14ac:dyDescent="0.25">
      <c r="A128" s="15" t="s">
        <v>145</v>
      </c>
      <c r="B128" s="16" t="s">
        <v>321</v>
      </c>
    </row>
    <row r="129" spans="1:6" ht="96" x14ac:dyDescent="0.25">
      <c r="B129" s="8" t="s">
        <v>146</v>
      </c>
    </row>
    <row r="130" spans="1:6" x14ac:dyDescent="0.25">
      <c r="A130" s="1" t="s">
        <v>147</v>
      </c>
      <c r="B130" s="17" t="s">
        <v>53</v>
      </c>
      <c r="C130" s="46" t="s">
        <v>148</v>
      </c>
      <c r="D130" s="47">
        <v>10</v>
      </c>
      <c r="E130" s="19"/>
      <c r="F130" s="20">
        <f>ROUND(D130*E130,2)</f>
        <v>0</v>
      </c>
    </row>
    <row r="132" spans="1:6" x14ac:dyDescent="0.25">
      <c r="A132" s="15" t="s">
        <v>149</v>
      </c>
      <c r="B132" s="16" t="s">
        <v>150</v>
      </c>
    </row>
    <row r="133" spans="1:6" ht="231.75" customHeight="1" x14ac:dyDescent="0.25">
      <c r="B133" s="8" t="s">
        <v>151</v>
      </c>
    </row>
    <row r="134" spans="1:6" x14ac:dyDescent="0.25">
      <c r="B134" s="8" t="s">
        <v>152</v>
      </c>
    </row>
    <row r="135" spans="1:6" x14ac:dyDescent="0.25">
      <c r="A135" s="1" t="s">
        <v>153</v>
      </c>
      <c r="B135" s="17" t="s">
        <v>154</v>
      </c>
      <c r="C135" s="9" t="s">
        <v>59</v>
      </c>
      <c r="D135" s="18">
        <v>10</v>
      </c>
      <c r="E135" s="19">
        <v>24</v>
      </c>
      <c r="F135" s="20">
        <f>ROUND(D135*E135,2)</f>
        <v>240</v>
      </c>
    </row>
    <row r="136" spans="1:6" ht="24" x14ac:dyDescent="0.25">
      <c r="A136" s="1" t="s">
        <v>155</v>
      </c>
      <c r="B136" s="17" t="s">
        <v>156</v>
      </c>
      <c r="C136" s="9" t="s">
        <v>85</v>
      </c>
      <c r="D136" s="18">
        <v>10</v>
      </c>
      <c r="E136" s="19">
        <v>26</v>
      </c>
      <c r="F136" s="20">
        <f>ROUND(D136*E136,2)</f>
        <v>260</v>
      </c>
    </row>
    <row r="137" spans="1:6" x14ac:dyDescent="0.25">
      <c r="E137" s="22" t="s">
        <v>76</v>
      </c>
      <c r="F137" s="20">
        <f>SUM(F135:F136)</f>
        <v>500</v>
      </c>
    </row>
    <row r="139" spans="1:6" x14ac:dyDescent="0.25">
      <c r="A139" s="15" t="s">
        <v>157</v>
      </c>
      <c r="B139" s="16" t="s">
        <v>158</v>
      </c>
    </row>
    <row r="140" spans="1:6" ht="120" x14ac:dyDescent="0.25">
      <c r="B140" s="8" t="s">
        <v>159</v>
      </c>
    </row>
    <row r="141" spans="1:6" x14ac:dyDescent="0.25">
      <c r="A141" s="1" t="s">
        <v>160</v>
      </c>
      <c r="B141" s="17" t="s">
        <v>53</v>
      </c>
      <c r="C141" s="9" t="s">
        <v>59</v>
      </c>
      <c r="D141" s="18">
        <v>10</v>
      </c>
      <c r="E141" s="19">
        <v>3</v>
      </c>
      <c r="F141" s="20">
        <f>ROUND(D141*E141,2)</f>
        <v>30</v>
      </c>
    </row>
    <row r="143" spans="1:6" x14ac:dyDescent="0.25">
      <c r="A143" s="15" t="s">
        <v>161</v>
      </c>
      <c r="B143" s="16" t="s">
        <v>162</v>
      </c>
    </row>
    <row r="144" spans="1:6" ht="168" x14ac:dyDescent="0.25">
      <c r="B144" s="8" t="s">
        <v>163</v>
      </c>
    </row>
    <row r="145" spans="1:6" x14ac:dyDescent="0.25">
      <c r="A145" s="1" t="s">
        <v>164</v>
      </c>
      <c r="B145" s="17" t="s">
        <v>165</v>
      </c>
      <c r="C145" s="9" t="s">
        <v>59</v>
      </c>
      <c r="D145" s="18">
        <v>10</v>
      </c>
      <c r="E145" s="19">
        <v>25</v>
      </c>
      <c r="F145" s="20">
        <f>ROUND(D145*E145,2)</f>
        <v>250</v>
      </c>
    </row>
    <row r="146" spans="1:6" x14ac:dyDescent="0.25">
      <c r="A146" s="1" t="s">
        <v>166</v>
      </c>
      <c r="B146" s="17" t="s">
        <v>309</v>
      </c>
      <c r="C146" s="9" t="s">
        <v>59</v>
      </c>
      <c r="D146" s="18">
        <v>10</v>
      </c>
      <c r="E146" s="19">
        <v>2.5</v>
      </c>
      <c r="F146" s="20">
        <f>ROUND(D146*E146,2)</f>
        <v>25</v>
      </c>
    </row>
    <row r="147" spans="1:6" x14ac:dyDescent="0.25">
      <c r="E147" s="22" t="s">
        <v>76</v>
      </c>
      <c r="F147" s="20">
        <f>SUM(F145:F146)</f>
        <v>275</v>
      </c>
    </row>
    <row r="149" spans="1:6" x14ac:dyDescent="0.25">
      <c r="A149" s="15" t="s">
        <v>167</v>
      </c>
      <c r="B149" s="16" t="s">
        <v>168</v>
      </c>
    </row>
    <row r="150" spans="1:6" ht="240" x14ac:dyDescent="0.25">
      <c r="B150" s="8" t="s">
        <v>169</v>
      </c>
    </row>
    <row r="151" spans="1:6" ht="36" x14ac:dyDescent="0.25">
      <c r="B151" s="8" t="s">
        <v>170</v>
      </c>
    </row>
    <row r="152" spans="1:6" x14ac:dyDescent="0.25">
      <c r="A152" s="1" t="s">
        <v>171</v>
      </c>
      <c r="B152" s="17" t="s">
        <v>172</v>
      </c>
      <c r="C152" s="9" t="s">
        <v>59</v>
      </c>
      <c r="D152" s="18">
        <v>10</v>
      </c>
      <c r="E152" s="19">
        <v>22</v>
      </c>
      <c r="F152" s="20">
        <f>ROUND(D152*E152,2)</f>
        <v>220</v>
      </c>
    </row>
    <row r="153" spans="1:6" x14ac:dyDescent="0.25">
      <c r="A153" s="1" t="s">
        <v>173</v>
      </c>
      <c r="B153" s="17" t="s">
        <v>174</v>
      </c>
      <c r="C153" s="9" t="s">
        <v>88</v>
      </c>
      <c r="D153" s="18">
        <v>10</v>
      </c>
      <c r="E153" s="19">
        <v>30</v>
      </c>
      <c r="F153" s="20">
        <f>ROUND(D153*E153,2)</f>
        <v>300</v>
      </c>
    </row>
    <row r="154" spans="1:6" x14ac:dyDescent="0.25">
      <c r="E154" s="22" t="s">
        <v>76</v>
      </c>
      <c r="F154" s="20">
        <f>SUM(F152:F153)</f>
        <v>520</v>
      </c>
    </row>
    <row r="156" spans="1:6" x14ac:dyDescent="0.25">
      <c r="A156" s="15" t="s">
        <v>175</v>
      </c>
      <c r="B156" s="16" t="s">
        <v>176</v>
      </c>
    </row>
    <row r="157" spans="1:6" ht="108" x14ac:dyDescent="0.25">
      <c r="B157" s="8" t="s">
        <v>177</v>
      </c>
    </row>
    <row r="158" spans="1:6" x14ac:dyDescent="0.25">
      <c r="A158" s="1" t="s">
        <v>178</v>
      </c>
      <c r="B158" s="17" t="s">
        <v>179</v>
      </c>
      <c r="C158" s="9" t="s">
        <v>85</v>
      </c>
      <c r="D158" s="18">
        <v>7</v>
      </c>
      <c r="E158" s="19">
        <v>30</v>
      </c>
      <c r="F158" s="20">
        <f>ROUND(D158*E158,2)</f>
        <v>210</v>
      </c>
    </row>
    <row r="160" spans="1:6" x14ac:dyDescent="0.25">
      <c r="A160" s="14" t="s">
        <v>143</v>
      </c>
      <c r="B160" s="58" t="s">
        <v>180</v>
      </c>
      <c r="C160" s="59"/>
      <c r="D160" s="60"/>
      <c r="E160" s="60"/>
      <c r="F160" s="24">
        <f>SUM(F130,F137,F141,F147,F154,F158)</f>
        <v>1535</v>
      </c>
    </row>
    <row r="162" spans="1:6" x14ac:dyDescent="0.25">
      <c r="A162" s="15" t="s">
        <v>181</v>
      </c>
      <c r="B162" s="16" t="s">
        <v>320</v>
      </c>
    </row>
    <row r="163" spans="1:6" ht="170.25" customHeight="1" x14ac:dyDescent="0.25">
      <c r="B163" s="8" t="s">
        <v>182</v>
      </c>
    </row>
    <row r="164" spans="1:6" x14ac:dyDescent="0.25">
      <c r="A164" s="1" t="s">
        <v>183</v>
      </c>
      <c r="B164" s="17" t="s">
        <v>53</v>
      </c>
      <c r="C164" s="46" t="s">
        <v>59</v>
      </c>
      <c r="D164" s="47">
        <v>10</v>
      </c>
      <c r="E164" s="19"/>
      <c r="F164" s="20">
        <f>ROUND(D164*E164,2)</f>
        <v>0</v>
      </c>
    </row>
    <row r="166" spans="1:6" ht="24" x14ac:dyDescent="0.25">
      <c r="A166" s="15" t="s">
        <v>184</v>
      </c>
      <c r="B166" s="16" t="s">
        <v>322</v>
      </c>
    </row>
    <row r="167" spans="1:6" ht="228" x14ac:dyDescent="0.25">
      <c r="B167" s="8" t="s">
        <v>185</v>
      </c>
    </row>
    <row r="168" spans="1:6" ht="132" x14ac:dyDescent="0.25">
      <c r="B168" s="8" t="s">
        <v>186</v>
      </c>
    </row>
    <row r="169" spans="1:6" x14ac:dyDescent="0.25">
      <c r="A169" s="1" t="s">
        <v>187</v>
      </c>
      <c r="B169" s="17" t="s">
        <v>188</v>
      </c>
      <c r="C169" s="46" t="s">
        <v>85</v>
      </c>
      <c r="D169" s="47">
        <v>21</v>
      </c>
      <c r="E169" s="19"/>
      <c r="F169" s="20">
        <f>ROUND(D169*E169,2)</f>
        <v>0</v>
      </c>
    </row>
    <row r="170" spans="1:6" x14ac:dyDescent="0.25">
      <c r="A170" s="1" t="s">
        <v>189</v>
      </c>
      <c r="B170" s="17" t="s">
        <v>190</v>
      </c>
      <c r="C170" s="46" t="s">
        <v>88</v>
      </c>
      <c r="D170" s="47">
        <v>4</v>
      </c>
      <c r="E170" s="19"/>
      <c r="F170" s="20">
        <f>ROUND(D170*E170,2)</f>
        <v>0</v>
      </c>
    </row>
    <row r="171" spans="1:6" x14ac:dyDescent="0.25">
      <c r="A171" s="1" t="s">
        <v>191</v>
      </c>
      <c r="B171" s="17" t="s">
        <v>192</v>
      </c>
      <c r="C171" s="46" t="s">
        <v>88</v>
      </c>
      <c r="D171" s="47">
        <v>4</v>
      </c>
      <c r="E171" s="19"/>
      <c r="F171" s="20">
        <f>ROUND(D171*E171,2)</f>
        <v>0</v>
      </c>
    </row>
    <row r="172" spans="1:6" x14ac:dyDescent="0.25">
      <c r="A172" s="1" t="s">
        <v>193</v>
      </c>
      <c r="B172" s="17" t="s">
        <v>194</v>
      </c>
      <c r="C172" s="46" t="s">
        <v>88</v>
      </c>
      <c r="D172" s="47">
        <v>2</v>
      </c>
      <c r="E172" s="19"/>
      <c r="F172" s="20">
        <f>ROUND(D172*E172,2)</f>
        <v>0</v>
      </c>
    </row>
    <row r="173" spans="1:6" x14ac:dyDescent="0.25">
      <c r="A173" s="1" t="s">
        <v>195</v>
      </c>
      <c r="B173" s="17" t="s">
        <v>196</v>
      </c>
      <c r="C173" s="46" t="s">
        <v>88</v>
      </c>
      <c r="D173" s="47">
        <v>2</v>
      </c>
      <c r="E173" s="19"/>
      <c r="F173" s="20">
        <f>ROUND(D173*E173,2)</f>
        <v>0</v>
      </c>
    </row>
    <row r="174" spans="1:6" x14ac:dyDescent="0.25">
      <c r="E174" s="22" t="s">
        <v>76</v>
      </c>
      <c r="F174" s="20">
        <f>SUM(F169:F173)</f>
        <v>0</v>
      </c>
    </row>
    <row r="176" spans="1:6" ht="24" x14ac:dyDescent="0.25">
      <c r="A176" s="15" t="s">
        <v>197</v>
      </c>
      <c r="B176" s="16" t="s">
        <v>323</v>
      </c>
    </row>
    <row r="177" spans="1:6" ht="228" x14ac:dyDescent="0.25">
      <c r="B177" s="8" t="s">
        <v>198</v>
      </c>
    </row>
    <row r="178" spans="1:6" x14ac:dyDescent="0.25">
      <c r="A178" s="1" t="s">
        <v>199</v>
      </c>
      <c r="B178" s="17" t="s">
        <v>200</v>
      </c>
      <c r="C178" s="46" t="s">
        <v>88</v>
      </c>
      <c r="D178" s="47">
        <v>3</v>
      </c>
      <c r="E178" s="19">
        <v>0</v>
      </c>
      <c r="F178" s="20">
        <f>ROUND(D178*E178,2)</f>
        <v>0</v>
      </c>
    </row>
    <row r="179" spans="1:6" x14ac:dyDescent="0.25">
      <c r="A179" s="1" t="s">
        <v>201</v>
      </c>
      <c r="B179" s="17" t="s">
        <v>202</v>
      </c>
      <c r="C179" s="46" t="s">
        <v>88</v>
      </c>
      <c r="D179" s="47">
        <v>2</v>
      </c>
      <c r="E179" s="19">
        <v>0</v>
      </c>
      <c r="F179" s="20">
        <f>ROUND(D179*E179,2)</f>
        <v>0</v>
      </c>
    </row>
    <row r="181" spans="1:6" ht="24" x14ac:dyDescent="0.25">
      <c r="A181" s="15" t="s">
        <v>203</v>
      </c>
      <c r="B181" s="16" t="s">
        <v>324</v>
      </c>
    </row>
    <row r="182" spans="1:6" ht="216" x14ac:dyDescent="0.25">
      <c r="B182" s="8" t="s">
        <v>204</v>
      </c>
    </row>
    <row r="183" spans="1:6" x14ac:dyDescent="0.25">
      <c r="A183" s="1" t="s">
        <v>205</v>
      </c>
      <c r="B183" s="17" t="s">
        <v>53</v>
      </c>
      <c r="C183" s="46" t="s">
        <v>85</v>
      </c>
      <c r="D183" s="47">
        <v>84.67</v>
      </c>
      <c r="E183" s="19"/>
      <c r="F183" s="20">
        <f>ROUND(D183*E183,2)</f>
        <v>0</v>
      </c>
    </row>
    <row r="185" spans="1:6" ht="24" x14ac:dyDescent="0.25">
      <c r="A185" s="15" t="s">
        <v>208</v>
      </c>
      <c r="B185" s="16" t="s">
        <v>325</v>
      </c>
    </row>
    <row r="186" spans="1:6" ht="168" x14ac:dyDescent="0.25">
      <c r="B186" s="8" t="s">
        <v>209</v>
      </c>
    </row>
    <row r="187" spans="1:6" x14ac:dyDescent="0.25">
      <c r="A187" s="1" t="s">
        <v>210</v>
      </c>
      <c r="B187" s="17" t="s">
        <v>53</v>
      </c>
      <c r="C187" s="46" t="s">
        <v>59</v>
      </c>
      <c r="D187" s="47">
        <v>166.88</v>
      </c>
      <c r="E187" s="19">
        <v>0</v>
      </c>
      <c r="F187" s="20">
        <f>ROUND(D187*E187,2)</f>
        <v>0</v>
      </c>
    </row>
    <row r="189" spans="1:6" x14ac:dyDescent="0.25">
      <c r="A189" s="15" t="s">
        <v>211</v>
      </c>
      <c r="B189" s="16" t="s">
        <v>212</v>
      </c>
    </row>
    <row r="190" spans="1:6" ht="168" x14ac:dyDescent="0.25">
      <c r="B190" s="8" t="s">
        <v>213</v>
      </c>
    </row>
    <row r="191" spans="1:6" x14ac:dyDescent="0.25">
      <c r="A191" s="1" t="s">
        <v>214</v>
      </c>
      <c r="B191" s="17" t="s">
        <v>53</v>
      </c>
      <c r="C191" s="9" t="s">
        <v>59</v>
      </c>
      <c r="D191" s="18">
        <v>15</v>
      </c>
      <c r="E191" s="19">
        <v>25</v>
      </c>
      <c r="F191" s="20">
        <f>ROUND(D191*E191,2)</f>
        <v>375</v>
      </c>
    </row>
    <row r="193" spans="1:6" ht="24" x14ac:dyDescent="0.25">
      <c r="A193" s="15" t="s">
        <v>215</v>
      </c>
      <c r="B193" s="16" t="s">
        <v>326</v>
      </c>
    </row>
    <row r="194" spans="1:6" ht="240" x14ac:dyDescent="0.25">
      <c r="B194" s="8" t="s">
        <v>216</v>
      </c>
    </row>
    <row r="195" spans="1:6" ht="120" x14ac:dyDescent="0.25">
      <c r="B195" s="8" t="s">
        <v>217</v>
      </c>
    </row>
    <row r="196" spans="1:6" x14ac:dyDescent="0.25">
      <c r="A196" s="1" t="s">
        <v>218</v>
      </c>
      <c r="B196" s="17" t="s">
        <v>53</v>
      </c>
      <c r="C196" s="46" t="s">
        <v>59</v>
      </c>
      <c r="D196" s="47">
        <v>10</v>
      </c>
      <c r="E196" s="19">
        <v>0</v>
      </c>
      <c r="F196" s="20">
        <f>ROUND(D196*E196,2)</f>
        <v>0</v>
      </c>
    </row>
    <row r="197" spans="1:6" x14ac:dyDescent="0.25">
      <c r="C197" s="46"/>
      <c r="D197" s="48"/>
    </row>
    <row r="198" spans="1:6" ht="36" x14ac:dyDescent="0.25">
      <c r="A198" s="15" t="s">
        <v>219</v>
      </c>
      <c r="B198" s="16" t="s">
        <v>327</v>
      </c>
      <c r="C198" s="46"/>
      <c r="D198" s="48"/>
    </row>
    <row r="199" spans="1:6" ht="228" x14ac:dyDescent="0.25">
      <c r="B199" s="8" t="s">
        <v>220</v>
      </c>
      <c r="C199" s="46"/>
      <c r="D199" s="48"/>
    </row>
    <row r="200" spans="1:6" ht="72" x14ac:dyDescent="0.25">
      <c r="B200" s="8" t="s">
        <v>221</v>
      </c>
      <c r="C200" s="46"/>
      <c r="D200" s="48"/>
    </row>
    <row r="201" spans="1:6" x14ac:dyDescent="0.25">
      <c r="A201" s="1" t="s">
        <v>222</v>
      </c>
      <c r="B201" s="17" t="s">
        <v>223</v>
      </c>
      <c r="C201" s="46" t="s">
        <v>59</v>
      </c>
      <c r="D201" s="47">
        <v>10</v>
      </c>
      <c r="E201" s="19">
        <v>0</v>
      </c>
      <c r="F201" s="20">
        <f>ROUND(D201*E201,2)</f>
        <v>0</v>
      </c>
    </row>
    <row r="202" spans="1:6" x14ac:dyDescent="0.25">
      <c r="A202" s="1" t="s">
        <v>224</v>
      </c>
      <c r="B202" s="17" t="s">
        <v>225</v>
      </c>
      <c r="C202" s="46" t="s">
        <v>88</v>
      </c>
      <c r="D202" s="47">
        <v>1</v>
      </c>
      <c r="E202" s="19">
        <v>0</v>
      </c>
      <c r="F202" s="20">
        <f>ROUND(D202*E202,2)</f>
        <v>0</v>
      </c>
    </row>
    <row r="203" spans="1:6" x14ac:dyDescent="0.25">
      <c r="E203" s="22" t="s">
        <v>76</v>
      </c>
      <c r="F203" s="20">
        <f>SUM(F201:F202)</f>
        <v>0</v>
      </c>
    </row>
    <row r="205" spans="1:6" ht="24" x14ac:dyDescent="0.25">
      <c r="A205" s="15" t="s">
        <v>226</v>
      </c>
      <c r="B205" s="16" t="s">
        <v>227</v>
      </c>
    </row>
    <row r="206" spans="1:6" ht="228" x14ac:dyDescent="0.25">
      <c r="B206" s="8" t="s">
        <v>228</v>
      </c>
    </row>
    <row r="207" spans="1:6" ht="48" x14ac:dyDescent="0.25">
      <c r="B207" s="8" t="s">
        <v>229</v>
      </c>
    </row>
    <row r="208" spans="1:6" x14ac:dyDescent="0.25">
      <c r="A208" s="1" t="s">
        <v>230</v>
      </c>
      <c r="B208" s="17" t="s">
        <v>223</v>
      </c>
      <c r="C208" s="9" t="s">
        <v>59</v>
      </c>
      <c r="D208" s="18">
        <v>12.83</v>
      </c>
      <c r="E208" s="19">
        <v>27</v>
      </c>
      <c r="F208" s="20">
        <f>ROUND(D208*E208,2)</f>
        <v>346.41</v>
      </c>
    </row>
    <row r="209" spans="1:6" ht="24" x14ac:dyDescent="0.25">
      <c r="A209" s="1" t="s">
        <v>231</v>
      </c>
      <c r="B209" s="17" t="s">
        <v>232</v>
      </c>
      <c r="C209" s="9" t="s">
        <v>85</v>
      </c>
      <c r="D209" s="18">
        <v>19.16</v>
      </c>
      <c r="E209" s="19">
        <v>15</v>
      </c>
      <c r="F209" s="20">
        <f>ROUND(D209*E209,2)</f>
        <v>287.39999999999998</v>
      </c>
    </row>
    <row r="210" spans="1:6" x14ac:dyDescent="0.25">
      <c r="E210" s="22" t="s">
        <v>76</v>
      </c>
      <c r="F210" s="20">
        <f>SUM(F208:F209)</f>
        <v>633.80999999999995</v>
      </c>
    </row>
    <row r="212" spans="1:6" x14ac:dyDescent="0.25">
      <c r="A212" s="15" t="s">
        <v>233</v>
      </c>
      <c r="B212" s="16" t="s">
        <v>328</v>
      </c>
    </row>
    <row r="213" spans="1:6" ht="107.25" customHeight="1" x14ac:dyDescent="0.25">
      <c r="B213" s="8" t="s">
        <v>234</v>
      </c>
    </row>
    <row r="214" spans="1:6" x14ac:dyDescent="0.25">
      <c r="A214" s="1" t="s">
        <v>235</v>
      </c>
      <c r="B214" s="17" t="s">
        <v>53</v>
      </c>
      <c r="C214" s="46" t="s">
        <v>88</v>
      </c>
      <c r="D214" s="47">
        <v>15</v>
      </c>
      <c r="E214" s="19">
        <v>0</v>
      </c>
      <c r="F214" s="20">
        <f>ROUND(D214*E214,2)</f>
        <v>0</v>
      </c>
    </row>
    <row r="215" spans="1:6" x14ac:dyDescent="0.25">
      <c r="C215" s="46"/>
      <c r="D215" s="48"/>
    </row>
    <row r="216" spans="1:6" x14ac:dyDescent="0.25">
      <c r="A216" s="15" t="s">
        <v>236</v>
      </c>
      <c r="B216" s="16" t="s">
        <v>329</v>
      </c>
      <c r="C216" s="46"/>
      <c r="D216" s="48"/>
    </row>
    <row r="217" spans="1:6" ht="170.25" customHeight="1" x14ac:dyDescent="0.25">
      <c r="B217" s="8" t="s">
        <v>237</v>
      </c>
      <c r="C217" s="46"/>
      <c r="D217" s="48"/>
    </row>
    <row r="218" spans="1:6" x14ac:dyDescent="0.25">
      <c r="A218" s="1" t="s">
        <v>238</v>
      </c>
      <c r="B218" s="17" t="s">
        <v>53</v>
      </c>
      <c r="C218" s="46" t="s">
        <v>85</v>
      </c>
      <c r="D218" s="47">
        <v>20</v>
      </c>
      <c r="E218" s="19">
        <v>0</v>
      </c>
      <c r="F218" s="20">
        <f>ROUND(D218*E218,2)</f>
        <v>0</v>
      </c>
    </row>
    <row r="219" spans="1:6" x14ac:dyDescent="0.25">
      <c r="C219" s="46"/>
      <c r="D219" s="48"/>
    </row>
    <row r="220" spans="1:6" x14ac:dyDescent="0.25">
      <c r="A220" s="15" t="s">
        <v>239</v>
      </c>
      <c r="B220" s="16" t="s">
        <v>330</v>
      </c>
      <c r="C220" s="46"/>
      <c r="D220" s="48"/>
    </row>
    <row r="221" spans="1:6" ht="123" customHeight="1" x14ac:dyDescent="0.25">
      <c r="B221" s="8" t="s">
        <v>240</v>
      </c>
      <c r="C221" s="46"/>
      <c r="D221" s="48"/>
    </row>
    <row r="222" spans="1:6" x14ac:dyDescent="0.25">
      <c r="A222" s="1" t="s">
        <v>241</v>
      </c>
      <c r="B222" s="17" t="s">
        <v>53</v>
      </c>
      <c r="C222" s="46" t="s">
        <v>59</v>
      </c>
      <c r="D222" s="47">
        <v>11</v>
      </c>
      <c r="E222" s="19">
        <v>0</v>
      </c>
      <c r="F222" s="20">
        <f>ROUND(D222*E222,2)</f>
        <v>0</v>
      </c>
    </row>
    <row r="223" spans="1:6" x14ac:dyDescent="0.25">
      <c r="C223" s="46"/>
      <c r="D223" s="48"/>
    </row>
    <row r="224" spans="1:6" x14ac:dyDescent="0.25">
      <c r="A224" s="15" t="s">
        <v>242</v>
      </c>
      <c r="B224" s="16" t="s">
        <v>331</v>
      </c>
      <c r="C224" s="46"/>
      <c r="D224" s="48"/>
    </row>
    <row r="225" spans="1:6" ht="86.25" customHeight="1" x14ac:dyDescent="0.25">
      <c r="B225" s="8" t="s">
        <v>243</v>
      </c>
      <c r="C225" s="46"/>
      <c r="D225" s="48"/>
    </row>
    <row r="226" spans="1:6" x14ac:dyDescent="0.25">
      <c r="A226" s="1" t="s">
        <v>244</v>
      </c>
      <c r="B226" s="17" t="s">
        <v>245</v>
      </c>
      <c r="C226" s="46" t="s">
        <v>59</v>
      </c>
      <c r="D226" s="47">
        <v>1</v>
      </c>
      <c r="E226" s="19">
        <v>0</v>
      </c>
      <c r="F226" s="20">
        <f>ROUND(D226*E226,2)</f>
        <v>0</v>
      </c>
    </row>
    <row r="227" spans="1:6" x14ac:dyDescent="0.25">
      <c r="A227" s="1" t="s">
        <v>246</v>
      </c>
      <c r="B227" s="17" t="s">
        <v>247</v>
      </c>
      <c r="C227" s="46" t="s">
        <v>59</v>
      </c>
      <c r="D227" s="47">
        <v>1</v>
      </c>
      <c r="E227" s="19">
        <v>0</v>
      </c>
      <c r="F227" s="20">
        <f>ROUND(D227*E227,2)</f>
        <v>0</v>
      </c>
    </row>
    <row r="228" spans="1:6" x14ac:dyDescent="0.25">
      <c r="A228" s="1" t="s">
        <v>248</v>
      </c>
      <c r="B228" s="17" t="s">
        <v>249</v>
      </c>
      <c r="C228" s="46" t="s">
        <v>59</v>
      </c>
      <c r="D228" s="47">
        <v>1</v>
      </c>
      <c r="E228" s="19">
        <v>0</v>
      </c>
      <c r="F228" s="20">
        <f>ROUND(D228*E228,2)</f>
        <v>0</v>
      </c>
    </row>
    <row r="229" spans="1:6" x14ac:dyDescent="0.25">
      <c r="C229" s="46"/>
      <c r="D229" s="48"/>
      <c r="E229" s="22" t="s">
        <v>76</v>
      </c>
      <c r="F229" s="20">
        <f>SUM(F226:F228)</f>
        <v>0</v>
      </c>
    </row>
    <row r="230" spans="1:6" x14ac:dyDescent="0.25">
      <c r="C230" s="46"/>
      <c r="D230" s="48"/>
    </row>
    <row r="231" spans="1:6" x14ac:dyDescent="0.25">
      <c r="A231" s="15" t="s">
        <v>250</v>
      </c>
      <c r="B231" s="16" t="s">
        <v>332</v>
      </c>
      <c r="C231" s="46"/>
      <c r="D231" s="48"/>
    </row>
    <row r="232" spans="1:6" ht="108" x14ac:dyDescent="0.25">
      <c r="B232" s="8" t="s">
        <v>251</v>
      </c>
      <c r="C232" s="46"/>
      <c r="D232" s="48"/>
    </row>
    <row r="233" spans="1:6" x14ac:dyDescent="0.25">
      <c r="A233" s="1" t="s">
        <v>252</v>
      </c>
      <c r="B233" s="17" t="s">
        <v>253</v>
      </c>
      <c r="C233" s="46" t="s">
        <v>59</v>
      </c>
      <c r="D233" s="47">
        <v>1</v>
      </c>
      <c r="E233" s="19">
        <v>0</v>
      </c>
      <c r="F233" s="20">
        <f>ROUND(D233*E233,2)</f>
        <v>0</v>
      </c>
    </row>
    <row r="234" spans="1:6" x14ac:dyDescent="0.25">
      <c r="A234" s="1" t="s">
        <v>254</v>
      </c>
      <c r="B234" s="17" t="s">
        <v>245</v>
      </c>
      <c r="C234" s="46" t="s">
        <v>59</v>
      </c>
      <c r="D234" s="47">
        <v>1.52</v>
      </c>
      <c r="E234" s="19">
        <v>0</v>
      </c>
      <c r="F234" s="20">
        <f>ROUND(D234*E234,2)</f>
        <v>0</v>
      </c>
    </row>
    <row r="235" spans="1:6" x14ac:dyDescent="0.25">
      <c r="A235" s="1" t="s">
        <v>255</v>
      </c>
      <c r="B235" s="17" t="s">
        <v>247</v>
      </c>
      <c r="C235" s="46" t="s">
        <v>59</v>
      </c>
      <c r="D235" s="47">
        <v>1</v>
      </c>
      <c r="E235" s="19">
        <v>0</v>
      </c>
      <c r="F235" s="20">
        <f>ROUND(D235*E235,2)</f>
        <v>0</v>
      </c>
    </row>
    <row r="236" spans="1:6" x14ac:dyDescent="0.25">
      <c r="A236" s="1" t="s">
        <v>256</v>
      </c>
      <c r="B236" s="17" t="s">
        <v>257</v>
      </c>
      <c r="C236" s="46" t="s">
        <v>59</v>
      </c>
      <c r="D236" s="47">
        <v>2.4300000000000002</v>
      </c>
      <c r="E236" s="19">
        <v>0</v>
      </c>
      <c r="F236" s="20">
        <f>ROUND(D236*E236,2)</f>
        <v>0</v>
      </c>
    </row>
    <row r="237" spans="1:6" x14ac:dyDescent="0.25">
      <c r="E237" s="22" t="s">
        <v>76</v>
      </c>
      <c r="F237" s="20">
        <f>SUM(F233:F236)</f>
        <v>0</v>
      </c>
    </row>
    <row r="239" spans="1:6" x14ac:dyDescent="0.25">
      <c r="A239" s="15" t="s">
        <v>258</v>
      </c>
      <c r="B239" s="16" t="s">
        <v>259</v>
      </c>
    </row>
    <row r="240" spans="1:6" ht="120" x14ac:dyDescent="0.25">
      <c r="B240" s="8" t="s">
        <v>260</v>
      </c>
    </row>
    <row r="241" spans="1:6" x14ac:dyDescent="0.25">
      <c r="A241" s="1" t="s">
        <v>261</v>
      </c>
      <c r="B241" s="17" t="s">
        <v>262</v>
      </c>
      <c r="C241" s="9" t="s">
        <v>59</v>
      </c>
      <c r="D241" s="18">
        <v>10</v>
      </c>
      <c r="E241" s="19">
        <v>15</v>
      </c>
      <c r="F241" s="20">
        <f>ROUND(D241*E241,2)</f>
        <v>150</v>
      </c>
    </row>
    <row r="242" spans="1:6" x14ac:dyDescent="0.25">
      <c r="A242" s="1" t="s">
        <v>263</v>
      </c>
      <c r="B242" s="17" t="s">
        <v>264</v>
      </c>
      <c r="C242" s="9" t="s">
        <v>59</v>
      </c>
      <c r="D242" s="18">
        <v>13</v>
      </c>
      <c r="E242" s="19">
        <v>11.5</v>
      </c>
      <c r="F242" s="20">
        <f>ROUND(D242*E242,2)</f>
        <v>149.5</v>
      </c>
    </row>
    <row r="243" spans="1:6" x14ac:dyDescent="0.25">
      <c r="E243" s="22" t="s">
        <v>76</v>
      </c>
      <c r="F243" s="20">
        <f>SUM(F241:F242)</f>
        <v>299.5</v>
      </c>
    </row>
    <row r="245" spans="1:6" x14ac:dyDescent="0.25">
      <c r="A245" s="15" t="s">
        <v>265</v>
      </c>
      <c r="B245" s="16" t="s">
        <v>266</v>
      </c>
    </row>
    <row r="246" spans="1:6" ht="158.25" customHeight="1" x14ac:dyDescent="0.25">
      <c r="B246" s="8" t="s">
        <v>267</v>
      </c>
    </row>
    <row r="247" spans="1:6" x14ac:dyDescent="0.25">
      <c r="A247" s="1" t="s">
        <v>268</v>
      </c>
      <c r="B247" s="17" t="s">
        <v>269</v>
      </c>
      <c r="C247" s="9" t="s">
        <v>59</v>
      </c>
      <c r="D247" s="18">
        <v>0.68</v>
      </c>
      <c r="E247" s="19">
        <v>19</v>
      </c>
      <c r="F247" s="20">
        <f>ROUND(D247*E247,2)</f>
        <v>12.92</v>
      </c>
    </row>
    <row r="248" spans="1:6" x14ac:dyDescent="0.25">
      <c r="A248" s="1" t="s">
        <v>270</v>
      </c>
      <c r="B248" s="17" t="s">
        <v>271</v>
      </c>
      <c r="C248" s="9" t="s">
        <v>59</v>
      </c>
      <c r="D248" s="18">
        <v>2.6</v>
      </c>
      <c r="E248" s="19">
        <v>15</v>
      </c>
      <c r="F248" s="20">
        <f>ROUND(D248*E248,2)</f>
        <v>39</v>
      </c>
    </row>
    <row r="249" spans="1:6" x14ac:dyDescent="0.25">
      <c r="E249" s="22" t="s">
        <v>76</v>
      </c>
      <c r="F249" s="20">
        <f>SUM(F247:F248)</f>
        <v>51.92</v>
      </c>
    </row>
    <row r="251" spans="1:6" x14ac:dyDescent="0.25">
      <c r="A251" s="15" t="s">
        <v>272</v>
      </c>
      <c r="B251" s="16" t="s">
        <v>273</v>
      </c>
    </row>
    <row r="252" spans="1:6" ht="72" x14ac:dyDescent="0.25">
      <c r="B252" s="8" t="s">
        <v>274</v>
      </c>
    </row>
    <row r="253" spans="1:6" x14ac:dyDescent="0.25">
      <c r="A253" s="1" t="s">
        <v>275</v>
      </c>
      <c r="B253" s="17" t="s">
        <v>53</v>
      </c>
      <c r="C253" s="9" t="s">
        <v>59</v>
      </c>
      <c r="D253" s="18">
        <v>23</v>
      </c>
      <c r="E253" s="19">
        <v>3</v>
      </c>
      <c r="F253" s="20">
        <f>ROUND(D253*E253,2)</f>
        <v>69</v>
      </c>
    </row>
    <row r="255" spans="1:6" x14ac:dyDescent="0.25">
      <c r="A255" s="15" t="s">
        <v>276</v>
      </c>
      <c r="B255" s="16" t="s">
        <v>277</v>
      </c>
    </row>
    <row r="256" spans="1:6" ht="84" x14ac:dyDescent="0.25">
      <c r="B256" s="8" t="s">
        <v>278</v>
      </c>
    </row>
    <row r="257" spans="1:6" x14ac:dyDescent="0.25">
      <c r="A257" s="1" t="s">
        <v>279</v>
      </c>
      <c r="B257" s="17" t="s">
        <v>53</v>
      </c>
      <c r="C257" s="9" t="s">
        <v>59</v>
      </c>
      <c r="D257" s="18">
        <v>23</v>
      </c>
      <c r="E257" s="19">
        <v>4</v>
      </c>
      <c r="F257" s="20">
        <f>ROUND(D257*E257,2)</f>
        <v>92</v>
      </c>
    </row>
    <row r="259" spans="1:6" x14ac:dyDescent="0.25">
      <c r="A259" s="15" t="s">
        <v>280</v>
      </c>
      <c r="B259" s="16" t="s">
        <v>333</v>
      </c>
    </row>
    <row r="260" spans="1:6" ht="139.5" customHeight="1" x14ac:dyDescent="0.25">
      <c r="B260" s="8" t="s">
        <v>281</v>
      </c>
    </row>
    <row r="261" spans="1:6" x14ac:dyDescent="0.25">
      <c r="A261" s="1" t="s">
        <v>282</v>
      </c>
      <c r="B261" s="17" t="s">
        <v>53</v>
      </c>
      <c r="C261" s="46" t="s">
        <v>88</v>
      </c>
      <c r="D261" s="47">
        <v>10</v>
      </c>
      <c r="E261" s="19">
        <v>0</v>
      </c>
      <c r="F261" s="20">
        <f>ROUND(D261*E261,2)</f>
        <v>0</v>
      </c>
    </row>
    <row r="264" spans="1:6" x14ac:dyDescent="0.25">
      <c r="A264" s="11" t="s">
        <v>140</v>
      </c>
      <c r="B264" s="52" t="s">
        <v>206</v>
      </c>
      <c r="C264" s="53"/>
      <c r="D264" s="54"/>
      <c r="E264" s="54"/>
      <c r="F264" s="25">
        <f>SUM(F160,F164,F174,F178,F179,F183,F187,F191,F196,F203,F210,F214,F218,F222,F229,F237,F243,F249,F253,F257,F261)</f>
        <v>3056.23</v>
      </c>
    </row>
    <row r="266" spans="1:6" x14ac:dyDescent="0.25">
      <c r="A266" s="14" t="s">
        <v>283</v>
      </c>
      <c r="B266" s="58" t="s">
        <v>334</v>
      </c>
      <c r="C266" s="59"/>
      <c r="D266" s="60"/>
      <c r="E266" s="60"/>
      <c r="F266" s="60"/>
    </row>
    <row r="268" spans="1:6" x14ac:dyDescent="0.25">
      <c r="A268" s="15" t="s">
        <v>284</v>
      </c>
      <c r="B268" s="16" t="s">
        <v>285</v>
      </c>
    </row>
    <row r="269" spans="1:6" ht="108" x14ac:dyDescent="0.25">
      <c r="B269" s="8" t="s">
        <v>286</v>
      </c>
    </row>
    <row r="270" spans="1:6" x14ac:dyDescent="0.25">
      <c r="A270" s="1" t="s">
        <v>287</v>
      </c>
      <c r="B270" s="17" t="s">
        <v>288</v>
      </c>
      <c r="C270" s="46" t="s">
        <v>59</v>
      </c>
      <c r="D270" s="47">
        <v>6.86</v>
      </c>
      <c r="E270" s="19">
        <v>0</v>
      </c>
      <c r="F270" s="20">
        <f>ROUND(D270*E270,2)</f>
        <v>0</v>
      </c>
    </row>
    <row r="271" spans="1:6" x14ac:dyDescent="0.25">
      <c r="A271" s="1" t="s">
        <v>289</v>
      </c>
      <c r="B271" s="17" t="s">
        <v>290</v>
      </c>
      <c r="C271" s="46" t="s">
        <v>59</v>
      </c>
      <c r="D271" s="47">
        <v>5.68</v>
      </c>
      <c r="E271" s="19">
        <v>0</v>
      </c>
      <c r="F271" s="20">
        <f>ROUND(D271*E271,2)</f>
        <v>0</v>
      </c>
    </row>
    <row r="272" spans="1:6" x14ac:dyDescent="0.25">
      <c r="C272" s="46"/>
      <c r="D272" s="48"/>
      <c r="E272" s="22" t="s">
        <v>76</v>
      </c>
      <c r="F272" s="20">
        <f>SUM(F270:F271)</f>
        <v>0</v>
      </c>
    </row>
    <row r="273" spans="1:6" x14ac:dyDescent="0.25">
      <c r="C273" s="46"/>
      <c r="D273" s="48"/>
    </row>
    <row r="274" spans="1:6" ht="24" x14ac:dyDescent="0.25">
      <c r="A274" s="15" t="s">
        <v>291</v>
      </c>
      <c r="B274" s="16" t="s">
        <v>292</v>
      </c>
      <c r="C274" s="46"/>
      <c r="D274" s="48"/>
    </row>
    <row r="275" spans="1:6" ht="96" x14ac:dyDescent="0.25">
      <c r="B275" s="8" t="s">
        <v>293</v>
      </c>
      <c r="C275" s="46"/>
      <c r="D275" s="48"/>
    </row>
    <row r="276" spans="1:6" x14ac:dyDescent="0.25">
      <c r="A276" s="1" t="s">
        <v>294</v>
      </c>
      <c r="B276" s="17" t="s">
        <v>53</v>
      </c>
      <c r="C276" s="46" t="s">
        <v>59</v>
      </c>
      <c r="D276" s="47">
        <v>20.37</v>
      </c>
      <c r="E276" s="19">
        <v>0</v>
      </c>
      <c r="F276" s="20">
        <f>ROUND(D276*E276,2)</f>
        <v>0</v>
      </c>
    </row>
    <row r="278" spans="1:6" x14ac:dyDescent="0.25">
      <c r="A278" s="14" t="s">
        <v>283</v>
      </c>
      <c r="B278" s="58" t="s">
        <v>295</v>
      </c>
      <c r="C278" s="59"/>
      <c r="D278" s="60"/>
      <c r="E278" s="60"/>
      <c r="F278" s="24">
        <f>SUM(F272,F276)</f>
        <v>0</v>
      </c>
    </row>
    <row r="281" spans="1:6" x14ac:dyDescent="0.25">
      <c r="A281" s="5" t="s">
        <v>27</v>
      </c>
      <c r="B281" s="55" t="s">
        <v>207</v>
      </c>
      <c r="C281" s="56"/>
      <c r="D281" s="57"/>
      <c r="E281" s="57"/>
      <c r="F281" s="26">
        <f>SUM(F117,F264,F278)</f>
        <v>63295.450000000004</v>
      </c>
    </row>
    <row r="284" spans="1:6" ht="14.4" x14ac:dyDescent="0.3">
      <c r="A284" s="28" t="s">
        <v>298</v>
      </c>
      <c r="B284" s="28"/>
      <c r="C284" s="28"/>
      <c r="D284" s="28"/>
      <c r="E284" s="29"/>
      <c r="F284" s="30"/>
    </row>
    <row r="285" spans="1:6" ht="13.2" x14ac:dyDescent="0.25">
      <c r="A285" s="31" t="s">
        <v>299</v>
      </c>
      <c r="B285" s="32"/>
      <c r="C285" s="33"/>
      <c r="D285" s="33"/>
      <c r="E285" s="33"/>
      <c r="F285" s="33"/>
    </row>
    <row r="286" spans="1:6" ht="13.2" x14ac:dyDescent="0.25">
      <c r="A286" s="34" t="s">
        <v>300</v>
      </c>
      <c r="B286" s="35"/>
      <c r="C286" s="35"/>
      <c r="D286" s="35"/>
      <c r="E286" s="35"/>
      <c r="F286" s="35"/>
    </row>
    <row r="287" spans="1:6" ht="13.2" x14ac:dyDescent="0.25">
      <c r="A287" s="34" t="s">
        <v>301</v>
      </c>
      <c r="B287" s="35"/>
      <c r="C287" s="35"/>
      <c r="D287" s="35"/>
      <c r="E287" s="35"/>
      <c r="F287" s="35"/>
    </row>
    <row r="288" spans="1:6" ht="13.2" x14ac:dyDescent="0.25">
      <c r="A288" s="34" t="s">
        <v>302</v>
      </c>
      <c r="B288" s="35"/>
      <c r="C288" s="35"/>
      <c r="D288" s="35"/>
      <c r="E288" s="35"/>
      <c r="F288" s="35"/>
    </row>
    <row r="289" spans="1:6" ht="13.2" x14ac:dyDescent="0.25">
      <c r="A289" s="36" t="s">
        <v>303</v>
      </c>
      <c r="B289" s="37"/>
      <c r="C289" s="37"/>
      <c r="D289" s="37"/>
      <c r="E289" s="37"/>
      <c r="F289" s="37"/>
    </row>
    <row r="290" spans="1:6" ht="14.4" x14ac:dyDescent="0.3">
      <c r="A290" s="38"/>
      <c r="B290" s="38"/>
      <c r="C290" s="38"/>
      <c r="D290" s="39"/>
      <c r="E290" s="40"/>
      <c r="F290" s="30"/>
    </row>
    <row r="291" spans="1:6" ht="14.4" x14ac:dyDescent="0.3">
      <c r="A291" s="38"/>
      <c r="B291" s="38"/>
      <c r="C291" s="38"/>
      <c r="D291" s="39"/>
      <c r="E291" s="40"/>
      <c r="F291" s="30"/>
    </row>
    <row r="292" spans="1:6" ht="14.4" x14ac:dyDescent="0.3">
      <c r="A292" s="41" t="s">
        <v>308</v>
      </c>
      <c r="B292" s="42"/>
      <c r="C292" s="42"/>
      <c r="D292" s="43"/>
      <c r="E292" s="43" t="s">
        <v>304</v>
      </c>
      <c r="F292" s="30"/>
    </row>
    <row r="293" spans="1:6" ht="14.4" x14ac:dyDescent="0.3">
      <c r="A293" s="44" t="s">
        <v>305</v>
      </c>
      <c r="B293" s="44"/>
      <c r="C293" s="45"/>
      <c r="D293" s="43"/>
      <c r="E293" s="43" t="s">
        <v>306</v>
      </c>
      <c r="F293" s="30"/>
    </row>
  </sheetData>
  <protectedRanges>
    <protectedRange sqref="E285:E289 D292:E293" name="Range1_1_1_7_1"/>
  </protectedRanges>
  <mergeCells count="14">
    <mergeCell ref="B115:E115"/>
    <mergeCell ref="B8:F8"/>
    <mergeCell ref="B24:F24"/>
    <mergeCell ref="B30:F30"/>
    <mergeCell ref="B101:E101"/>
    <mergeCell ref="B103:F103"/>
    <mergeCell ref="B264:E264"/>
    <mergeCell ref="B281:E281"/>
    <mergeCell ref="B266:F266"/>
    <mergeCell ref="B278:E278"/>
    <mergeCell ref="B117:E117"/>
    <mergeCell ref="B120:F120"/>
    <mergeCell ref="B126:F126"/>
    <mergeCell ref="B160:E160"/>
  </mergeCells>
  <pageMargins left="0.6" right="0.6" top="0.75" bottom="0.75" header="0.3" footer="0.3"/>
  <pageSetup paperSize="9"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1" manualBreakCount="1">
    <brk id="119"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431a5ee93854b27944054346f0b25a8a">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1e05be92481b3b8621a13a8b50557f24"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F28BB3C8-105F-46CD-98C1-C6C52BCB5DCF}"/>
</file>

<file path=customXml/itemProps2.xml><?xml version="1.0" encoding="utf-8"?>
<ds:datastoreItem xmlns:ds="http://schemas.openxmlformats.org/officeDocument/2006/customXml" ds:itemID="{088F31B2-9BCE-4C29-B875-47AF53D05013}"/>
</file>

<file path=customXml/itemProps3.xml><?xml version="1.0" encoding="utf-8"?>
<ds:datastoreItem xmlns:ds="http://schemas.openxmlformats.org/officeDocument/2006/customXml" ds:itemID="{851F3E59-7BBA-45FD-8A55-79EC86D26A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2</vt:i4>
      </vt:variant>
      <vt:variant>
        <vt:lpstr>Imenovani rasponi</vt:lpstr>
      </vt:variant>
      <vt:variant>
        <vt:i4>2</vt:i4>
      </vt:variant>
    </vt:vector>
  </HeadingPairs>
  <TitlesOfParts>
    <vt:vector size="4" baseType="lpstr">
      <vt:lpstr>NASLOVNICA</vt:lpstr>
      <vt:lpstr>3. KROVOPOKRIVAČKI I LIMARSKI R</vt:lpstr>
      <vt:lpstr>'3. KROVOPOKRIVAČKI I LIMARSKI R'!Ispis_naslova</vt:lpstr>
      <vt:lpstr>'3. KROVOPOKRIVAČKI I LIMARSKI R'!Podrucje_ispisa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KORISNIK</cp:lastModifiedBy>
  <dcterms:created xsi:type="dcterms:W3CDTF">2025-05-21T08:32:32Z</dcterms:created>
  <dcterms:modified xsi:type="dcterms:W3CDTF">2025-06-03T11:11:10Z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ies>
</file>
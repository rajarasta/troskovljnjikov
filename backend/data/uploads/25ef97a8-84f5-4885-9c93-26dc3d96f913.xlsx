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3bengineering.sharepoint.com/sites/3B--Share/Shared Documents/3B-Share/AKTIVNI PROJEKTI/2025/08-25 EUROSPIN - SAVSKA OPATOVINA/3. TROŠKOVNICI/03 UPITI I PONUDE/0_Ivana Radno/Prijedlog cijena/09_Limarski/"/>
    </mc:Choice>
  </mc:AlternateContent>
  <xr:revisionPtr revIDLastSave="0" documentId="8_{6AABEB92-C113-4CD2-AF33-25A59D6D3F7A}" xr6:coauthVersionLast="47" xr6:coauthVersionMax="47" xr10:uidLastSave="{00000000-0000-0000-0000-000000000000}"/>
  <bookViews>
    <workbookView xWindow="14295" yWindow="0" windowWidth="14610" windowHeight="15585" activeTab="2" xr2:uid="{014931E9-0222-45A8-98FB-F3C5FFA20B6D}"/>
  </bookViews>
  <sheets>
    <sheet name="NASLOVNICA" sheetId="1" r:id="rId1"/>
    <sheet name="OPĆI UVJETI" sheetId="2" r:id="rId2"/>
    <sheet name="3. KROVOPOKRIVAČKI I LIMARSKI R" sheetId="3" r:id="rId3"/>
  </sheets>
  <definedNames>
    <definedName name="_xlnm._FilterDatabase" localSheetId="2" hidden="1">'3. KROVOPOKRIVAČKI I LIMARSKI R'!$D$1:$D$81</definedName>
    <definedName name="_xlnm.Print_Area" localSheetId="2">'3. KROVOPOKRIVAČKI I LIMARSKI R'!$A$4:$F$81</definedName>
    <definedName name="_xlnm.Print_Titles" localSheetId="2">'3. KROVOPOKRIVAČKI I LIMARSKI R'!18:18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9" i="3" l="1"/>
  <c r="F77" i="3"/>
  <c r="F72" i="3"/>
  <c r="F71" i="3"/>
  <c r="F63" i="3"/>
  <c r="F59" i="3"/>
  <c r="F58" i="3"/>
  <c r="F53" i="3"/>
  <c r="F52" i="3"/>
  <c r="F51" i="3"/>
  <c r="F50" i="3"/>
  <c r="F49" i="3"/>
  <c r="F32" i="3"/>
  <c r="F35" i="3" s="1"/>
  <c r="F73" i="3" l="1"/>
  <c r="F79" i="3" s="1"/>
  <c r="F81" i="3" s="1"/>
  <c r="F54" i="3"/>
  <c r="F65" i="3" s="1"/>
</calcChain>
</file>

<file path=xl/sharedStrings.xml><?xml version="1.0" encoding="utf-8"?>
<sst xmlns="http://schemas.openxmlformats.org/spreadsheetml/2006/main" count="178" uniqueCount="158">
  <si>
    <t>ESSO - troškovnik GO</t>
  </si>
  <si>
    <t>Razina razrade:</t>
  </si>
  <si>
    <t xml:space="preserve">IZVEDBENI ARHITEKTONSKI PROJEKT </t>
  </si>
  <si>
    <t>Projektirani dio građevine:</t>
  </si>
  <si>
    <t xml:space="preserve">TROŠKOVNIK GRAĐEVINSKO-OBRTNIČKIH RADOVA
</t>
  </si>
  <si>
    <t>ZOP:</t>
  </si>
  <si>
    <t>PBV-1/25</t>
  </si>
  <si>
    <t>Mapa:</t>
  </si>
  <si>
    <t xml:space="preserve">1/7 - DIO 2
</t>
  </si>
  <si>
    <t>Građevina:</t>
  </si>
  <si>
    <t xml:space="preserve">REKONSTRUKCIJA POSTOJEĆE POSLOVNE GRAĐEVINE TRGOVAČKE I UREDSKE NAMJENE – TRGOVAČKI CENTAR EUROSPIN
</t>
  </si>
  <si>
    <t>Lokacija građevine:</t>
  </si>
  <si>
    <t xml:space="preserve">Ulica Savska Opatovina, Zagreb
k.č. 3015/3 k.o. Stenjevec jug
</t>
  </si>
  <si>
    <t>Investitor:</t>
  </si>
  <si>
    <t xml:space="preserve">EUROSPIN HRVATSKA d.o.o.
Rijeka, Jelačićev trg 7
OIB 62357811032
</t>
  </si>
  <si>
    <t>Projektantski ured:</t>
  </si>
  <si>
    <t xml:space="preserve">Projektni biro Vinski d.o.o.
Ulica Ljudevita Šestića 4, 47000 Karlovac
OIB 02717113070
</t>
  </si>
  <si>
    <t>Broj tehničkog dnevnika:</t>
  </si>
  <si>
    <t xml:space="preserve">1/25
</t>
  </si>
  <si>
    <t>Glavni projektant:</t>
  </si>
  <si>
    <t xml:space="preserve">Silva Grubešić Horvat, dipl.ing.arh., A 2191
</t>
  </si>
  <si>
    <t>Projektrant arhitektonskog projekta:</t>
  </si>
  <si>
    <t xml:space="preserve">Ruža Salopek, dipl.ing.arh., A 274
</t>
  </si>
  <si>
    <t>Direktor:</t>
  </si>
  <si>
    <t xml:space="preserve">Mladen Vinski, dipl.ing.geod.
</t>
  </si>
  <si>
    <t>Mjesto i datum izrade:</t>
  </si>
  <si>
    <t>Karlovac, 5.5.2025.</t>
  </si>
  <si>
    <t>OPĆI UVJETI</t>
  </si>
  <si>
    <t>OPĆI OPIS UZ TROŠKOVNIK
Izvođač je dužan prije početka radova sprovesti sve pripremne radove da se izvođenje može nesmetano odvijati. U tu svrhu izvođač je dužan detaljno proučiti investiciono tehničku dokumentaciju te izvršiti potrebne računske kontrole. Potrebno je proučiti sve tehnologije izvedbe pojedinih radova radi optimalne organizacije građenja, nabavke materijala, kalkulacije i sl.
Izvođač i njegovi kooperanti dužni su svaki dio investiciono tehničke dokumentacije pregledati, te dati primjedbe na eventualne tehničke probleme koji bi mogli prouzročiti slabiju kvalitetu, postojanost ugrađenih elemenata ili druge štete. U protivnom biti će dužan ovakve štete sanirati o svom trošku. Naročitu pažnju kod toga treba posvetiti usuglašavanju građevinskih i instalaterskih nacrta. Ako ustanovi neke razlike u mjerama, nedostatke ili pogreške u podlogama, dužan je pravovremeno obavijestiti nadzornog inženjera i odgovornog projektanta, te zatražiti rješenja.
Prije davanja ponude ponuditelj može obići i detaljno pregledati lokaciju i zgradu koja je predmet nabave. Neovisno o tome je li ponuditelj obišao lokaciju i zgradu, Naručitelj će smatrati da je ponuditelj obišao i detaljno pregledao istu (zonu obuhvata) i pripadajuće područje te da je dobro upoznat sa svim uvjetima, faktorima i resursima u odnosu i u svezi s lokacijom ili s onim što može utjecati na izvršenje radova, te da je na temelju navedenoga ponudio svoju ponudu. Stoga, odabrani ponuditelj kasnije nema pravo zahtijevati povećanje cijene ili drugu naknadu, pozivajući se da u vrijeme davanja ponude nije bio upoznat sa svim okolnostima vezanim uz lokaciju i predmetnu zgradu.
Ako tijekom gradnje dođe do promjena, treba prije početka rada tražiti suglasnost nadzornog inženjera, projektanta konstrukcije, i predstavnika nadležnog Konzervatorskog odjela te sve to unijeti u građevinski dnevnik uz ovjeru nadzornog inženjera. Odnosno, sve izmjene trebaju biti ugovorene u skladu sa Zakonom o javnoj nabavi (NN 120/16, 114/22). Sve više radnje do kojih dođe uslijed promjene načina ili</t>
  </si>
  <si>
    <t>opsega izvedbe, a nisu na spomenuti način utvrđene, upisane i ovjerene, neće se priznati u obračunu.
Prilikom uvođenja u posao izvođač je dužan dostaviti detaljni operativni plan izvođenja radova i shemu organizacije gradilišta.
Sve radove izvesti od materijala propisane kvalitete prema nacrtima, opisu, detaljima, pismenim i usmenim dogovorima, ali sve u okviru ponuđene jedinične cijene. Sve štete učinjene prigodom rada na vlastitim ili tuđim radovima i materijalima imaju se ukloniti na račun počinitelja.
Svi nekvalitetni radovi i materijali imaju se otkloniti i zamijeniti ispravnima bez bilokakve obveze za odštetu od strane investitora.
Ako opis koje stavke dovodi izvođača u sumnju o načinu izvedbe treba pravovremeno prije predaje ponude tražiti objašnjenje: naknadni se prigovori neće uvažiti. Eventualne izmjene materijala, te načina izvedbe tokom gradnje, moraju se izvršiti isključivo pismenim dogovorom s projektantom i nadzornim inženjerom.
Pri eventualnim razlikama u opisima radova i materijala između troškovnika i projekta, projekt ima mjerodavnost, uz obaveznu konzultaciju s projektantom.
Jedinična cijena sadrži sve nabrojeno kod opisa pojedine grupe radova, te se na taj način vrši i obračun istih. Jedinične cijene primjenjivat će se na izvedene količine bez obzira u kojem postotku iste odstupaju od količine u troškovniku.
Ukoliko investitor odluči da se neki rad ne izvodi, izvođač nema pravo na odštetu, ako mu je investitor pravovremeno o tome dao obavijest.</t>
  </si>
  <si>
    <t>Izvedeni radovi moraju u cijelosti odgovarati opisu u troškovniku, a u tu svrhu investitor traži prije početka radova uzorke, te izvedeni radovi moraju istima u cijelosti odgovarati.
Prije davanja ponude izvođač je dužan pregledati gradilište te se upoznati sa svim uvjetima koji utječu na davanje ponude i izvođenje. Sve mjere i kote iz projekta provjeriti u naravi. Izvođač radova dužan je prije početka radova kontrolirati kote postojećeg stanja građevine i okoliša. Ukoliko se ukažu eventualne nejednakosti između projekta i stanja na gradilištu, izvođač radova dužan je blagovremeno o tome obavijestiti investitora i projektanta i zatražiti pojedina objašnjenja.
Sva kontrola vrši se bez posebne naplate.
Uređenje gradilišta dužan je izvođač izvesti prema shemi organizacije gradilišta koju je obavezan dostaviti uz ponudu. U organizaciji gradilišta izvođač je dužan uz ostalo posebno predvidjeti:
- 	prostorije za svoje kancelarije,
- 	gradilište osigurati ogradom ili drugim posebnim elementima za sigurnost ljudi i zaštitu prometa i objekata,
- 	postaviti natpisnu ploču od cca 3,5 x 2,5 metra,
- 	postaviti potreban broj urednih skladišta, pomoćnih radnih prostorija, nadstrešnica, odrediti i urediti prometne i parkirne površine za radne i teretne automobile, opremu, građevinske strojeve i sl., te opremu i objekte za rastresiti i habasti građevinski materijal,
- 	Izvođač je dužan gradilište sa svim prostorijama i cijelim inventarom redovito održavati i čistiti,
- 	Sve materijale izvođač mora redovito i pravovremeno dobaviti da ne dođe do bilo kakvog zastoja gradnje,
- 	U kalkulacije izvođač mora prema ponuđenim radovima uračunati ili posebno ponuditi eventualne zaštite za zimski period građenja, kišu ili sl.</t>
  </si>
  <si>
    <t>- 	Izvođač je dužan svu površinsku vodu u granicama gradilišta na svim nižim nivoima redovito odstranjivati odnosno nasipavati,
- 	Na gradilištu mora postojati permanentna čuvarska služba za cijelo vrijeme trajanja gradnje također uračunata u faktor,
- 	Gradilište mora biti po noći dobro osvijetljeno,
- 	Sve otpadne materijale (šuta, lomovi, mort, ambalaža i sl.) treba odmah odvesti. Troškove treba ukalkulirati u režiju i faktor. Ukoliko se isti neće izvršavati investitor ima pravo čišćenja i odvoz otpada povjeriti drugome, a na teret izvođača radova,
- 	Izvođač je dužan uz shemu organizacije gradilišta dostaviti i spisak sve mehanizacije i opreme koja će biti na raspolaganju gradilišta, te satnice za rad i upotrebu svakog stroja,
- 	Izvođač je dužan bez posebne naplate osigurati investitoru i projektantu potrebnu pomoć kod obilaska gradilišta i nadzora, uzimanju uzoraka i sl., potrebnim pomagalima i ljudima,
- 	Na gradilištu moraju biti poduzete sve HTZ mjere prema postojećim propisima.
Izvođač je dužan po završetku radova gradilište kompletno očistiti, skinuti i odvesti sve nasipe, betonske podloge, temelje strojeva, radnih i pomoćnih prostorija i drugo do zdrave zemlje da se može pristupiti hortikulturnom uređenju.
Jediničnom cijenom treba obuhvatiti sve elemente navedene kako slijedi:
a) Materijal
Pod materijalom podrazumijevaju se svi materijali koji sudjeluju u radnom procesu: kako osnovni materijali, tako i materijali koji ne spadaju u finalni produkt već su samo kao pomoćni. U cijenu je uključena i cijena transportnih troškova bez obzira na prijevozno sredstvo, sa svim prijenosima, utovarima i istovarima, te posizanjima na mjesto ugradbe, kao i uskladištenje i čuvanje na gradilištu od uništenja</t>
  </si>
  <si>
    <t>(prebacivanje, zaštita i sl.). U cijenu je također uključeno i davanje potrebnih uzoraka kod materijala završne obrade (prema zahtjevu projektanta i/ili investitora), te svi potrebni certifikati (atesti).
b) Rad
U kalkulaciju treba uključiti sav rad, kako glavni, tako i pomoćni, te sav unutrašnji transport (kako horizontalni tako i vertikalni). Ujedno treba uključiti i rad oko zaštite gotovih konstrukcija i dijelova objekta od štetnog atmosferskog utjecaja vrućine, hladnoće i sličnog. Sva potrebna čišćenja, kod svih građevinskih i obrtničkih radova, u toku izvođenja, dnevno (nakon završetka rada) uključiti u jedinične cijene stavki, tj, neće se posebno plaćati.
c) Izmjere
Ukoliko nije u pojedinoj stavci dat način rada, ima se izvođač u svemu pridržavati propisa HRN-a za pojedinu vrstu rada, prosječnih normi u građevinarstvu (izdanje iz 1980. godine), uputa proizvođača materijala koji se upotrebljava ili ugrađuje, te uputa nadzorne službe naručitelja.
Građevinska knjiga, za sve izvedene radove, treba prilikom izrade situacija biti priložena.
Građevinska knjiga sadrži sve nacrte, skice i dokaznice za izvedene radove, koji su ujedno i prilog situaciji. Samo potpisana građevinska knjiga, ovjerena od strane nadzorne službe naručitelja, bit će podloga za izradu situacije.
d) Zimski i ljetni rad</t>
  </si>
  <si>
    <t>Ukoliko je u ugovoreni termin izvršenja radova uključen i zimski, odnosno ljetni period, to se neće izvođaču priznati nikakve naknade za rad pri niskoj, odnosno visokoj temperaturi, te zaštita konstrukcija od smrzavanja, vrućine i atmosferskih nepogoda: sve to mora biti uključeno u jediničnu cijenu.
Za vrijeme zimskih, odnosno ljetnih razdoblja izvođač ima štititi objekt od smrzavanja, odnosno od prebrzog sušenja uslijed visokih ljetnih temperatura.
U slučaju eventualno nastalih šteta (smrzavanja dijelova) izvođač ih ima otkloniti bez bilo kakve naplate. Ukoliko je temperatura niža od temperature pri kojoj je dozvoljen dotični rad, izvođač snosi punu odgovornost za ispravnost i kvalitetu rada.
Analogno vrijedi i za zaštitu radova tokom ljeta od prebrzog sušenja uslijed visoke temperature.
e) Cijene
U jediničnu cijenu rada izvođač treba obuhvatiti i slijedeće radove, koji se neće zasebno platiti kao naknadni rad, i to:
- kompletnu režiju gradilišta uključujući dizalice, mostove, mehanizaciju i/ili sl;
- organizaciju prostorija i uvjeta zaštite na radu, zaštite od požara, te komfora i higijene zaposlenih;
- najamne troškove za posuđenu mehanizaciju, koju izvođač sam ne posjeduje, a potrebna je pri izvođenju radova;
- sve troškove utroška vode, električne energije i svih drugih energenata;
- nalaganje temelja prije iskopa;
- čišćenje ugrađenih elemenata od žbuke i/ili sl;</t>
  </si>
  <si>
    <t>- sva ispitivanja materijala i ishođenje atesta (certifikata);
- ispitivanja dimnjaka i ventilacija u svrhu dobivanja potvrde od dimnjačara o ispravnosti istih;
- čuvanje radilišta i gradilišta;
- uređenje gradilišta po završetku rada, s otklanjanjem i odvozom otpadaka, šute, ostataka građevinskog materijala, inventara, pomoćnih objekata i/ili sl, s planiranjem terena na relativnu točnost od  3 cm;
- uskladištenje materijala i elemenata za obrtničke i instalaterske radove do njihove ugradbe;
- osiguranje radova kod osiguravajućeg društva.
Nikakvi režijski sati niti posebne naplate po navedenim radovima neće se posebno priznati, jer sve ovo ima biti uključeno u jediničnu cijenu. Prema ovom uvodu, opisu stavaka i grupi radova treba sastaviti jediničnu cijenu za svaku stavku troškovnika.
f) Skele
Sve vrste radnih skela, bez obzira na visinu, ulaze u jediničnu cijenu dotičnog rada (osim gdje je posebno specificirana).
g) Ponude
Pod dobavom se podrazumijeva sav glavni (osnovni) materijal, sa svim transportima (fco gradilište, bez obzira na prijevozno sredstvo, svi utovari i istovari) i zavisnim troškovima.
Pod ugradbom se podrazumijeva sav rad potreban za ugradbu, sa svim pomoćnim i veznim materijalima (ljepila, mortovi, vijci, kitovi i sl.),</t>
  </si>
  <si>
    <t>sav unutrašnji transport, te ostalo navedeno pod odrednicom b) Rad.
h) Ostalo
U jedinične cijene stavki imaju biti uračunati svi radovi i potrebni materijali (eventualno ne specificirani posebno u samom troškovniku), a koji su potrebni za potpuno dovršenje građevine, tj. dovođenje u stanje "potpuno spremno za uporabu". Svi takovi radovi imaju biti uračunati u jedinične cijene, tj. neće se posebno plaćati.
Prije početka izvođenja radova ponuđač/izvođač je dužan izvršiti sve potrebne konzultacije i dogovore s investitorom vezano za funkciju građevine, parcele i/ili sl.
Izvedba i obrada materijalima, tonovima i nijansama u svemu strogo prema zahtjevima i po uputama nadležne konzervatorske ustanove (Uprava za zaštitu kulturne baštine, Konzervatorski odjel u Karlovcu) i projektanta.
Obaveza je izvođača provjeriti količine potrebnih materijala (prema projektu, nacrtima, detaljima, izmjeri i stanju na gradilištu i sl.), te naručiti i dobaviti potreban materijal prema vlastitom izračunu, izmjeri, procjeni i stvarnom stanju na gradilištu (ne prema količinama iz ovog troškovnika).
Ovi "Opći uvjeti" i sve “Napomene” (obračunsko-tehnički uvjeti i specifikacije) uz pojedine radove sastavni su dio troškovnika.</t>
  </si>
  <si>
    <t>DEMONTAŽE I RUŠENJA
Prilikom rušenja postojeće konstrukcije izvođač se mora u potpunosti pridržavati pravilnika o zaštiti na radu u građevinarstvu. Posebnu pažnju posvetiti izradi i postavi podupirača, tako da se ne ugrožavaju dijelovi zidova koji će se sanirati i uključiti u konstruktivni sistem obnovljene građevine.
Rušenja i demontaže mogu započeti tek nakon što se izvrše sve potrebne pripreme.
Voditi računa da se rušenja izvrše tako da se podiže što manje prašine (npr. dijelove koji se ruše vlažiti vodom, odvajati pregradama [juta, umjetni materijali i/ili folije, OSB ploče i/ili sl.] od okolnog prostora i/ili slično).
Prije početka izvođenja radova ponuđač/izvođač je dužan izvršiti sve potrebne konzultacije i dogovore s investitorom vezano za funkciju građevine, te organizirati radove na način da zgrada i dijelovi zgrade na kojima se izvode radovi (prema potrebi i zahtjevima investitora i/ili sl.) bude djelomično ili u potpunosti u funkciji.
Obzirom da se radovi izvode na dijelovima konstrukcija, zidnih ispuna i/ili sl, u postojećem urbanistički organiziranom i definiranom ambijentu, na građevini koja je u funkciji, u jedinične cijene stavki uključiti sve potrebne materijale, radove i konstrukcije za zaštitu postojećih elemenata i dijelova zgrada i/ili okoliša, bez posebne napomene. Sva oštećenja građevinskih elemenata (konstrukcija, pod, zid, strop, vrata, prozori, fasada, krov, okoliš, oprema i sl.), materijala završne obrade i sl, koji nisu u zoni zahvata radova, padaju na teret izvođača radova koji ih je prouzročio.</t>
  </si>
  <si>
    <t>Sve radove rušenja i demontaža izvesti pažljivo, kako bi se izbjegla nepotrebna oštećenja obodnih konstrukcija i građevinskih elemenata, te kako bi se zdrave i neoštećene i/ili restaurirane dijelove eventualno ponovno ugradilo, a sve prema preporukama, uputama, zahtjevima i odlukama nadzorne službe, investitora, projektanta i/ili sl.
Opći uvjeti mijenjaju se ili nadopunjuju opisom pojedine stavke troškovnika.
ZEMLJANI RADOVI
Sve iskope za temelje i/ili sl. izvesti točno prema projektu.
Predviđenu kategoriju tla u troškovniku izvođač treba provjeriti na licu mjesta. Ukoliko kategorija u troškovniku ne odgovara, ustanoviti ispravnu i to unjeti u građevinski dnevnik, a što obostrano potpisuju nadzorni inženjer i rukovodilac gradnje te zajedno sa projektantom (statičarom) izvršiti korekciju dimenzija temelja. Za sve štete koje bi nastale uslijed pogrešnog temeljenja odgovoran je izvođač.
Kod zatrpavanja nakon iskopa temelja treba materijal (za zatrpavanje) polijevati, kako bi se mogao bolje nabiti i kako bi se dobila potrebnu zbijenost. Nabijanje izvesti u slojevima debljine do najviše 30 cm, s vibro-nabijačima ili „žabama“.
Po završetku gradnje izvršiti zatrpavanje depresija i jama, uklanjanje svega nepotrebnog sa gradilišta, planiranje terena i/ili sl. Sve ovo uključiti u faktor u okviru režije gradilišta, jer se neće plaćati posebno.
Višak materijala, koji ne treba za zatrpavanje uokolo objekta i sl, utovariti u prijevozno sredstvo i odvesti na gradilišnu planirku, odakle će se ponovno upotrijebiti za ugradbu.</t>
  </si>
  <si>
    <t>Prevoženi materijal računa se u sraslom stanju, dok se postotak za rastresitost ukalkulira u cijeni.
Za nasipni sloj ispod betonskih podloga upotrijebiti šljunak koji nema frakcije sitnije od 10 mm. Može se upotrijebiti i tucanik veličine 10-80 mm. Sloj podloge šljunka ili tucanika treba fino isplanirati i nabiti. Kod slučaja gdje je za nasipavanje potrebno dovesti materijal iz pozajmišta, jediničnom cijenom treba obuhvatiti i otvaranje pozajmišta.
Obračun se vrši prema normama GN-200 ili jednakovrijedno.
Jedinična cijena za pojedinu stavku treba sadržavati:
- sav rad za iskop;
- potrebne razupore za duboke rovove, podupore i mostove za prebacivanje;
- nalaganje podruma i temelja;
- kod izvedbe nasipa uključivo nabijanje laganim nabijačima i polijevanje vodom;
- vartikalno zasijecanje stijena kod iskopa temelja radi betoniranja istih;
- odvodnja oborinske vode iz građevne jame;
- kod dovoza zemlje iz pozajmišta uključivo iskop sa prevozom, utovarom i istovarom;
- sav potreban materijal za iskope viših kategorija terena (eksploziv, kapisle, korda i/ili sl.).
Obračun iskopanog materijala izvršiti po m3 u sraslom stanju, s time što količina iskopa mora biti jednaka zbroju količina ugradbe i odvoza, odnosno dovoza materijala.
Opći uvjeti mijenjaju se ili nadopunjuju opisom pojedine stavke troškovnika.</t>
  </si>
  <si>
    <t>BETONSKI I ARMIRANO-BETONSKI RADOVI
Betonske i armirano betonske radove izvesti prema opisu u troškovniku, te u skladu s važećim normama za armirane i nearmirane betone, prema Tehničkom propisu za građevinske konstrukcije (NN 17/17, 75/20, 7/22).
Sav materijal za izradu betona mora zadovoljavati odgovarajuće propise:
- portland cement HRN B.C1.011 ili jednakovrijedno;
- bijeli portland cement HRN B.C1.099 ili jednakovrijedno;
- sulfatnootporni cement HRN B.C1.014 ili jednakovrijedno;
- agregat HRN B.B3.100, B2.010 ili jednakovrijedno;
- voda HRN U.M1.058 ili jednakovrijedno;
- dodaci betonu HRN.U.M1.035, 037 ili jednakovrijedno ;
- lagani agregati za beton (termoizolacioni) HRN.U.M4.021, 023 ili jednakovrijedno;
- agregat za lagani beton za konstrukciju HRN U.M4.022 ili jednakovrijedno;
- betonske podloge za monolitne podove HRN U.F2.033 ili jednakovrijedno;
- bet. plivajuće podloge HRN U.F2.020 ili jednakovrijedno;
- ispitivanje vodonepropusnosti HRN U.M1.015 ili jednakovrijedno;
- ispitivanje utjecaja dodataka na koroziju armature HRN U.M1.044 ili jednakovrijedno;</t>
  </si>
  <si>
    <t>- ispitivanje utjecaja dodataka na osobine betona HRN U.M1.036 ili jednakovrijedno;
- transportirani beton HRN U.M1.045 ili jednakovrijedno.
Pri betoniranju jedne cjelovite betonske, odnosno arm. bet. konstrukcije upotrijebiti isključivo jednu vrstu cementa.
Izvođač je dužan dati na ispitivanje betonske uzorke, prema Pravilniku o tehničkim mjerama, bez posebne naplate.
Šljunak mora imati propisani granulometrijski sastav, bez organskih primjesa. Za nosive konstrukcije upotrebljava se agregat u granulacijama, osim iznimaka predviđenih u Pravilniku. Ovo se sve analogno odnosi na tucanik i na drobljenac.
Beton se mora miješati strojno (spravljati u automatskoj betonari) i to za sve betonske i arm. bet. konstrukcije. Ručno je dozvoljeno miješati jedino male količine nekonstruktivnih dijelova na objektu. Marke betona određuju se prema proračunu.
Nabijeni beton se betonira u slojevima od cca 15,0 cm (treba ga dobro nabijati), a prekide u slojevima vršiti stepenasto. Prekide betoniranja mora odobriti statičar, kao i način izvedbe prekida. Kod betoniranja konstrukcije nakon prekida, prvo treba spojeve očistiti, površinu ohrapaviti, isprati, premazati SN-vezom, a potom betonirati.
Beton treba njegovati i štititi, dok nije vezao (u prvih 7 dana), od djelovanja atmosferskih i temperaturnih utjecaja. Za vrijeme ljeta treba ga dobro polijevati vodom (kako ne bi na površini nastalo sušenje prije vezivanja), od djelovanja kiše treba ga pokriti, a u zimi od smrzavanja treba ga štititi slojem pijeska ili na koji drugi način (izolacija).
Sve eventualno ispucane, nepravilne i deformirane dijelove konstrukcije ukloniti i zamijeniti novima, bez prava naplate. Kod betoniranja kompliciranih i statički važnih konstrukcija, treba prethodno pozvati statičara da pregleda armaturu.
Odstupanja od dimenzija gotovih elemenata koji se ne žbukaju moraju biti unutar 1 0/00, u bilo kojem smjeru, za jednu etažu. Za žbukane dijelove odstupanja mogu biti maksimalno 0,5 % na etažu. Troškovi sanacije dijelova izvedenih van ovih kriterija padaju na teret izvođača. Nadzorni inženjer ima pravo izvršiti izvanredno ispitivanje betona, tj. uzeti seriju kocaka i dati ih na ispitivanje.</t>
  </si>
  <si>
    <t>U cijenu uračunati svu potrebnu skelu sa prilazima, mostovima i sl, za potrebe betoniranja.
Obračun se vrši prema normama GN 400-1 ili jednakovrijedno.
Jedinična cijena betonskih i armirano betonskih radova sadržava:
- dobavu sveg potrebnog materijala sa transportom na gradilište;
- sav potreban rad uključujući unutrašnji transport;
- zaštitu betonskih i arm. bet. konstrukcija od djelovanja atmosferilija i temperaturnih utjecaja;
- sve potrebne skele, uključujući podupiranje, učvršćenje, prilaze, mostove itd, te skidanje oplate (koje nisu obuhvaćene tesarskim radovima i/ili sl.);
- ubacivanje betona u oplatu;
- vlaženje i premazivanje oplate i mazanje kalupa;
- primjenu mjera zaštite na radu i korištenje osobne zaštitne opreme;
- dovođenje vode, plina i struje od priključaka na gradilištu do mjesta potrošnje;
- isporuka pogonskog materijala;
- čišćenje nakon završenih radova;
- popravak neravnina na elementima u glatkoj oplati;
- zatvaranje rupa, otvora , montažnih spojeva, šliceva oko instalacija i/ili sl.
Opći uvjeti mijenjaju se ili nadopunjuju opisom pojedine stavke troškovnika.</t>
  </si>
  <si>
    <t>ARMIRAČKI RADOVI
Armiračke radove izvesti prema Tehničkom propisu za građevinske konstrukcije (NN 17/17, 75/20, 7/22), te u skladu s važećim normama za armaturu:
- zavarene mreže HRN U.M1.091 ili jednakovrijedno;
- čelična žica za zavarene armature HRN C.B6.013 ili jednakovrijedno;
- vruće vučeni betonski čelici HRN C.K6.020 ili jednakovrijedno;
- hladno vučeni betonski čelici HRN C.K6.021 ili jednakovrijedno;
- BI armatura HRN U.M1.092 ili jednakovrijedno;
- čelici za prednaprezanje HRN C.K6.033, 034, 035, 036, 037 ili jednakovrijedno.
Željezo se upotrebljava sukladno slijedećim oznakama:
- rebrasti čelik 					B-400;
- armaturna mreža 				B-500.
Zbog lakšeg snalaženja navode se i stare oznake armaturnog željeza:
- glatki čelik 						240/360 GA;
- rebrasti čelik, tvrdi				400/500 RA;
- mreža od glatke hladno vučene žice		500/560 MAG;</t>
  </si>
  <si>
    <t>- mreža od rebraste hladno vučene žice	500/560 MAR;
- Bi-armatura 					680/80 BIA.
Sječenje i savijanje željeza vrši se točno po nacrtu savijanja. Prije početka betoniranja armaturu pregledava nadzorni inženjer investitora, a kod složenijih konstrukcija statičar. Željezo po planu savijanja mora biti iz jednog komada, ne smiju se spajati 2 ili 3 veća komada. Iznimno se mogu profili veći od  14 mm nastavljati na preklop od 50 cm, ili varenjem na sraz, prema odgovarajućim propisima, uz obaveznu kontrolu i ispitivanje vara od strane instituta za varenje. Prije betoniranja željezo dobro očistiti, povezati te podložiti. Upisom u građ. dnevnik od strane nadzornog inženjera ili statičara može se započeti sa betoniranjem.
Obračun se vrši prema normama GN-400 ili jednakovrijedno.
Jedinična cijena armiračkih radova sadrži:
- dobavu svog potrebnog materijala sa transportom na gradilište;
- sav potreban rad uključivo unutrašnji transport, te alat za ručnu ili strojnu obradu (sječenje, savijanje);
- postavljanje armature na mjesto ugradbe sa vezanjem, podmetačima, privremenim povezivanjem međusobno i za oplatu;
- čišćenje armature od hrđe, masnoće i ostalih nečistoća;
- primjenu mjera zaštite na radu i korištenje osobne zaštitne opreme;
- dovođenje vode, plina i struje od priključaka na gradilištu do mjesta potrošnje;
- isporuka pogonskog materijala;
- ugradba prefabriciranih nastavaka posebno se obračunava, ali se izvodi uz armiračke radove.</t>
  </si>
  <si>
    <t>Preciznost postave: s točnošću od 3 % u odnosu na projektirano stanje (razmaci i preklopi).
Opći uvjeti mijenjaju se ili nadopunjuju opisom pojedine stavke troškovnika.
TESARSKI RADOVI
Tesarske radove izvesti prema opisu u troškovniku i nacrtima, te u skladu s važećim normama za izvedbu i materijal:
- materijali za izradu drvenih konstrukcija HRN U.D0.001 ili jednakovrijedno;
- građa za skele HRN D.B1.025 ili jednakovrijedno;
- projektiranje i izvođenje konstrukcija od monolitnog drveta HRN U.O9.200 ili jednakovrijedno;
- projektiranje i izvođenje konstrukcija od lameliranih i ljepljenih elemenata HRN U.O9.300 ili jednakovrijedno;
- projektiranje i izvođenje drvenih skela i oplata HRN U.O9.400 ili jednakovrijedno;
- projektiranje i izvođenje zaštite drveta u konstrukcijama HRN U.O9.500 ili jednakovrijedno;
- tesana građa četinara HRN D.B7.020 ili jednakovrijedno;
- borova rezana građa HRN D.C1.040 ili jednakovrijedno;
- jelova rezana građa HRN D.C1.041 ili jednakovrijedno;
- kombinirane slojevite ploče HRN D.C5.042 ili jednakovrijedno;
- šper-ploče HRN D.C5.021 ili jednakovrijedno;
- iverice HRN D.C5.032 ili jednakovrijedno;</t>
  </si>
  <si>
    <t>- lesonit ploče HRN D.C5.022 ili jednakovrijedno;
- brodski pod HRN D.C1.042 ili jednakovrijedno;
- građevinski čavli HRN M.B4.020 ili jednakovrijedno;
- vijci za drvo HRN M.B1.024 ili jednakovrijedno;
- čavli za pištolj HRN G.E9.220 ili jednakovrijedno;
- građevinski čavli sa upuštenom nareckanom glavom HRN M.B4.021 ili jednakovrijedno;
- čavli za ljepenku HRN M.B4.090 ili jednakovrijedno;
- tehnički uvjeti zaštite od požara u građevinarstvu HRN U.J1.070, 110, 114 ili jednakovrijedno;
- zaštita građevinskog drveta HRN D.T4.027 ili jednakovrijedno;
- protupožarni premazi HRN D.T4.037, 039 ili jednakovrijedno.
Oplatu treba postaviti tako da se nakon betoniranja ne pojavi ni najmanja deformacija na konstrukciji. Skidanje oplate raditi pažljivo da ne dođe do oštećenja konstrukcije, naročito rubova, zubaca ili utora. Svu oplatu izvesti točno prema detaljima, nacrtima i uputama projektanta.
Odstupanja od dimenzija gotovih elemenata koji se ne žbukaju moraju biti unutar 1 0/00, u bilo kojem smjeru, za jednu etažu. Za žbukane dijelove odstupanja mogu biti maksimalno 0,5 % na etažu. Troškovi sanacije dijelova izvedenih van ovih kriterija padaju na teret izvođača.
Obračun se vrši prema normama GN-601 ili jednakovrijedno.
Jedinična cijena tesarskih radova sadrži:
- dobavu svog potrebnog materijala (s transportom na gradilište), glavnog i pomoćnog za ugradbu;</t>
  </si>
  <si>
    <t>- sav potreban rad na obilježavanju, izradi i ugradbi sa unutarnjim transportom do mjesta krojenja, te mjesta ugradnje;
- označavanje, uzimanje mjera na objektu;
- demontaža oplate, čišćenje, premazivanje oplatanom, vađenje čavala i prijenos na novo mjesto ugradbe;
- ugradbu blokova od pjenobetona na mjestima prodora instalacija ili izradu kutija na mjestima prodora;
- sve potrebne radne, lake i pokretne skele;
- primjenu mjera zaštite na radu i korištenje osobne zaštitne opreme;
- dovođenje vode, plina i struje od priključaka na gradilištu do mjesta potrošnje;
- isporuka pogonskog materijala;
- čišćenje radilišta nakon završetka radova.
Opći uvjeti mijenjaju se ili nadopunjuju opisom pojedine stavke troškovnika.
Sav upotrijebljeni materijal i finalni građevinski proizvodi moraju odgovarati postojećim tehničkim propisima i HRN ili jednakovrijednim normama.	
Prilikom izvedbe tesarskih radova treba se u svemu pridržavati svih važećih propisa i standarda za građevinske konstrukcije, koje prije početka izvođenja mora odobriti nadzorni inženjer.	
- Pravilnik o zaštiti na radu u građevinarstvu;	
- rezana građa, ispitivanje oplate i skele HRN D.C1.040.,041. i 042 ili jednakovrijedno. 	
(izvođenje drvenih skela i oplata) HRN U.C9.400 ili jednakovrijedno. 	
- ispitivanje ploča vlaknatica i iverica HRN D.D8.100.do 114 ili jednakovrijedno.</t>
  </si>
  <si>
    <t>- slojevito drvo, terminologija i definicije HRN D.10.060-1969 ili jednakovrijedno. 	
- ispitivanje drveta, opći dio HRN D.A1.020-1957 ili jednakovrijedno. 	
- ispitivanje drveta, održavanje sadržaja vlage HRN D.A1.043-1979 ili jednakovrijedno. 	
- ispitivanje drveta, određivanje zatezne čvrstoće u pravcu vlakana HRN D.A1.048-1979 ili jednakovrijedno . 	
- ispitivanje drveta, zatezna čvrstoća okomito na drvna vlakna HRN D.A1.052-1958 ili jednakovrijedno. 	
- zaštita drveta, ispitivanje otpornosti prema gljivama, usporedna otpornost različitih vrsta drveta HRN D.A1.058-1971 ili jednakovrijedno. 	
- furnirske i stolarske ploče, određivanje stupnja slijepljenosti HRN D.A1.072.1972 ili jednakovrijedno. 	
- tesana građa četinara HRN D.B7.020-1955 ili jednakovrijedno. 	
- ploče vlaknatice (lesonit ploče), tehnički uvjeti za izradu i isporuku HRN D.C5.022-1968 ili jednakovrijedno. 	
Norme za tesarske radove:
- HRN S.D.B7.020 ili jednakovrijedno – tesano crnogorično drvo
- HRN S.D.C1.040 i 041 ili jednakovrijedno – rezano crnogorično drvo	
ČELIČNE KONSTRUKCIJE
Izrada i montaža čeličnih konstrukcija mora se izvesti od strane za to ovlaštene i provjerene organizacije, a u skladu s postojećim propisima:
- Tehničkim propisima za zavarene nosive čelične konstrukcije;</t>
  </si>
  <si>
    <t>- Tehničkim propisima za nosive čelične konstrukcije spojene zakovicama i vijcima;
- Pravilnikom o tehničkim normativima za nosive čel. konstrukcije (Sl. list 61/86 -1772);
- Pravilnikom o teh. propisima o kvaliteti zavarenih spojeva (Sl. list 41/64 - 763);
- Pravilnikom o teh mjerama i uvjetima za montažu čel. konstr. (Sl. list 29/70 -788);
- Pravilnikom o teh. mjerama i uvjetima za zaštitu čel. konstrukcija od korozije (Sl. list 32/70).
Sav materijal mora zadovoljavati odgovarajuće propise:
- kutni istokraki profili HRN C.B3.101 ili jednakovrijedno;
- kutni raznokraki profili HRN.C.B3.111 ili jednakovrijedno;
- čelični lim: - debeli, srednji HRN.C.B4.111 ili jednakovrijedno;
- tanki HRN.C.B4.016, 112-113 ili jednakovrijedno;
- čel. I-nosači HRN C.B3.131 ili jednakovrijedno;
- čel. U-nosači HRN C.B3.141 ili jednakovrijedno;
- bešavne čel. cijevi HRN C.B5.021 ili jednakovrijedno;
- šavne čel. cijevi HRN C.B5.240 ili jednakovrijedno;
- nehrđajući čelici HRN C.B0.500 ili jednakovrijedno;
- čelične oplaštene elektrode za elektrolučno ručno zavarivanje HRN C.H3.011 ili jednakovrijedno;
- žice za plinsko varenje HRN C.H3.051 ili jednakovrijedno;
- plosnati vrući valjani čelici HRN C.B3.025 ili jednakovrijedno;
- trakasti (obručni) vruće valjani čelici HRN C.B3.550 ili jednakovrijedno;</t>
  </si>
  <si>
    <t>- osnovna premazna sredstva HRN C.T7.326, 327, 328, 329 ili jednakovrijedno.
Oblici i mjere vijaka i/ili sl. propisani su odgovarajućim normama. Eventualne izmjene materijala te načina izvedbe moraju se izvršiti isključivo pismenim dogovorom sa projektantom.
Nadzor nad svim fazama izrade čelične konstrukcije u radionici i nad montažom vrši nadzorni inženjer za konstrukciju. Kod izrade čelične konstrukcije u radionici izvođač je dužan nadzornom inženjeru staviti na uvid:
- certifikate materijala od kojih je izrađena čelična konstrukcija;
- certifikate za spojni materijal (vijke, elektrode, zakovice i/ili sl.);
- certifikate varioca koji izrađuju dotičnu konstrukciju;
- uvjerenja o kvalifikacijama drugih stručnih osoba angažiranih na izradi konstrukcija;
- planove slijeda zavarivanja s točnim odredbama rasporeda i slijeda zavarivanja svakog vara;
- zakonski propisano vođenje dnevnika (radionički dnevnik, dnevnik zavarivanja);
- skice sa ucrtanim brojevima certifikata osnovnog i spojnog materijala iz kojeg je izrađjena svaka pojedina pozicija, s označenim varovima, s brojem certifikata elektrode i oznakom varioca koji je izvršio zavarivanje.
Kod montaže čelične konstrukcije na gradilištu izvođač je dužan nadzornom inženjeru staviti na uvid:
- plan montaže konstrukcije u kojem će biti detaljno razrađen proračun i slijed montaže;
- radioničke nacrte sa svim izmjenama i dopunama;
- dokumente o prijemu konstrukcije u radionici;
- certifikat zavarivača koji vrši zavarivanje konstrukcije na montaži;</t>
  </si>
  <si>
    <t>- dokumente o kontroli i izvođenju montažnih spojeva;
- montažni dnevnik, dnevnik zavarivanja;
- podatke o geodetskim i drugim mjerenjima tokom montaže;
- fotodokumentaciju o građenju objekta.
Dužnosti i obaveze nadzornog inženjera (između ostalih) jesu:
- kontinuirana kontrola izrade i montaže čelične konstrukcije u svim fazama;
- ovjeravanje naprijed navedenih dokumenata, sudjelovanje kod prijema konstrukcije u radionici (u skladu s odredbama čl. 30 Pravilnika o tehničkim mjerama i uvjetima za montažu čelične konstrukcije);
- sudjelovanje kod prijema gotove montirane konstrukcije (u skladu s odredbama čl. 143-149 Pravilnika o tehničkim mjerama i uvjetima za montažu čelične konstrukcije).
Izvođač je dužan i zakonski obavezan upozoriti projektanta na uočene proturječnosti i nedostatke u tehničkoj dokumentaciji. Isto tako dužan je za sve nejasnoće tražiti objašnjenja od projektanta. Izvođač radova garantira za kvalitetu izrađene i montirane konstrukcije 2 godine nakon izvršene montaže. Početak garantnog roka utvrđuje se zapisnikom kod tehničkog prijema. Ugovorom se mogu utvrditi i drugi uvjeti garancije, ali u skladu s važećim propisima i uzancama. Izvođač može predanu mu tehničku dokumentaciju upotrebljavati isključivo za izradu konstrukcije obrađene u ovom elaboratu.
Jediničnom cijenom po kg konstrukcije treba obuhvatiti:
- sve troškove dobave, izrade i montaže konstrukcije;
- sav potreban pomoćni materijal, alat, mehanizaciju i uskladištenje;</t>
  </si>
  <si>
    <t>- pripremu površine, te kvalitetnu antikorozivnu zaštitu (prema posebnim uvjetima antikorozivne zaštite);
- sve horizontalne i vertikalne transporte do mjesta ugradbe, svu potrebnu radnu skelu, sve štete i troškove popravaka (posljedice eventualne nepažljive izvedbe);
- primjenu mjera zaštite na radu i korištenje osobne zaštitne opreme;
- troškove izdavanje i dobivanja certifikata;
- isporuku pogonskog materijala;
- dovođenje vode, plina i struje od priključaka na gradilištu do mjesta potrošnje;
- čišćenje nakon završenih radova.
Obračun izvršenih radova izvršit će se prema odredbi čl. 152. i 153. Pravilnika o tehničkim mjerama i uvjetima za montažu čelične konstrukcije (Sl. list 29/70 -788), osim ako ugovorom nije utvrđeno drugačije. Tijekom izvođenja radova se, po nahođenju nadzornog inženjera, može vršiti dopunsko certificiranje pojedinih zavarivača, ako se za to ukažu potrebe. Troškove certificiranja snosi izvođač. Certificiranje zavarivača vršit će se prema HRN C.T3.061 ili jednakovrijedno.
Preciznost izvedbe: odstupanja veća od 1 0/00 po etaži neće se tolerirati, već će se popravljati o trošku izvoditelja radova.
Dodatni materijal mora se uskladištiti u suhom prostoru tako da ne dođe do vlaženja. Uskladištenje dodatnog materijala, bilo elektroda, žica ili praha, vrši se u originalnoj ambalaži isporučioca elektroda.
Sav dodatni materijal koji se, u radionici ili na gradilištu, ostavlja, poslije izvršenog dnevnog rada, u otvorenoj ambalaži, mora se prije ponovne upotrebe podvrgnuti propisanom sušenju na peći, na temperaturi koja je u te svrhe propisana. To se odnosi na oploštene elektrode kao i na prah za automatska ili poluautomatska zavarivanja. Pojedine vrste elektroda (ukoliko zahtijevaju tehnički uvjeti) moraju biti sušene odmah nakon vađenja iz originalne ambalaže.</t>
  </si>
  <si>
    <t>Uvjetima antikorozivne zaštite i ugovorom propisat će se stupanj pripreme površine te debljine i kvalitete prvog temeljnog premaza. U slučaju da se to ne učini primjenjivat će se važeće zakonske norme, propisi i pravilnici.
ZIDARSKI RADOVI
Zidarske radove izvesti prema opisu u troškovniku, te u skladu s važećim standardima. Ako koja stavka nije izvođaču jasna treba pravovremeno prije predaje ponude tražiti objašnjenje. Eventualne izmjene materijala, te načina izvedbe tokom gradnje, moraju se izvršiti isključivo pismenim dogovorom sa projektantom i nadzornim inženjerom. Više radnje, koje neće biti na taj način utvrđene, neće se priznati u obračun. Ukoliko se stavkom troškovnika traži materijal koji nije obuhvaćen propisima, mora se u svemu izvesti prema uputama proizvođača, te s garancijom i certifikatima od za to ovlaštenih ustanova. Štete pri ugradbama i sl, nastale na vlastitim i tuđim radovima, moraju se popraviti na račun izvršioca štete.
Zamjenski materijal bolje kvalitete od tražene obračunava se po nabavnoj cijeni ako je ona manja od ugovorene, a po ugovorenoj cijeni ako je nabavna veća od ugovorene.
Pridržavati se Tehničkog propisa za dimnjake u građevinama (NN 03/07).
Obračun se vrši prema normama GN-301 ili jednakovrijedno.
A) GRUBI ZIDARSKI RADOVI
Sav materijal za izradu zidarskih radova mora zadovoljavati odgovarajuće propise:
- puna opeka od gline HRN B.D1.011 ili jednakovrijedno;</t>
  </si>
  <si>
    <t>- lagana šuplja opeka i blok od gline HRN B.D1.015 ili jednakovrijedno;
- fasadna puna opeka HRN B.D1.013 ili jednakovrijedno;
- fasadna šuplja opeka i blok od gline HRN B.D1.014 ili jednakovrijedno;
- puna radijalna opeka od gline HRN B.D1.012 ili jednakovrijedno;
- silikatno-vapnena opeka i blok (puna, šuplja) HRN U.N3.300 ili jednakovrijedno;
- betonski šuplji bloketi HRN U.N1.100 ili jednakovrijedno;
- bloketi od plino i pjeno betona HRN U.N1.308 ili jednakovrijedno;
- šljako-betonski bloket HRN U.N9.020 ili jednakovrijedno;
- puni bloket od laganog betona HRN U.N1.011 ili jednakovrijedno;
- šuplji bloket od laganog betona HRN U.N1.020 ili jednakovrijedno;
- mort za zidanje HRN U.M2.010 ili jednakovrijedno;
- vatrostalni mort HRN B.D6.430, 432, 434 ili jednakovrijedno;
- hidratantno vapno HRN.B.C1.02, 021 ili jednakovrijedno;
- gips HRN B.C1.030 ili jednakovrijedno;
- armirane zidne ploče od pjeno i plino betona HRN U.N1.304 ili jednakovrijedno;
- cement HRN B.C1.01, 012 ili jednakovrijedno;
- voda HRN U.M1.058 ili jednakovrijedno;
- kamen HRN B.B3.200 ili jednakovrijedno;
- prefabricirani dimnjaci i dimnjački elementi HRN EN 13063-1 ili jednakovrijedno,
HRN EN 13063-2 ili jednakovrijedno,</t>
  </si>
  <si>
    <t>HRN EN 13069 ili jednakovrijedno,
HRN EN 1856-1 ili jednakovrijedno,
HRN EN 1443:2003 ili jednakovrijedno,
HRN EN 13063-1:2006 ili jednakovrijedno,
HRN EN 13063-2:2005 ili jednakovrijedno,
HRN EN 13069:2005 ili jednakovrijedno.
Odstupanja od dimenzija gotovih elemenata koji se ne žbukaju moraju biti unutar 1 0/00, u bilo kojem smjeru, za jednu etažu. Za žbukane dijelove odstupanja mogu biti maksimalno 0,5 % po etaži i elementu, u svim smjerovima. Troškovi sanacije dijelova izvedenih van ovih kriterija padaju na teret izvođača.
Jedinična cijena zidarskih radova sadrži:
- dobavu svog potrebnog materijala, uključivo vezni;
- sav rad, uključivo zidanje i priprema morta;
- potreban alat i strojeve;
- transportne troškove materijala;
- donošenje vode, povremeno miješanje morta, vlaženje opeke, premještanje korita i skela od nogara;
- unutarnji transport, horizontalni i vertikalni, do mjesta ugradbe;
- obilježavanje mjesta zidanja;
- sve potrebne radne, lake i pokretne skele;
- zaštita zidova od utjecaja vrućine, hladnoće, atmosferskih nepogoda;</t>
  </si>
  <si>
    <t>- primjenu mjera zaštite na radu i korištenje osobne zaštitne opreme;
- dovođenje vode, plina i struje od priključaka na gradilištu do mjesta potrošnje;
- isporuka pogonskog materijala;
- čišćenje nakon završetka radova.
B) ŽBUKANJA, PODLOGE PODOVA I GLAZURE
Sav materijal za izradu radova žbukanja, podloga i glazura, mora zadovoljavati odgovarajuće propise, a izvedba mora biti u skladu sa važećim normama:
- cement HRN B.C1.011, 012 ili jednakovrijedno;
- voda HRN U.M1.058 ili jednakovrijedno;
- pijesak HRN B.B8.039 ili jednakovrijedno;
- vapno HRN B.C1.020, 021 ili jednakovrijedno;
- gips HRN B.C1.030 ili jednakovrijedno;
- mort za žbukanje HRN U.M2.012 ili jednakovrijedno;
- gipskartonske ploče HRN B.C1.035, 040, 045 ili jednakovrijedno;
- vatrostalni mort HRN B.D6.430 ili jednakovrijedno;
- dodaci žbukama HRN U.M1.038 ili jednakovrijedno;
- plivajuće cementne podne podloge HRN U.F2.020 ili jednakovrijedno.
Žbukanje vršiti u pogodno vrijeme, kada su zidovi i stropovi potpuno suhi. Prije žbukanja, treba plohu dobro očistiti od svih nečistoća,</t>
  </si>
  <si>
    <t>ostataka armature i žica, te navlažiti i nanijeti cementni špric.
Žbukanje po velikoj vrućini ili hladnoći treba izbjegavati. Nepropisno ožbukani zidovi i stropovi moraju se ispraviti bez prava naplate. Betonske plohe moraju prije žbukanja biti obrađene tako da se žbuka dobro prihvati na bet. površinu, štokanjem i špricanjem cem. mlijekom, ako oplata nije bila premazana sredstvom za ohrapljivanje bet. površine.
Točno izvedena žbuka je ona koja po horizontali i vertikali nema odstupanja veća od 1 0/00 u bilo kojem smjeru, za jednu etažu. Troškovi sanacije dijelova izvedenih van ovih kriterija padaju na teret izvođača radova.
Jedinična cijena za žbukanje, podloge podova i glazure sadrži:
- dobavu kompletnog materijala i transport na gradilište;
- sav rad, uključivo pripremu morta, alat i strojeve;
- donošenje vode, povremeno miješanje morta, premještanje korita i skela od nogara;
- unutarnji transport, horizontalni i vertikalni, do mjesta ugradbe;
- priprema podloge: čišćenje, štokanje, otprašivanje, vlaženje vodom i/ili sl;
- eventualna krpanja tokom građenja;
- sve potrebne radne, lake i pokretne skele;
- primjenu mjera zaštite na radu i korištenje osobne zaštitne opreme;
- dovođenje vode, plina i struje od priključaka na gradilištu do mjesta potrošnje;
- isporuka pogonskog materijala;
- čišćenje nakon završetka radova.</t>
  </si>
  <si>
    <t>C) DOBAVE I UGRADBE
Sav materijal za radove na dobavama i ugradbama mora zadovoljavati odgovarajuće propise:
- mort HRN U.M1.010, U.M2.012 ili jednakovrijedno;
- pregradne ploče od gipsa HRN U.N2.010 ili jednakovrijedno;
- poštanski sandučići HRN U.N9.060, 061, 062 ili jednakovrijedno;
- azbest-cementne cijevi nisu dozvoljene;
- metalni pragovi HRN C.B0.500 ili jednakovrijedno;
- strugala za obuću HRN U.N9.300 ili jednakovrijedno;
- plastične cijevi HRN G.S3.502 ili jednakovrijedno;
- metalni dimnjaci HRN EN 1856-1:2003, HRN EN 12391-1:2004 ili jednakovrijedno.
Jedinična cijena za dobave i ugradbe sadrži:
- sav materijal, dobavljen ili izrađen na gradilištu, uključivo i sav pomoćni materijal za ugradbu (mort, ljepenke, metalne veze i/ili sl.);
- transport do gradilišta, te unutarnji transport do mjesta ugradbe;
- sva potrebna bušenja i dubljenja sa odgovarajućim alatom i strojevima;
- izradu i dobavu drvenih podmetača potrebnih za ugradnju;
- sve potrebne radne i zaštitne skele;
- primjenu mjera zaštite na radu i korištenje osobne zaštitne opreme;
- dovođenje vode, plina i struje od priključaka na gradilištu do mjesta potrošnje;</t>
  </si>
  <si>
    <t>- isporuku pogonskog materijala;
- čišćenje nakon završetka radova.
Opći uvjeti mijenjaju se ili nadopunjuju opisom pojedine stavke troškovnika.
HIDROIZOLACIJE
Hidroizolacijske radove izvesti prema opisu u troškovniku, projektu, te u skladu sa važećim normama. Sav materijal za izolaciju treba biti prvorazredne kvalitete, te mora zadovoljavati odgovarajuće propise:
	-	bitumenska ljepenka	HRN U.M3.232 ili jednakovrijedno;
	-	hladni bitumenski premaz	HRN U.M3.240 ili jednakovrijedno;
	-	vrući bitumenski premaz	HRN U.M3.244 ili jednakovrijedno;
	-	bitumenska ljepenka sa uloškom od jute	HRN U.M3.210 ili jednakovrijedno;
	-	bitumenska ljepenka sa uloškom od staklene tkanine	HRN U.M3.234 ili jednakovrijedno;
	-	bitumenska ljepenka sa uloškom od staklenog voala	HRN U.M3.231 ili jednakovrijedno;
	-	bitumenska ljepenka sa uloškom od aluminijske folije	HRN U.M3.230 ili jednakovrijedno;
	-	elastobit	HRN U.M3.242 ili jednakovrijedno;
	-	bitumenske trake za varenje (sastav i uvjeti kvalitete)	HRN U.M3.300 ili jednakovrijedno;
	-	PVC trake	DIN 16 726, SIA 280 ili jednakovrijedno.</t>
  </si>
  <si>
    <t>Izolacija se izvodi podzemno, protiv vode bez pritiska ili procjedne vode na propusnom tlu (gdje se iznimno ta voda kod najvećih kiša pretvara, na kratko vrijeme, u podzemnu vodu sa pritiskom).
Ako je opis koje stavke izvođaču nejasan treba pravovremeno prije predaje ponude tražiti objašnjenje od projektanta. Eventualne izmjene materijala, te načina izvedbe tijekom gradnje, moraju se izvršiti pismenim dogovorom sa projektantom i nadzornim inženjerom. Ako se stavkom troškovnika traži materijal koji nije obuhvaćen propisima, mora se u svemu izvesti prema uputama proizvođača, te s garancijom i certifikatima od za to ovlaštenih ustanova.
Ukoliko se naknadno ustanovi tj. pojavi vlaga, zbog nesolidne izvedbe, ne dozvoljava se krpanje već se mora ponovno izvesti izolacija cijele površine na trošak izvođača. Izvođač mora o svom trošku izvesti, popraviti i ponovno montirati opremu i pojedine građevinske i obrtničke radove koji se prilikom ponovne izvedbe oštete ili se moraju demontirati.
Obračun se vrši prema postojećim normama GN 301-500 ili jednakovrijedno.
Jedinična cijena hidroizolacijskih radova sadrži:
	-	dobavu kompletnog materijala sa troškovima transporta;
	-	sav rad, uključujući unutarnji transport na mjesto ugradbe, alat i strojeve;
	-	priprema izolacije na gradilištu;
	-	čišćenje ploha prije izvedbe izolacije sa krpanjem eventualnih reški;
	-	poduzimanje mjera po HTZ i drugim postojećim propisima;
	-	dovođenje vode, plina i struje od priključaka na gradilištu do mjesta potrošnje;
	-	isporuka pogonskog materijala;</t>
  </si>
  <si>
    <t>-	čišćenje nakon završetka radova.
Kako se radi o izolacijama na koje izvoditelj daje minimalno 10 g. garancije, ista sa atestima mora biti probana prilikom izvođenja radova, a prije obračuna.
Zamjenski materijal bolje kvalitete od tražene obračunava se po nabavnoj cijeni ako je ona manja od ugovorene, a po ugovorenoj cijeni ako je nabavna veća od ugovorene.
Ovi opći uvjeti mijenjaju se ili nadopunjuju opisom pojedine stavke troškovnika.
TOPLINSKE I ZVUČNE IZOLACIJE
Radove toplinske i zvučne izolacije izvesti na mjestima određenim projektom, prema opisu u troškovniku, a u skladu sa postojećim propisima prema:
	-	Pravilniku o normama za toplotnu tehniku u građevinarstvu
		(Sl. list 69/87, 3/80, 8/81, 56/87)
	-	Tehničkim uvjetima za projektiranje i izvođenje - toplotna tehnika,
		HRN U.J5.600, 600/1
	-	Tehničkim uvjetima za projektiranje i izvođenje - akustika u građevinarstvu,
		HRN U.J6.215.
Sav materijal za izradu izolacionih radova mora zadovoljavati odgovarajuće propise:
	-	plivajuće podne konstrukcije	HRN U.F2.019, 020</t>
  </si>
  <si>
    <t>-	polistiren	HRN G.C7.201
	-	mineralna vuna	HRN G.S2.659
	-	teriokal kit	DIN 1854/2
	-	polietilenska folija	HRN G.C1.290
	-	bitumenska ljepenka	HRN U.M3.232
	-	pluto	HRN U.F2.026
	-	bitumenska traka sa uloškom od aluminijske folije	HRN U.M3.230
	-	jednostruka bitumenizirana aluminijska folija	HRN U.M3.229
	-	aluminijska folija	HRN C.C4.025
	-	bitumenizirani perforirani stakleni voal	HRN U.M3.248
	-	sirovi krovni karton	HRN U.M3.226
	-	hladni premaz	HRN U.M3.240
	-	vruči premaz	HRN U.M3.244
	-	ljepenka sa uloškom od staklene tkanine	HRN U.M3.234
	-	ljepenka sa uloškom od staklenog voala	HRN U.M3.231
	-	negorive mineralne ploče	HRN B.F2.100.
Tehnički zahtjevi koje moraju ispuniti toplinsko-izolacijski građevni proizvodi koji se ugrađuju na zgradi (popis normi):
HRN EN 13162:2002 ili jednakovrijedno;
Toplinsko-izolacijski proizvodi za zgrade -- Tvornički izrađeni proizvodi od mineralne vune (MW)</t>
  </si>
  <si>
    <t>Specifikacija (EN 13162:2001) ili jednakovrijedno;
HRN EN 13163:2002 ili jednakovrijedno;
Toplinsko-izolacijski proizvodi za zgrade -- Tvornički izrađeni proizvodi od ekspandiranog polistirena
(ESP) -- Specifikacija (EN 13163:2001) ili jednakovrijedno;
HRN EN 13164:2002 ili jednakovrijedno;
Toplinsko-izolacijski proizvodi za zgrade -- Tvornički izrađeni proizvodi od ekstrudirane polistirenske pjene
(XPS) -- Specifikacija (EN 13164:2001) ili jednakovrijedno;
HRN EN 13164/A1:2004 ili jednakovrijedno;
Toplinsko-izolacijski proizvodi za zgrade -- Tvornički izrađeni proizvodi od ekstrudirane polistirenske pjene
(XPS) -- Specifikacija (EN 13164:2001/A1:2004) ili jednakovrijedno;
HRN EN 13168:2002 ili jednakovrijedno;
Toplinsko-izolacijski proizvodi za zgrade -- Tvornički izrađeni proizvodi od drvene vune (WW)
Specifikacija (EN 13168:2001) ili jednakovrijedno;
HRN EN 13168/A1:2004 ili jednakovrijedno;
Toplinsko-izolacijski proizvodi za zgrade -- Tvornički izrađeni proizvodi od drvene vune (WW) --
Specifikacija (EN 13168:2001/A1:2004) ili jednakovrijedno;
HRN EN 13172:2002 ili jednakovrijedno;
Toplinsko-izolacijski proizvodi -- Vrednovanje sukladnosti (EN 13172:2001) ili jednakovrijedno;
Toplinsko-izolacijski proizvodi -- Vrednovanje sukladnosti (EN 13172:2005) ili jednakovrijedno;
HRN EN 13499:2004 ili jednakovrijedno;</t>
  </si>
  <si>
    <t>Toplinsko-izolacijski proizvodi za primjenu u zgradarstvu -- Povezani sustavi za vanjsku toplinsku izolaciju
(ETICS) na osnovi ekspandiranog polistirena -- Specifikacija (EN 13499:2003) ili jednakovrijedno;
HRN EN 13500:2004 ili jednakovrijedno;
Toplinsko-izolacijski proizvodi za primjenu u zgradarstvu -- Povezani sustavi za vanjsku toplinsku izolaciju
(ETICS) na osnovi mineralne vune -- Specifikacija (EN 13500:2003) ili jednakovrijedno;
HRN EN 1745:2003 ili jednakovrijedno;
Zidovi i proizvodi za zidanje -- Metode određivanja računskih toplinskih vrijednosti (EN 1745:2002) ili jednakovrijedno.
Svi materijali koji su predviđeni projektom a nisu obuhvaćeni normama moraju imati certifikate od za to ovlaštenih ustanova. Materijali za izolaciju moraju biti deponirani do ugradnje, propisno odležani te zaštićeni nakon ugradnje, u svemu prema uputama proizvođača materijala. Ukoliko se ugradi neadekvatni materijal mora se ukloniti i zamijeniti novim na račun izvođača radova. Ako je opis koje stavke izvođaču nejasan treba pravovremeno prije predaje ponude tražiti objašnjenje od projektanta. Eventualne izmjene materijala moraju se izvršiti isključivo pismenim dogovorom sa projektantom i investitorom, a predloženi materijal mora zadovoljavati najmanje one toplotne i zvučne karakteristike kao i zamijenjeni materijal, odnosno onaj koji projekt zahtijeva. Sve više radnje koje neće biti na taj način utvrđene neće se priznati u obračunu. Zamjenski materijal bolje kvalitete od tražene obračunava se po nabavnoj cijeni ako je ona manja od ugovorene, a po ugovorenoj cijeni ako je nabavna veća od ugovorene.
Obračun se vrši prema postojećim normama GN 301-501 ili jednakovrijedno i GN 561-300 ili jednakovrijedno.
Jedinična cijena treba sadržavati:
	-	dobavu kompletnog materijala za ugradbu, glavnog i pomoćnog,</t>
  </si>
  <si>
    <t>sa troškovima transporta;
	-	sav rad, uključujući unutarnji hirizontalni i vertikalni transport
		na mjesto ugradbe;
	-	alat i strojeve;
	-	troškove odležavanja izolacijskog materijala;
	-	izmjere potrebne za izvedbu i obračun;
	-	čišćenje podloga prije izvedbe izolacije;
	-	poduzimanje mjera po HTZ i drugim postojećim propisima;
	-	dovođenje vode, plina i struje od priključaka na gradilištu do mjesta potrošnje;
	-	isporuku pogonskog materijala;
	-	čišćenje nakon završetka radova.
Ovi opći uvjeti mijenjaju se ili nadopunjuju opisom pojedine stavke troškovnika.
SKELARSKI RADOVI
Skelarski radovi moraju se izvesti po propisima zaštite na radu, od zdravog materijala i isprobanih elemenata, sa svim potrebnim prilazima, mostovima, zaštitama i ogradama. Kod pokretnih i nepokretnih drvenih skela prilikom svake demontaže, premještanja, te ponovne montaže mora se upotrijebiti novi vezni materijal (čavli, klamfe i/ili sl.).
Obračun se vrši prema normama GN 421-110 ili jednakovrijedno, za fasadnu skelu od bešavnih cijevi, te GN 601 ili jednakovrijedno, za drvene</t>
  </si>
  <si>
    <t>skele.
Jedinična cijena treba sadržavati:
- izradu projekta skele, te nacrta i proračuna potrebnih za inspekciju rada;
- ateste za dokaz stabilnosti i sigurnosti rada na skeli;
- dobavu kompletnog materijala, glavnog i pomoćnog, sa troškovima transporta;
- sav rad, montažu, demontažu sa premještanjima, alat i strojeve;
- čišćenje skela nakon demontaže, vađenje čavala, spojnica, naftiranje cijevne skele i slaganje;
- primjenu mjera zaštite na radu i korištenje osobne zaštitne opreme;
- čišćenje nakon završenih radova.
Opći uvjeti mijenjaju se ili nadopunjuju opisom pojedine stavke troškovnika.
FASADERSKI RADOVI
Fasaderski radovi odnose se na obradu fasadnih površina žbukama, umjetnim kamenom i fasadnim bojama. Radove izvesti prema troškovniku, a u skladu s postojećim normama HRN U.F2.010 ili jednakovrijedno.
Sav materijal za fasaderske radove mora zadovoljavati odgovarajuće propise:</t>
  </si>
  <si>
    <t>- mort HRN U.M2.012 ili jednakovrijedno;
- cement HRN B.C1.011, 012 ili jednakovrijedno;
- vapno HRN B.C1.020 ili jednakovrijedno;
- prionljivost fasadnih boja na podlogu HRN H.C8.059 ili jednakovrijedno;
- promjena boje HRN F.S3.020 ili jednakovrijedno;
- opasnost od požara HRN Z.C0.012 ili jednakovrijedno;
- paropropusnost žbuke HRN U.J5.024 ili jednakovrijedno;
- zahtjevi toplinske tehnike HRN U.J5.600 ili jednakovrijedno.
Materijali koji nisu obuhvaćeni normama moraju imati certifikate od za to ovlaštenih ustanova. Podloga na koju se nanosi fasadna žbuka ili boja mora biti potpuno očišćena od masnoća, ostataka armature, žice i/ili sl, ravna, dovoljno hrapava, u svemu prema zahtjevima proizvođača žbuke. Gotova žbuka (i boja) mora biti ujednačene boje, potpuno ravna, oštrih ili zaobljenih bridova (prema projektu) dobro sljubljena sa podlogom (kao i slojevi međusobno), bez pukotina i oštećenja. Radovi se ne smiju izvoditi po lošem vremenu, koje bi moglo utjecati na kvalitetu radova. Izvođač je dužan dati projektantu na uvid izbor boja i tonova, te izraditi probne uzorke.
Kod izvođenja kontaktnih fasada u više slojeva, svi se odnosni slojevi izvode u sistemu odabranog proizvođača materijala (i sistema), a izvođač mora imati odgovarajući dokument (ateste i/ili sl.) o ispitanosti i kvaliteti sistema (polimerna cementna ljepila, samogasivi ekspandirani polistireni, ekstrudirani polistireni, cementne žbuke s dodacima polimera i/ili sl.). Prije ugradnje ekspandirani polistiren mora odležati na skladištu najmanje 90 dana, tj. mora biti dimenzionalno stabilan.
Obračun se vrši prema normama GN 421 ili jednakovrijedno.</t>
  </si>
  <si>
    <t>Jedinična cijena za pojedinu stavku sadrži:
- dobavu kompletnog materijala i transport na gradilište;
- sav rad, uključivo pripremu žbuka i boja za profilacije;
- donošenje vode, povremeno miješanje morta, premještanje korita;
- davanje uzoraka;
- unutarnji transport, vertikalni i horizontalni, do mjesta ugradbe;
- pripremu podloge sa čišćenjem;
- sva krpanja na spojevima sa limarijom, bravarijom, skelama i drugim materijalima;
- primjenu mjera zaštite na radu i korištenje osobne zaštitne opreme;
- dovođenje vode, plina i struje od priključaka na gradilištu do mjesta potrošnje;
- isporuku pogonskog materijala;
- čišćenje nakon završetka radova.
Opći uvjeti mijenjaju se ili nadopunjuju opisom pojedine stavke troškovnika.
KROVOPOKRIVAČKI RADOVI
Izvođač krovopokrivačkih radova treba se pridržavati nacrta, opisa pojedinih stavaka troškovnika, te postojećih propisa HRN U.F4.010 i HRN U.F2.024 ili jednakovrijedno.</t>
  </si>
  <si>
    <t>Sav materijal za izradu krovopokrivačkih radova mora zadovoljavati odgovarajuće propise i norme:
- pokrov limom HRN U.N9.053 ili jednakovrijedno;
- ljepenke HRN U.M3.232 ili jednakovrijedno;
- polietilenska folija HRN G.C1.290 ili jednakovrijedno;
- bitumenska traka sa uloškom od aluminijske folije HRN U.M3.230 ili jednakovrijedno;
- jednostruka bitumenizirana aluminijska folija HRN U.M3.229 ili jednakovrijedno;
- aluminijska folija HRN C.C4.025 ili jednakovrijedno;
- elastobit HRN U.M3.242 ili jednakovrijedno;
- mort HRN U.M2.010, 012 ili jednakovrijedno;
- valoviti krovni aluminijski lim HRN C.C4.061, 120, 160 ili jednakovrijedno.
Ako je opis koje stavke izvođaču nejasan treba pravovremeno prije predaje ponude tražiti objašnjenje. Eventualne izmjene materijala, te načina izvedbe tokom gradnje, moraju se izvršiti isključivo pismenim dogovorom s projektantom i nadzornim inženjerom.
Ukoliko se stavkom troškovnika traži pokrov materijalom koji nije obuhvaćen propisima, ima se u svemu izvesti prema uputama proizvođača, te s garancijom i certifikatima od za to ovlaštenih ustanova.
Prije početka radova dužan je izvođač krovopokrivačkih radova dati sve podatke o donjoj konstrukciji (na kojoj leži pokrov), odnosno pregledati je. Ako je donja konstrukcija neispravna dužan je o tome obavijestiti investitora, te zatražiti ispravke. U slučaju da se pokrov položi na neispravnu podlogu, kasniji popravci vrše se na račun krovopokrivača.
Obračun se vrši prema normama GN 361 i GN 561 ili jednakovrijedno.</t>
  </si>
  <si>
    <t>Jedinična cijena treba sadržavati:
- dobavu kompletnog materijala, uključivo dopremu na gradilište, uskladištenje, te donos na mjesto ugradbe;
- sav rad;
- dobavu i održavanje potrebnog alata, dizala, užadi, ljestava, zaštitnih dasaka i/ili sl.;
- izmjere potrebne za izvedbu i obračun;
- troškove ispitivanja sumnjivog materijala u svrhu dokaza da je upotrijebljen dogovoreni materijal;
- primjenu mjera zaštite na radu i korištenje osobne zaštitne opreme;
- dovođenje vode i struje od priključaka na gradilištu do mjesta potrošnje;
- isporuku pogonskog materijala;
- odstranjivanje otpadaka i smeća od vlastitih radova sa krova, iz žljebova, iz odvodnih cijevi i/ili sl.;
- popravak štete učinjene nepažnjom pri radu na svojim ili tuđim radovima.
Opći uvjeti mijenjaju se ili nadopunjuju opisom pojedine stavke troškovnika.
LIMARSKI RADOVI
Sve limarske radove izvesti točno prema opisu u troškovniku. Ovi tehnički uvjeti odnose se na sve vrste pokrivanja i opšivanja limom u građevinarstvu, kao i izradu i montažu oluka, ventilacijskih i sličnih cijevi, te obradu prozora, otvora itd.</t>
  </si>
  <si>
    <t>Materijal i elementi koje izvoditelj isporučuje i ugrađuje na objektu moraju biti novi (neupotrebljavani), ako to nije drugačije predviđeno u opisu radova. Po kvaliteti i dimenzijama materijali moraju odgovarati slijedećim hrvatskim normama, propisima i standardima:
- čelični lim HRN C.B4.011; 017; 030; 110; 113 ili jednakovrijedno;
- pocinčani čelični lim HRN C.B4.081 i HRN C.E4.020 ili jednakovrijedno;
- olovni lim HRN C.E4.040 ili jednakovrijedno;
- bakreni lim HRN C.D4.500 i HRN C.D4.020 ili jednakovrijedno;
- limovi od aluminija i aluminijskih legura HRN EN 485 ili jednakovrijedno, HRN C.C4.020, 025, 050, 051, 060,
120, 150, 160 ili jednakovrijedno;
- profilirani trapezasti lim sa pečenim lakom HRN C.C4.061, 062, 065 ili jednakovrijedno;
- limene klupčice 		HRN U.N9.052 ili jednakovrijedno;
- odvodnja krova limom 	HRN U.N9.053 ili jednakovrijedno;
- pokrov krova limom 	HRN U.N9.054 ili jednakovrijedno;
- limeni opšavi zgrada 	HRN U.N9.055 ili jednakovrijedno.
Svi ostali materijali, koji nisu obuhvćeni normama, moraju imati certifikate od za to ovlaštenih organizacija.
Ako je opis koje stavke izvođaču nejasan treba pravovremeno prije predaje ponude tražiti objašnjenje. Eventualne izmjene materijala, te načina izvedbe tokom gradnje, moraju se izvršiti isključivo pismenim dogovorom sa projektantom i nadzornim inženjerom. Sve više radnje koje neće biti na taj način utvrđivane, neće se priznati u obračun.
Ukoliko se traži stavkom troškovnika pokrov materijalom koji nije obuhvaćen propisima, ima se u svemu izvesti prema uputama proizvođača, te</t>
  </si>
  <si>
    <t>s garancijom i certifikatima od za to ovlaštenih ustanova.
Ispod svih opšava treba položiti sloj krovne ljepenke, ukoliko je u stavci troškovnika tako naznačeno. Izvođač je prije izvedbe limarije dužan uzeti sve izmjere u naravi, a također je dužan prije početka montaže ispitati sve dijelove gdje se imaju izvesti limarski radovi, te na eventualnu neispravnost istih upozoriti investitora, jer će se u protivnom svi naknadni popravci izvršiti na račun izvođača limarskih radova.
Način izvedbe i ugradbe, te obračun u svemu prema normama za izvođenje završnih radova u građevinarstvu, GN 771 ili jednakovrijedno.
Pocinčani limovi i limovi pocinčani olovom ili bakrom, moraju biti glatki, ravni, bez kora i mjehura, te se moraju dati lako savijati i obrađivati. Pri savijanju ne smiju pucati niti se ljuštiti.
Plastični materijali uglavnom služe za presvlačenje limova. Oni moraju biti postojani na temperaturne promjene, vodonepropusni, otporni na vlagu itd. Njegova čvrstoća, otpornost na kemijske i atmosferske utjecaje, temperaturu, kao i elastičnost, moraju odgovarati namjeni i predviđenom vijeku trajanja. Plastični materijali moraju imati ateste od strane proizvođača u kojima su ispitivanjem provjerene navedene osobine.
Pomoćni vezivni materijali moraju odgovarati odredbama hrvatskih ili jednakovrijednih normi. Izvoditelj je dužan prije početka radova provjeriti sve građevinske elemente na koje ili za koje se pričvršćuje limarija, te pismeno dostaviti naručitelju svoje primjedbe u vezi eventualnih nedostataka, naročito u slučaju:
- nepodesnog izbora projektnog materijala;
- loše riješenog vezivanja limarije za građevinske elemente;
- nemogućnost bezopasnog čišćenja za predviđeno korištenje.</t>
  </si>
  <si>
    <t>Izvoditelj je dužan pripremiti limariju od zahtijevanog materijala koji će odgovarati predviđenom načinu vezivanja i svim ostalim zahtjevima. Dijelovi različitog materijala ne smiju se dodirivati ako bi uslijed toga moglo doći do korozije ili do kakvih drugih štetnih utjecaja. Elementi od čelika za pričvršćivanje cinčanog i pocinčanog lima moraju se pocinčati, ako u opisu radova nije predviđena neka druga zaštita (postavljanje podmetača od olova ili plastike otpornih na kiseline i baze). Za bakreni lim treba primijeniti učvrščivače od bakra ili bakrenog čelika.
Za učvršćivanje treba primijeniti:
- čelični lim - crne čelične zakovice;
- za pocinčani lim ili olovni lim - dobro pocinčane zakovice;
- za bakreni lim - bakrene zakovice.
Spajanje limova od pocinčanog ili olovnog lima vrši se lemljenjem mekim lemom. Sastavi i učvršćivanje moraju biti tako izvedeni da elementi pri toplotnim promjenama mogu nesmetano dilatirati, a da pri tom ostanu nepropusni, te se moraju osigurati od oštećenja koje može izazvati oluja. Protiv štetnog utjecaja morta ili opeke, limene površine se mogu zaštititi međuslojem od čvrstog papira (krovna ljepenka), ako u opisu radova nije ništa drugo predviđeno. Ukoliko pri izvedbi pocinčani lim dolazi u dodir s plosnim željezom, isto treba ugradbe očistiti i dva puta minizirati.
Pri ugradbi aluminijskog lima mora se raditi strogo po uputstvima proizvođača.
Sve obrubne limove i podložne limene trake izolirati od podloge bitumeniziranom ljepenkom, a što ulazi u cijenu pojedine stavke. Međusobni spojevi lima izvedeni su lemljenjem, a kod većih dužina limova svakih cca 6 m spojeve izvesti na dvostruki preklop koji omogućava rad lima.
Ukoliko nastane razlika između troškovnika i detalja, za ispravnost procjene mjerodavan je detalj.</t>
  </si>
  <si>
    <t>Jedinična cijena mora sadržavati:
- dobavu kompletnog materijala, uključivo s dopremom na gradilište, uskladištenjem, te donosom na mjesto ugradbe;
- sav rad na gradnji i u radioni;
- dobavu i održavanje potrebnog alata, skela, dizala, užadi, ljestava, zaštitnih dasaka i/ili sl.;
- izmjere potrebne za izvedbu i obračun;
- osvjetljavanje, čišćenje i grijanje prostorija za boravak, te sanitarije za radnike;
- zaštitu izvedenih radova do primopredaje;
- svi posredni i neposredni troškovi za rad, materijal, transport, alat i građ. strojeve;
- označavanje mjesta za štemanje;
- ugradbu u zid obujmica, u pod slivnika i slično;
- dobavu i ugradbu pakni, odnosno ugradbu limarije upucavanjem;
- čišćenje i miniziranje željeznih dijelova;
- dobavu i polaganje podložne ljepenke;
- sva potrebna zaštitna i radna skela, osim za radove za koje se koristi fasadna skela, u vrijeme izrade fasade;
- pocinčavanje čeličnih elemenata;
- isporuku drvenih letvi kod metalnih krovova;
- primjenu mjera zaštite na radu i korištenje osobne zaštitne opreme;
- dovođenje vode i struje od priključaka na gradilištu do mjesta potrošnje;
- isporuku pogonskog materijala;</t>
  </si>
  <si>
    <t>- odstranjivanje otpadaka i smeća od vlastitih radova sa krova, žljebova i odvodnih cijevi;
- popravak loše izvedenih radova;
- popravak štete učinjene nepažnjom pri radu na svojim ili tuđim radovima.
Zamjenski materijal bolje kvalitete od tražene obračunava se po nabavnoj cijeni ako je ona manja od ugovorene, a po ugovorenoj cijeni ako je nabavna veća od ugovorene.
Opći uvjeti mijenjaju se ili nadopunjuju opisom pojedine stavke troškovnika.
FASADNA DRVENA STOLARIJA
Ugradba u zidove od opeke, armiranog betona i/ili sl, izvana obložene žbukom, ojačanom žbukom, i/ili sl.
Svi spojni elementi i profili (uglovni, bočni, donji, gornji, međusobni i/ili sl.) imaju biti obuhvaćeni jediničnim cijenama stavki (neovisno o tome da li su posebno specificirani ili ne). Isto tako svi pragovi imaju biti obuhvaćeni u jedinične cijene. Sve maske (bočne, gornje, oko kutija i/ili sl.) izvesti od tipskih profila, prema izboru nadležnog konzervatora, te uključiti u jedinične cijene (neovisno bilo to posebno specificirano u stavci/shemi ili ne).
Sav okov ima biti obuhvaćen, bio posebno specificiran stavkom ili ne, vidljivih dijelova oblikovanih prema izboru nadležnog konzervatora. Ugradba je pomoću slijepog dovratnika, odnosno doprozornika.
Detalje riješiti u skladu s troškovnikom, shemama, općim uvjetima i mjerama uzetim na objektu. Uz svaku stavku potrebno je obuhvatiti još i</t>
  </si>
  <si>
    <t>izradu, transport, montažu, ugradbu i/ili sl, odnosno sve potrebno za potpunu izvedbu i gotovost do stanja potpuno spremnog za uporabu.
Izvođač je dužan materijal i izvedbu temeljiti na potrebnim propisima, certifikatima i standardima.
Svi materijali i radovi imaju odgovarati Tehničkom propisu za prozore i vrata (NN 69/06).
STAKLARSKI RADOVI
Staklarske radove treba izvesti po opisu troškovnika, te u skladu sa postojećim normama HRN U.F2.025 ili jednakovrijedno. Sav materijal za izradu staklarskih radova mora zadovoljavati odgovarajuće propise:
- ravno (vučeno) prozorsko staklo HRN B.E1.011 ili jednakovrijedno;
- liveno (sirovo, ornament i sl.) staklo HRN B.E1.050 ili jednakovrijedno;
- armirano staklo - ravno HRN B.E1.080 ili jednakovrijedno;
- sigurnosno staklo HRN B.E3.701 ili jednakovrijedno;
- staklarski kitovi HRN H.C6.050 ili jednakovrijedno.
Svi materijali (stakla, kitovi i/ili sl.) koji nisu obuhvaćeni normama, moraju imati certifikate od za to ovlaštenih ustanova te, ovisno o mjestu ugradbe, odgovarati Tehničkom propisu za prozore i vrata (NN 69/06).
Ako je opis koje stavke izvođaču nejasan treba pravovremeno prije predaje ponude tražiti objašnjenje. Eventualne izmjene materijala, te načina izvedbe tokom gradnje, moraju se izvršiti isključivo pismenim dogovorom sa projektantom i nadzornim inženjerom. Sve više radnje koje neće biti na taj način utvrđene neće se priznati u obračunu.</t>
  </si>
  <si>
    <t>Prije rezanja izvođač staklarskih radova treba uzeti (provjeriti) sve mjere u naravi. Kod rada sa izo-staklom ne dozvoljavaju se nikakva naknadna prekrajanja "izo" staklene plohe. Stolarija i bravarija se ustakljuje nakon drugog grundiranja, nakon što su elementi ugrađeni i okovani. Stolariju od tvrdog drveta ostakliti pomoću kita i čavlića, letvica i vijaka i/ili sl.
Preciznost izvedbe: sve elemente izvesti bez odstupanja od veličine, odnosno maksimalno dozvoljeno odstupanje je 0,05 0/00 po elementu.
Ustakljenje razbitih okana snosi uzrokovatelj štete (koja se investitoru ne smije zaračunati). Ako se uzrokovatelj štete ne pronađe tada troškove snosi građevno poduzeće koje izvodi staklarske radove. Ukoliko je staklo puklo zbog nepropisnog ustakljenja, onda ga mora izvođač staklarskih radova ponovo ustakliti na svoj račun. Svako se okno mora ustakliti iz jednog komada stakla (tj. jedne staklene plohe).
Zamjenski materijal bolje kvalitete od tražene obračunava se po nabavnoj cijeni ako je ona manja od ugovorene, a po ugovorenoj cijeni ako je nabavna veća od ugovorene.
Obračun se vrši prema postojećim normama za izvođenje završnih radova u građevinarstvu GN 681 ili jednakovrijedno.
Jedinična cijena treba sadržavati:
- uzimanje mjera za izvedbu i obračun;
- sav rad u radionici, pripremu i rezanje, te rad na gradnji;
- transport materijala na gradilište, uskladištenje te donos na mjesto ugradbe, kao i eventualno vraćanje;
- sav potrebni materijal, glavni i za ugradbu;
- korištenje manjih strojeva i alata;
- skidanje i po ustakljenju ponovo vješanje prozorskih i vratnih krila, te povezivanje prozora krilo na krilo;
- davanje uzoraka stakla;
- uklanjanje štete iz nepažnje, na svom ili tuđem radu, pri obavljanju staklarskih radova;</t>
  </si>
  <si>
    <t>- uklanjanje otpadaka i čišćenje nakon ustakljenja, kao i samo čišćenje utora za ustakljenje;
- primjenu mjera zaštite na radu i korištenje osobne zaštitne opreme;
- isporuku pogonskog materijala;
- osiguranje prostorija za boravak i sanitarija za izvođača sa osvjetljenjem, čišćenjem i grijanjem istih;
- zaštitu izvedenih radova do primopredaje.
Opći uvjeti mijenjaju se ili nadopunjuju opisom pojedine stavke troškovnika.
BRAVARSKI RADOVI
Prije početka izvođenja ugovorenih radova sve nejasnoće riješiti s projektantom.
Izvođač predlaže projektantu svoje detalje i radioničke nacrte i može započeti sa radom kad projektant iste pismeno odobri. Izvođač je dužan materijal i izvedbu temeljiti na potrebnim propisima, certifikatima i normama.
Projektant odabire okov (vidljivi) za bravariju. Svi spojevi izvode se u pravilu varenjem, a spojevi letvica za staklo vijcima. Sva zaokretna vrata dobivaju po jedan gumeni odbojnik (uključeno u cijenu stavke), oblika i boje prema izboru projektanta.
Izvedba i svi elementi i materijali završne obrade u svemu prema izboru projektanta.
Ključevi ulaze u cijene stavki, kao i usklađivanje sistema ključeva sa ostalim vratima i bravama (koja mogu ali i ne moraju biti predmet obrade ovih radova).
Bravarija se preuzima kao gotova tek iza ugradbe po bravaru, a za funkcionalnost i ispravnost garantira izvođač.</t>
  </si>
  <si>
    <t>Svi materijali i radovi imaju odgovarati Tehničkom propisu za prozore i vrata (NN 69/06).
Svi bravarski radovi moraju biti izrađeni, dostavljeni, montirani na objektu prema uzancama za tu vrstu zanata, a u svemu prema slijedećoj potrebnoj dokumentaciji:
- shemama bravarije;
- opisu radova u troškovniku;
- uzetim mjerama na objektu;
- pismenim dogovorima s projektantom.
Normativi za izvedbu bravarskih radova:
- opći građevinski čelici HRN C.B050C ili jednakovrijedno;
- okrugli čelici, vruće valjani HRN C.B3.021 ili jednakovrijedno;
- kvadratni čelici, vruće valjani HRN C.B3.024 ili jednakovrijedno;
- široki plosnati čelici, vruće valjani HRN C.B3.030 ili jednakovrijedno;
- vučeni čelici HRN C.B3.402 ili jednakovrijedno;
- čelični limovi HRN C.B4.110-112 ili jednakovrijedno;
- toplo valjani rebrasti lim HRN C.B4.114 ili jednakovrijedno;
- mehanička ispitivanja kovina HRN C.A4.001 ili jednakovrijedno;
- metoda ispitivanja kem. sastava čelika i željeza HRN C.A2.010, HRN C.A1.041 ili jednakovrijedno;
- tehnička zavarivanja kovina HRN C.T3.001 ili jednakovrijedno:</t>
  </si>
  <si>
    <t>HRN C.T3.011 ili jednakovrijedno;
HRN C.T3.020 ili jednakovrijedno;
HRN C.T3.030 ili jednakovrijedno;
HRN C.T3.040 ili jednakovrijedno;
HRN C.T3.051 ili jednakovrijedno;
HRN C.T3.052 ili jednakovrijedno;
HRN C.T3.061 ili jednakovrijedno;
- osiguranje kakvoće završnih radova HRN C.T3.071, HRN C.T3.082 ili jednakovrijedno;
- zaštita od korozije HRN C.T7.105 ili jednakovrijedno:
HRN C.T7.114 ili jednakovrijedno;
HRN C.T7.320 ili jednakovrijedno;
HRN C.T7.322 ili jednakovrijedno;
HRN C.T7.329 ili jednakovrijedno;
HRN C.T7.330 ili jednakovrijedno;
HRN C.T7.362 ili jednakovrijedno;
HRN C.T7.363 ili jednakovrijedno;
HRN C.T7.366 ili jednakovrijedno;
HRN C.T7.371 ili jednakovrijedno;
HRN C.T7.378 ili jednakovrijedno;
- alu. legure za lijevanje:</t>
  </si>
  <si>
    <t>- specijalni složeni profili od aluminija i alu-legura HRN C.C3 ili jednakovrijedno;
- limovi i trake od aluminija HRN C.C4.020 ili jednakovrijedno;
- aluminijska folija HRN C.C4.025 ili jednakovrijedno;
- valoviti krovni limovi od aluminija i alu-legura HRN C.C4.061 ili jednakovrijedno;
- staklarski kitovi HRN U.C6.050 ili jednakovrijedno;
- bravarski elementi HRN U.CU.100 ili jednakovrijedno.
Opći uvjeti mijenjaju se ili nadopunjuju opisom pojedine stavke troškovnika.</t>
  </si>
  <si>
    <t>3.</t>
  </si>
  <si>
    <t>KROVOPOKRIVAČKI I LIMARSKI RADOVI</t>
  </si>
  <si>
    <t>NAPOMENA: Radovi se izvode prema opisu u troškovniku, prema podacima iz projektne dokumentacije, uz rješavanje svih eventualnih pitanja u suradnji s projektantom i u skladu sa važećim standardima. Sav upotrebljeni materijal mora odgovarati postojećim propisima i standardima. Sve su dimenzije konstruktivnih elemenata date okvirno. Prije izvedbe obavezno uzeti točne mjere na građevini.
Opšave krovova s hidroizolacijskom membranama od TPO-a izvesti tipskim fazonskim elementima: pocinčani i obojen čelični lim, antikorozivno zaštićen, jednostrano kaširan TPO folijom debljine 1,8 mm. Uključivo sva potrebna kitanja trajnoelastoplastičnim kitovima i sl.
Karakteristike hidroizolacijskih folija (traka) od mekog TPO-a:
Trake od umjetnih materijala, armirane staklenim voalom: deblj. 1,8 mm, gustoća cca 1,8 kg/m2, čvrstoća na paranje 9 N/mm2 s 600 % rastezanja,</t>
  </si>
  <si>
    <t>koeficijent paropropusnosti D=2,6x10-3 mg/m2hPa, koeficijent difuzne otpornosti m=155000, postojanost na -30°C, promjena oblika na toplini 0,1 %.
Trake se homogeno spaja termičkim zavarivanjem vrućim zrakom. Područje šava prije zavarivanja sa obje strane obraditi tipskim preparatorima.
Spojeve traka izvesti kao ravne šavove i poprečne spojeve. Križni spojevi nisu dozvoljeni. Izvođač je dužan ispitati svaki zavareni šav. Pregibe izvesti kao mehanički učvršćene pregibe (tipski profil za mehaničko učvršćenje, od specijalno pocinčanog trakastog čelika, sa najmanje 4 vijka po m1 i zavarenom pokrivnom hidroizolacionom trakom min. šir. 20 cm). Kuteve (unutarnje, vanjske i sl.) izvesti tipskim zavarenim fazonskim komadima u tehnologiji proizvođača upotrijebljenih materijala.
Sve drvene elemente zaštititi od crvotočina, drvojetki, truljenja i/ili sl, te uključiti svu</t>
  </si>
  <si>
    <t>potrebnu antikorozivnu zaštitu metalnih elemenata.
Završna je obrada materijalima, tonovima i nijansama po izboru projektanta.
Rješenja načina izvedbe i svih detalja u svezi krovopokrivačkih radova mora izvoditelj obvezno predočiti projektantu i tek nakon ovjere istih od strane projektanta može pristupiti izvedbi radova. Izrada rješenja neće se posebno platiti već predstavlja trošak i obvezu izvoditelja.
Prilikom izvođenja radova mora se izvoditelj striktno pridržavati usvojenih i od strane projektanta prihvaćenih materijala i ovjerenih detalja.
Sve radove u svezi izvedbe i detalja sa njima povezanim koji se izvode po odabranom specifičnom proizvođaču, treba obvezno izvesti po detaljima i tehnološkim rješenjima istog. To se odnosi kako na korištenje materijala tako i na uporabu odgovarajućeg alata. Glede specifičnosti gore</t>
  </si>
  <si>
    <t>navedenih radova, izvoditelj je dužan prije davanja ponude obvezno se upoznati s načinom i detaljima izvođenja radova i izolacija koji su opisani ovim troškovnikom, te s tehnologijom i specifičnostima izvođenja radova odabranog proizvođača.
U cijeni treba također uključiti izvedbu i obradu pokrova po detaljima kod prelaza, lomova i sudara ploha, završetaka krova, oko raznih šahtova, kanala i prodora kroz krovnu plohu, sve do potpune gotovosti i funkcionalnosti.
Osim ako to pojedinom stavkom nije drugačije specificirano, sve radove izvesti obostrano pocinčanim i obojenim čeličnim limom potrebne debljine (0,8 mm ili debljim). Uključivo sva potrebna antikorozivna zaštitu svih elemenata. Obratiti pažnju na izbjegavanje stvaranja galvanskih članaka (uključivo sav potreban izolacijski materijal). Uključivo sav potreban spojni, pročvrsni i brtveni materijal, eventualno</t>
  </si>
  <si>
    <t>potreban podložni sloj polimer bitumenske trake, difuzne krovne folije i/ili sl., bez posebne napomene.
Limarski elementi su izrađeni iz obostrano pocinčanog čeličnog lima (275 g/m2 cinka, sukladno HRN EN 10346 ili jednakovrijedno), koji je obojen standardnom poliester bojom (SP), debljine 25 µm (vanjska strana), te 15 µm (unutarnja strana), sukladno HRN EN 10169/1 ili jednakovrijedno, nijanse prema ton karti RAL, a po izboru projektanta. Nevidljiva unutarnja strana obloge izolacijskih panela zaštićena je lakom debljine 5 µm. Odstupanja su označena u pojedinim detaljima.
Prije izvedbe radioničke nacrte dostaviti projektantu na pregled i pismeno odobrenje. Završna je obrada materijalima, tonovima i nijansama prema izboru projektanta.
Sav upotrijebljeni materijal i finalni građevinski proizvodi moraju odgovarati</t>
  </si>
  <si>
    <t>postojećim tehničkim propisima i HR ili jednakovrijednim normama. Prilikom izvedbe limarskih radova treba se u svemu pridržavati slijedećih propisa i normi:
- Pravilnik o zaštiti na radu u građevinarstvu;
- Pravilnik o tehničkim mjerama i uvjetima za završne radove u građevinarstvu;
- Tehnički uvjeti za izvođenje limarskih radova;
HR norme:
- pocinčani lim HRN C.E4.020 ili jednakovrijedno;
- aluminijski lim HRN C.C4.020, 025, 050, 051, 060, 120, 150, 160 ili jednakovrijedno, te HRN EN 485 ili jednakovrijedno.
Pomoćni i vezivni materijali kalaj, zakovice, zavrtnji i drugo moraju odgovarati odredbama HR normi ili jednakovrijednim.
Sve radove treba izvesti stručno i solidno, sukladno tehničkim propisima. Izvoditelj je dužan na zahtjev investitora ili nadzornog inženjera predočiti uzorke i prospekte za pojedine</t>
  </si>
  <si>
    <t>materijale. Nestandardiziran materijal mora imati atest o kvaliteti izdan od organizacije ovlaštene za izdavanje atesta. Izvoditelj je također dužan da za svaku stavku izradi detaljni crtež i ovjeri ga kod projektanta i nadzornog inženjera.
Različite vrste metala, koje se uslijed elektrolitskih pojava međusobno razaraju, ne smiju se izravno dodirivati. Sve željezne dijelove koji dolaze u dodir s cinkom ili pocinčanim limom treba preličiti asfaltnim lakom, ili odgovarajućim sredstvom. Kod polaganja lima na masivne podloge, potrebno je podloge prije oblaganja obložiti slojem krovne ljepenke br. 120 radi sprečavanja štetnih kemijskih uticaja na lim.
Sva se učvršćenja i povezivanja limova moraju izvesti tako da konstrukcija bude osigurana od nevremena, atmosferilija i prodora vode u objekt, i da pojedini dijelovi mogu nesmetano raditi kod temperaturnih promjena bez štete po ispravnost</t>
  </si>
  <si>
    <t>konstrukcije.
U jediničnim cijenama uračunato je:
- naknada za kompletni rad (izrada i ugradba);
- materijal;
- svi vanjski i unutarnji, horizontalni i vertikalni transporti;
- premazivanja asfalt lakom, podlaganje krovne ljepenke;
- sav sitni i spojni materijal i materijal za učvršćenje (kuke, plosna željeza, žica za učvršćenje, vijci, zakovice i/ili sl.).
Izmjere je potrebno izvršiti na gradilištu, nakon izvedbe. Obračun se vrši po m1, m2 ili komadu, ovisno o vrsti elementa, prema važećim građevinskim normama za pojedine radove, te stvarno izvedenim količinama. Odrezi panela se ne odbijaju. Eventualne nejasnoće oko načina izvedbe ili obračuna izvoditelj je dužan razjasniti s nadzornim inženjerom prije samog pristupanja izvođenju.</t>
  </si>
  <si>
    <t>Uključivo sve potrebne tipske profile, elemente, fazonske komade i/ili sl. Obaveza je izvođača proučiti sve projekte predmetne građevine, te u jedinične cijene stavki uračunati sve radove, potrebne materijale, njihove količine i/ili sl. (eventualno ne specificirane posebno u samom troškovniku), a koji su potrebni za potpuno dovršenje građevine, tj. dovođenje u stanje "potpuno spremno za uporabu", do pune gotovosti i funkcionalnosti. Svi takvi radovi i materijali trebaju biti uračunati u jedinične cijene.
Obračun radova vrši se prema važećim propisima, po stvarno izvedenim količinama. Jediničnom cijenom obuhvaćen je sav rad, potreban materijal s transportom na gradilište, skele potrebne za izvođenje pojedinih radova, primjena mjera zaštite na radu i drugih važećih propisa.</t>
  </si>
  <si>
    <t>RB</t>
  </si>
  <si>
    <t>STAVKA</t>
  </si>
  <si>
    <t>JEDINICA MJERE</t>
  </si>
  <si>
    <t>KOLIČINA</t>
  </si>
  <si>
    <t>JEDINIČNA CIJENA</t>
  </si>
  <si>
    <t>UKUPNA CIJENA</t>
  </si>
  <si>
    <t>3.1.</t>
  </si>
  <si>
    <t>STANDARDNA KROVNA OBLOGA</t>
  </si>
  <si>
    <t>Realizacija pokrova tehničkih karakteristika Broof (t1) na standardnoj prefabriciranoj armiranobetonskoj konstrukciji kosog dvostrešnog krova nagiba 5% (K1).
Izvedba u svemu prema standardnoj tehničkoj specifikaciji prodajnog mjesta Eurospin - točka 3.1.</t>
  </si>
  <si>
    <t>3.1.1.</t>
  </si>
  <si>
    <t>Krovna obloga završno s TPO / FPO membranom</t>
  </si>
  <si>
    <t/>
  </si>
  <si>
    <t>3.1.1.2.</t>
  </si>
  <si>
    <t>Visoko profilirani trapezni lim</t>
  </si>
  <si>
    <t>Dobava materijala, izrada i ugradnja visoko profiliranog vruće pocinčanog čeličnog lima s trapeznim presjekom, obostrano plastificiranog, za ravni krov dvostrešnog nagiba 5%.
Ploče trapeznog lima se sastavljaju na licu mjesta u jedinstven sustav putem spojeva, preklapanja i/ili uzdužnih mehaničkih ograničenja i fiksiraju na predgotovljene armiranobetonske elemente i čeličnu nosivu konstrukciju, grede, odgovarajućim spojnim elementima. Visina i debljina prema statičkom izračunu, tip kao Münker Metallprofile M 150/280 Pozitiv debljine 1,0 i 1,5 mm.
Montaža mora osigurati, u blizini otvora i svjetlarnika, postavljanje C profila koji povezuju podkonstrukciju i okvir svjetlarnika. C profili moraju biti pričvršćeni na vrh valovitog lima.
Svojstva:
Završna obrada unutarnja strana: 15 µm poliester,</t>
  </si>
  <si>
    <t>RAL 9010 čisto bijelo
Završna obrada vanjska strana: 12 µm poliester/RSL, slično RAL 9002 (sivo-bijelo)
Profil: 150 /280 mm
Debljine lima: 1,0 mm, 1,5 mm
Statički sustav: postava na pozitivnu stranu, višepoljni nosač (kroz dva ili više polja) ili kontinuirano
U cijenu uključena montaža, spojna sredstva, sav ostali rad i ostali sitni materijal te ostale usluge kako bi se stavka izvela do gotove funkcionalnosti.
Izvedba u svemu prema standardnoj tehničkoj specifikaciji prodajnog mjesta Eurospin - točka 3.1.1.
Obračun po m2.</t>
  </si>
  <si>
    <t>3.1.1.2.a.</t>
  </si>
  <si>
    <t>m²</t>
  </si>
  <si>
    <t>UKUPNO:</t>
  </si>
  <si>
    <t>m</t>
  </si>
  <si>
    <t>komad</t>
  </si>
  <si>
    <t>Krovna obloga završno s TPO / FPO membranom UKUPNO:</t>
  </si>
  <si>
    <t>3.3.</t>
  </si>
  <si>
    <t>NESTANDARDNI RADOVI - RAVNI KROV POSTOJEĆEG DIJELA ZGRADE</t>
  </si>
  <si>
    <t>Realizacija pokrova tehničkih karakteristika Broof (t1) na nestandardnoj horizontalnoj monolitnoj armiranobetonskoj konstrukciji (K2).
Izvedba u svemu prema standardnoj tehničkoj specifikaciji prodajnog mjesta Eurospin.</t>
  </si>
  <si>
    <t>3.3.3.</t>
  </si>
  <si>
    <t>Vertikale krovne vode na postojećem dijelu građevine</t>
  </si>
  <si>
    <t>Izvedba i postavljanje vertikalnih oluka - otpadnih cijevi krovne vode kružnog presjeka DN 110 od pocinčanog plastificiranog lima d=0,7 mm sa svim fazonskim komadima, pričvrsnim elementima i spojnim sredstvima. Uključivo izrada potrebnih ogrlica od plosnog profila na svakih 2,0 m za ugradbu uz zid obložen toplinskom fasadom debljine 15+4 (stara žbuka) cm.
Cijevi priključiti sa gornje strane na odvod krovnog slivnika uključujući koljeno za prolaz kroz atiku i sa vanjske strane atike na prihvatni lončić sa priključkom na vertikalnu odvodnu cijev (lonac je pokriven tipskom rešetkom i predviđen sa mrežicom za hvatanje lišća i sl.) na koji se nastavlja vertikalni oluk. Sa donje strane vertikalni oluk se priključuje na ljevanoželjeznu kanalizacionu cijev visine 2 m. Cijevi su profila 125 mm. Pri prolazu oluka kroz atiku zgrade isti treba obložiti ljepenkom i kamenom vunom "u rinfuzi".</t>
  </si>
  <si>
    <t>Vertikalni oluci koji se nalaze na strani postojeće zgrade uz koju se izvodi dogradnja, spuštaju se do novog krova gdje se izvodi fazonski komad za izljev na krov.
Boja po izboru investitora.
Stavka uključuje dobavu i postavu svih fazonskih komada, kuka, spojnica, koljena i dr. te izvedbu kvalitetnih spojeva na postojeći pokrov i odvodnju (uključivo potrebni opšav).
Obračun po m' razvijene dužine vertikalnog oluka i po kom kompletno izvedenih fazonskih elemenata.</t>
  </si>
  <si>
    <t>3.3.3.a.</t>
  </si>
  <si>
    <t>vertikalni oluci</t>
  </si>
  <si>
    <t>3.3.3.b.</t>
  </si>
  <si>
    <t>spoj na krovni slivnik i koljeno za prolaz kroz atiku</t>
  </si>
  <si>
    <t>3.3.3.c.</t>
  </si>
  <si>
    <t>priključni lončić</t>
  </si>
  <si>
    <t>3.3.3.d.</t>
  </si>
  <si>
    <t>lijevanoželjezna kanalizacijska cijev</t>
  </si>
  <si>
    <t>3.3.3.e.</t>
  </si>
  <si>
    <t>izljev na krov</t>
  </si>
  <si>
    <t>3.3.4.</t>
  </si>
  <si>
    <t>Sigurnosni preljev krovne vode na postojećem dijelu građevine</t>
  </si>
  <si>
    <t>Dobava materijala, izrada i ugradnja sigurnosnog preljeva krova od termolakiranog pocinčanog lima debljine 0,8 mm, pravokutnog presjeka kanala dimenzija s.o. 20x10 cm, varijabilne dužine 30-35 cm, 37-42 cm, s vanjskom prirubnicom od lima, zakovicama i brtvama sa posebnim materijalom koji se može bojati.
Preljevi se pozicioniraju u skladu s projektom.
Prodor preljeva kroz vertikalnu hidroizolaciju brtvi se pomoću tipskih obujmica i kitanjem trajnoelastičnim kitom u skladu sa detaljima proizvođača hidroizolacije.
Boja lima RAL 7043, gloss 20.
Izvedba u svemu prema standardnoj tehničkoj specifikaciji prodajnog mjesta Eurospin - točka 3.1.1.
Detalji izvedbe u svemu prema standardnoj tehničkoj specifikaciji prodajnog mjesta Eurospin - grafički prikaz PNS03-8.
Obračun po komadu.</t>
  </si>
  <si>
    <t>3.3.4.a.</t>
  </si>
  <si>
    <t>30-35  cm</t>
  </si>
  <si>
    <t>3.3.4.b.</t>
  </si>
  <si>
    <t>37-42 cm</t>
  </si>
  <si>
    <t>3.3.5.</t>
  </si>
  <si>
    <t>Opšav atike postojećeg dijela građevine</t>
  </si>
  <si>
    <t>Dobava materijala, izrada i ugradnja opšava vijenca nadozida ravnog krova od ravnog obostrano pocinčanog i obojenog čeličnog lima, debljine 0,8 mm, razvijene širine 80 cm.
Opšav se izvodi iz traka lima dužine do 3,0 m, s obostranom okapnicom, u nagibu prema krovu. Spojevi traka se izvode u ravnini opšava pomoću gornje i donje pokrovne trake - ''flastera''.
Opšav se montira na nosače od plosnog čeličnog profila - ''klamere''. U cijeni uključen sav potreban spojni i montažni pribor i potrebni vijci.
U stavci uključeno brtvljenje međusobnih spojeva lima i spojeva lima s okolnom konstrukcijom trajnoelastičnim kitom za vanjske radove.
Boja lima RAL 7043, gloss 20.
Izvedba u svemu prema standardnoj tehničkoj specifikaciji prodajnog mjesta Eurospin.
Obračun po m1.</t>
  </si>
  <si>
    <t>3.3.5.a.</t>
  </si>
  <si>
    <t>NESTANDARDNI RADOVI - RAVNI KROV POSTOJEĆEG DIJELA ZGRADE UKUPNO:</t>
  </si>
  <si>
    <t>3.4.</t>
  </si>
  <si>
    <t>OSTALI NESTANDARNI RADOVI</t>
  </si>
  <si>
    <t>3.4.1.</t>
  </si>
  <si>
    <t>Prozorske klupčice na postojećem dijelu građevine</t>
  </si>
  <si>
    <t>Izrada i ugradba prozorskih klupčica plastificiranim aluminijskim limom deblj. 2,5 mm, razvijene šir. cca 35 cm i sl., boje prema izboru investitora. Kvaliteta materijala AlMgSi 0,5 F22 EN AW-6060. Uključivo potrebne oslonce, sidra, kuke, vijke, podložni sloj, tipske završetke, brtvene trake, kitanje i/ili sl., te sav ostali materijal i pribor.
Izrada u svemu prema detaljima, s mjerama uzetim na gradnji.
Obračun po m1 kompletne izvedbe, do potpune gotovosti i pune funkcionalnosti klupčice.</t>
  </si>
  <si>
    <t>3.4.1.a.</t>
  </si>
  <si>
    <t>r.š. 35 cm</t>
  </si>
  <si>
    <t>3.4.1.b.</t>
  </si>
  <si>
    <t>r.š. 40 cm</t>
  </si>
  <si>
    <t>3.4.2.</t>
  </si>
  <si>
    <t>Opšav oko prozorskih otvora u ukopanim svjetlarnicima</t>
  </si>
  <si>
    <t>Dobava materijala, izrada i ugradnja opšava oko prozorskih otvora od ravnog obostrano pocinčanog i obojenog čeličnog lima, debljine 0,8 mm, razvijene širine 20 cm.
U cijeni uključen sav potreban spojni i montažni pribor i potrebni vijci.
U stavci uključeno brtvljenje međusobnih spojeva lima i spojeva lima s okolnom konstrukcijom trajnoelastičnim kitom za vanjske radove.
Boja lima RAL 7043, gloss 20.
Izvedba u svemu prema standardnoj tehničkoj specifikaciji prodajnog mjesta Eurospin.
Obračun po m1.</t>
  </si>
  <si>
    <t>3.4.2.a.</t>
  </si>
  <si>
    <t>OSTALI NESTANDARNI RADOVI UKUPNO:</t>
  </si>
  <si>
    <t>KROVOPOKRIVAČKI I LIMARSKI RADOVI UKUPNO: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</si>
</sst>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1]"/>
  </numFmts>
  <fonts count="10" x14ac:knownFonts="1">
    <font>
      <sz val="11"/>
      <color rgb="FF000000"/>
      <name val="Calibri"/>
      <family val="2"/>
    </font>
    <font>
      <b/>
      <sz val="14"/>
      <color theme="0"/>
      <name val="Calibri"/>
      <family val="2"/>
      <charset val="238"/>
    </font>
    <font>
      <sz val="9"/>
      <color rgb="FF000000"/>
      <name val="Calibri"/>
      <family val="2"/>
    </font>
    <font>
      <b/>
      <sz val="14"/>
      <color rgb="FF000000"/>
      <name val="Calibri"/>
      <family val="2"/>
    </font>
    <font>
      <b/>
      <sz val="11"/>
      <color rgb="FF000000"/>
      <name val="Calibri"/>
      <family val="2"/>
    </font>
    <font>
      <b/>
      <sz val="9"/>
      <color rgb="FF000000"/>
      <name val="Calibri"/>
      <family val="2"/>
    </font>
    <font>
      <sz val="10"/>
      <color theme="1"/>
      <name val="Arial"/>
      <family val="2"/>
    </font>
    <font>
      <sz val="10"/>
      <name val="Arial"/>
      <family val="2"/>
    </font>
    <font>
      <sz val="10"/>
      <name val="Arial"/>
      <family val="2"/>
      <charset val="238"/>
    </font>
    <font>
      <sz val="8"/>
      <color theme="1"/>
      <name val="Arial"/>
      <family val="2"/>
    </font>
  </fonts>
  <fills count="7">
    <fill>
      <patternFill patternType="none"/>
    </fill>
    <fill>
      <patternFill patternType="gray125"/>
    </fill>
    <fill>
      <patternFill patternType="solid">
        <fgColor rgb="FFA0A0A0"/>
      </patternFill>
    </fill>
    <fill>
      <patternFill patternType="solid">
        <fgColor rgb="FFB4B4B4"/>
      </patternFill>
    </fill>
    <fill>
      <patternFill patternType="solid">
        <fgColor rgb="FFD3D3D3"/>
      </patternFill>
    </fill>
    <fill>
      <patternFill patternType="solid">
        <fgColor rgb="FFC8C8C8"/>
      </patternFill>
    </fill>
    <fill>
      <patternFill patternType="solid">
        <fgColor rgb="FFDCDCDC"/>
      </patternFill>
    </fill>
  </fills>
  <borders count="1">
    <border>
      <left/>
      <right/>
      <top/>
      <bottom/>
      <diagonal/>
    </border>
  </borders>
  <cellStyleXfs count="2">
    <xf numFmtId="0" fontId="0" fillId="0" borderId="0" applyBorder="0"/>
    <xf numFmtId="0" fontId="7" fillId="0" borderId="0"/>
  </cellStyleXfs>
  <cellXfs count="43">
    <xf numFmtId="0" fontId="0" fillId="0" borderId="0" xfId="0"/>
    <xf numFmtId="0" fontId="2" fillId="0" borderId="0" xfId="0" applyFont="1"/>
    <xf numFmtId="0" fontId="0" fillId="0" borderId="0" xfId="0" applyAlignment="1">
      <alignment vertical="top"/>
    </xf>
    <xf numFmtId="0" fontId="3" fillId="0" borderId="0" xfId="0" applyFont="1" applyAlignment="1">
      <alignment wrapText="1"/>
    </xf>
    <xf numFmtId="0" fontId="4" fillId="0" borderId="0" xfId="0" applyFont="1" applyAlignment="1">
      <alignment wrapText="1"/>
    </xf>
    <xf numFmtId="0" fontId="3" fillId="2" borderId="0" xfId="0" applyFont="1" applyFill="1"/>
    <xf numFmtId="0" fontId="2" fillId="0" borderId="0" xfId="0" applyFont="1" applyAlignment="1">
      <alignment horizontal="justify" vertical="top" wrapText="1"/>
    </xf>
    <xf numFmtId="0" fontId="5" fillId="3" borderId="0" xfId="0" applyFont="1" applyFill="1"/>
    <xf numFmtId="0" fontId="5" fillId="3" borderId="0" xfId="0" applyFont="1" applyFill="1" applyAlignment="1">
      <alignment wrapText="1"/>
    </xf>
    <xf numFmtId="0" fontId="5" fillId="3" borderId="0" xfId="0" applyFont="1" applyFill="1" applyAlignment="1">
      <alignment horizontal="center"/>
    </xf>
    <xf numFmtId="0" fontId="2" fillId="0" borderId="0" xfId="0" applyFont="1" applyAlignment="1">
      <alignment horizontal="center"/>
    </xf>
    <xf numFmtId="0" fontId="5" fillId="4" borderId="0" xfId="0" applyFont="1" applyFill="1" applyAlignment="1">
      <alignment horizontal="center" vertical="center" wrapText="1"/>
    </xf>
    <xf numFmtId="0" fontId="5" fillId="5" borderId="0" xfId="0" applyFont="1" applyFill="1"/>
    <xf numFmtId="0" fontId="5" fillId="5" borderId="0" xfId="0" applyFont="1" applyFill="1" applyAlignment="1">
      <alignment wrapText="1"/>
    </xf>
    <xf numFmtId="0" fontId="5" fillId="5" borderId="0" xfId="0" applyFont="1" applyFill="1" applyAlignment="1">
      <alignment horizontal="center"/>
    </xf>
    <xf numFmtId="0" fontId="5" fillId="6" borderId="0" xfId="0" applyFont="1" applyFill="1"/>
    <xf numFmtId="0" fontId="2" fillId="0" borderId="0" xfId="0" applyFont="1" applyAlignment="1">
      <alignment vertical="top"/>
    </xf>
    <xf numFmtId="0" fontId="5" fillId="0" borderId="0" xfId="0" applyFont="1" applyAlignment="1">
      <alignment wrapText="1"/>
    </xf>
    <xf numFmtId="0" fontId="2" fillId="0" borderId="0" xfId="0" applyFont="1" applyAlignment="1">
      <alignment horizontal="justify" wrapText="1"/>
    </xf>
    <xf numFmtId="4" fontId="2" fillId="0" borderId="0" xfId="0" applyNumberFormat="1" applyFont="1"/>
    <xf numFmtId="4" fontId="6" fillId="0" borderId="0" xfId="0" applyNumberFormat="1" applyFont="1" applyAlignment="1">
      <alignment horizontal="center"/>
    </xf>
    <xf numFmtId="4" fontId="8" fillId="0" borderId="0" xfId="1" applyNumberFormat="1" applyFont="1" applyProtection="1">
      <protection locked="0"/>
    </xf>
    <xf numFmtId="0" fontId="2" fillId="0" borderId="0" xfId="0" applyFont="1" applyAlignment="1">
      <alignment wrapText="1"/>
    </xf>
    <xf numFmtId="164" fontId="2" fillId="0" borderId="0" xfId="0" applyNumberFormat="1" applyFont="1"/>
    <xf numFmtId="164" fontId="5" fillId="6" borderId="0" xfId="0" applyNumberFormat="1" applyFont="1" applyFill="1"/>
    <xf numFmtId="164" fontId="5" fillId="5" borderId="0" xfId="0" applyNumberFormat="1" applyFont="1" applyFill="1"/>
    <xf numFmtId="164" fontId="5" fillId="3" borderId="0" xfId="0" applyNumberFormat="1" applyFont="1" applyFill="1"/>
    <xf numFmtId="4" fontId="5" fillId="3" borderId="0" xfId="0" applyNumberFormat="1" applyFont="1" applyFill="1"/>
    <xf numFmtId="4" fontId="5" fillId="4" borderId="0" xfId="0" applyNumberFormat="1" applyFont="1" applyFill="1" applyAlignment="1">
      <alignment horizontal="center" vertical="center" wrapText="1"/>
    </xf>
    <xf numFmtId="4" fontId="5" fillId="5" borderId="0" xfId="0" applyNumberFormat="1" applyFont="1" applyFill="1"/>
    <xf numFmtId="4" fontId="2" fillId="0" borderId="0" xfId="0" applyNumberFormat="1" applyFont="1" applyAlignment="1">
      <alignment horizontal="right"/>
    </xf>
    <xf numFmtId="4" fontId="9" fillId="0" borderId="0" xfId="0" applyNumberFormat="1" applyFont="1" applyAlignment="1">
      <alignment horizontal="center"/>
    </xf>
    <xf numFmtId="0" fontId="1" fillId="0" borderId="0" xfId="0" applyFont="1"/>
    <xf numFmtId="0" fontId="2" fillId="0" borderId="0" xfId="0" applyFont="1"/>
    <xf numFmtId="0" fontId="5" fillId="3" borderId="0" xfId="0" applyFont="1" applyFill="1" applyAlignment="1">
      <alignment wrapText="1"/>
    </xf>
    <xf numFmtId="0" fontId="5" fillId="3" borderId="0" xfId="0" applyFont="1" applyFill="1" applyAlignment="1">
      <alignment horizontal="center"/>
    </xf>
    <xf numFmtId="0" fontId="5" fillId="3" borderId="0" xfId="0" applyFont="1" applyFill="1"/>
    <xf numFmtId="0" fontId="5" fillId="5" borderId="0" xfId="0" applyFont="1" applyFill="1" applyAlignment="1">
      <alignment wrapText="1"/>
    </xf>
    <xf numFmtId="0" fontId="5" fillId="5" borderId="0" xfId="0" applyFont="1" applyFill="1" applyAlignment="1">
      <alignment horizontal="center"/>
    </xf>
    <xf numFmtId="0" fontId="5" fillId="5" borderId="0" xfId="0" applyFont="1" applyFill="1"/>
    <xf numFmtId="0" fontId="5" fillId="6" borderId="0" xfId="0" applyFont="1" applyFill="1" applyAlignment="1">
      <alignment wrapText="1"/>
    </xf>
    <xf numFmtId="0" fontId="5" fillId="6" borderId="0" xfId="0" applyFont="1" applyFill="1" applyAlignment="1">
      <alignment horizontal="center"/>
    </xf>
    <xf numFmtId="0" fontId="5" fillId="6" borderId="0" xfId="0" applyFont="1" applyFill="1"/>
  </cellXfs>
  <cellStyles count="2">
    <cellStyle name="Normal" xfId="0" builtinId="0"/>
    <cellStyle name="Normal 127" xfId="1" xr:uid="{82B28253-6C4C-42B3-93CC-1445425F4C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A46BD-AF39-4005-A340-DA61DFDF1A81}">
  <dimension ref="A2:B16"/>
  <sheetViews>
    <sheetView showZeros="0" view="pageBreakPreview" zoomScaleNormal="100" zoomScaleSheetLayoutView="100" workbookViewId="0">
      <selection activeCell="E211" sqref="E211"/>
    </sheetView>
  </sheetViews>
  <sheetFormatPr defaultColWidth="9.140625" defaultRowHeight="12" x14ac:dyDescent="0.2"/>
  <cols>
    <col min="1" max="1" width="35.7109375" style="1" customWidth="1"/>
    <col min="2" max="2" width="53.7109375" style="1" customWidth="1"/>
    <col min="3" max="3" width="9.140625" style="1" customWidth="1"/>
    <col min="4" max="16384" width="9.140625" style="1"/>
  </cols>
  <sheetData>
    <row r="2" spans="1:2" ht="18.75" x14ac:dyDescent="0.3">
      <c r="A2" s="32" t="s">
        <v>0</v>
      </c>
      <c r="B2" s="33"/>
    </row>
    <row r="4" spans="1:2" ht="18.75" x14ac:dyDescent="0.3">
      <c r="A4" s="2" t="s">
        <v>1</v>
      </c>
      <c r="B4" s="3" t="s">
        <v>2</v>
      </c>
    </row>
    <row r="5" spans="1:2" ht="56.25" x14ac:dyDescent="0.3">
      <c r="A5" s="2" t="s">
        <v>3</v>
      </c>
      <c r="B5" s="3" t="s">
        <v>4</v>
      </c>
    </row>
    <row r="6" spans="1:2" ht="15" x14ac:dyDescent="0.25">
      <c r="A6" s="2" t="s">
        <v>5</v>
      </c>
      <c r="B6" s="4" t="s">
        <v>6</v>
      </c>
    </row>
    <row r="7" spans="1:2" ht="30" x14ac:dyDescent="0.25">
      <c r="A7" s="2" t="s">
        <v>7</v>
      </c>
      <c r="B7" s="4" t="s">
        <v>8</v>
      </c>
    </row>
    <row r="8" spans="1:2" ht="75" x14ac:dyDescent="0.3">
      <c r="A8" s="2" t="s">
        <v>9</v>
      </c>
      <c r="B8" s="3" t="s">
        <v>10</v>
      </c>
    </row>
    <row r="9" spans="1:2" ht="45" x14ac:dyDescent="0.25">
      <c r="A9" s="2" t="s">
        <v>11</v>
      </c>
      <c r="B9" s="4" t="s">
        <v>12</v>
      </c>
    </row>
    <row r="10" spans="1:2" ht="60" x14ac:dyDescent="0.25">
      <c r="A10" s="2" t="s">
        <v>13</v>
      </c>
      <c r="B10" s="4" t="s">
        <v>14</v>
      </c>
    </row>
    <row r="11" spans="1:2" ht="60" x14ac:dyDescent="0.25">
      <c r="A11" s="2" t="s">
        <v>15</v>
      </c>
      <c r="B11" s="4" t="s">
        <v>16</v>
      </c>
    </row>
    <row r="12" spans="1:2" ht="30" x14ac:dyDescent="0.25">
      <c r="A12" s="2" t="s">
        <v>17</v>
      </c>
      <c r="B12" s="4" t="s">
        <v>18</v>
      </c>
    </row>
    <row r="13" spans="1:2" ht="60" x14ac:dyDescent="0.25">
      <c r="A13" s="2" t="s">
        <v>19</v>
      </c>
      <c r="B13" s="4" t="s">
        <v>20</v>
      </c>
    </row>
    <row r="14" spans="1:2" ht="60" x14ac:dyDescent="0.25">
      <c r="A14" s="2" t="s">
        <v>21</v>
      </c>
      <c r="B14" s="4" t="s">
        <v>22</v>
      </c>
    </row>
    <row r="15" spans="1:2" ht="60" x14ac:dyDescent="0.25">
      <c r="A15" s="2" t="s">
        <v>23</v>
      </c>
      <c r="B15" s="4" t="s">
        <v>24</v>
      </c>
    </row>
    <row r="16" spans="1:2" ht="15" x14ac:dyDescent="0.25">
      <c r="A16" t="s">
        <v>25</v>
      </c>
      <c r="B16" s="4" t="s">
        <v>26</v>
      </c>
    </row>
  </sheetData>
  <mergeCells count="1">
    <mergeCell ref="A2:B2"/>
  </mergeCells>
  <pageMargins left="0.6" right="0.6" top="0.75" bottom="0.75" header="0.3" footer="0.3"/>
  <pageSetup paperSize="9" orientation="portrait" r:id="rId1"/>
  <headerFoot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B6A44-F0B9-43D0-B9D5-BC80A23C4220}">
  <sheetPr>
    <pageSetUpPr fitToPage="1"/>
  </sheetPr>
  <dimension ref="A2:C58"/>
  <sheetViews>
    <sheetView showZeros="0" view="pageBreakPreview" topLeftCell="A5" zoomScale="60" zoomScaleNormal="100" workbookViewId="0">
      <selection activeCell="E211" sqref="E211"/>
    </sheetView>
  </sheetViews>
  <sheetFormatPr defaultColWidth="9.140625" defaultRowHeight="12" x14ac:dyDescent="0.2"/>
  <cols>
    <col min="1" max="1" width="3.7109375" style="1" customWidth="1"/>
    <col min="2" max="2" width="81.7109375" style="1" customWidth="1"/>
    <col min="3" max="3" width="3.7109375" style="1" customWidth="1"/>
    <col min="4" max="4" width="9.140625" style="1" customWidth="1"/>
    <col min="5" max="16384" width="9.140625" style="1"/>
  </cols>
  <sheetData>
    <row r="2" spans="1:3" ht="18.75" x14ac:dyDescent="0.3">
      <c r="A2" s="5"/>
      <c r="B2" s="5" t="s">
        <v>0</v>
      </c>
      <c r="C2" s="5"/>
    </row>
    <row r="4" spans="1:3" ht="18.75" x14ac:dyDescent="0.3">
      <c r="A4" s="5"/>
      <c r="B4" s="5" t="s">
        <v>27</v>
      </c>
      <c r="C4" s="5"/>
    </row>
    <row r="6" spans="1:3" ht="324" x14ac:dyDescent="0.2">
      <c r="B6" s="6" t="s">
        <v>28</v>
      </c>
    </row>
    <row r="7" spans="1:3" ht="312" x14ac:dyDescent="0.2">
      <c r="B7" s="6" t="s">
        <v>29</v>
      </c>
    </row>
    <row r="8" spans="1:3" ht="300.75" customHeight="1" x14ac:dyDescent="0.2">
      <c r="B8" s="6" t="s">
        <v>30</v>
      </c>
    </row>
    <row r="9" spans="1:3" ht="312" x14ac:dyDescent="0.2">
      <c r="B9" s="6" t="s">
        <v>31</v>
      </c>
    </row>
    <row r="10" spans="1:3" ht="280.5" customHeight="1" x14ac:dyDescent="0.2">
      <c r="B10" s="6" t="s">
        <v>32</v>
      </c>
    </row>
    <row r="11" spans="1:3" ht="276" x14ac:dyDescent="0.2">
      <c r="B11" s="6" t="s">
        <v>33</v>
      </c>
    </row>
    <row r="12" spans="1:3" ht="288" x14ac:dyDescent="0.2">
      <c r="B12" s="6" t="s">
        <v>34</v>
      </c>
    </row>
    <row r="13" spans="1:3" ht="264" x14ac:dyDescent="0.2">
      <c r="B13" s="6" t="s">
        <v>35</v>
      </c>
    </row>
    <row r="14" spans="1:3" ht="264" x14ac:dyDescent="0.2">
      <c r="B14" s="6" t="s">
        <v>36</v>
      </c>
    </row>
    <row r="15" spans="1:3" ht="288" x14ac:dyDescent="0.2">
      <c r="B15" s="6" t="s">
        <v>37</v>
      </c>
    </row>
    <row r="16" spans="1:3" ht="252" x14ac:dyDescent="0.2">
      <c r="B16" s="6" t="s">
        <v>38</v>
      </c>
    </row>
    <row r="17" spans="2:2" ht="228" x14ac:dyDescent="0.2">
      <c r="B17" s="6" t="s">
        <v>39</v>
      </c>
    </row>
    <row r="18" spans="2:2" ht="336" x14ac:dyDescent="0.2">
      <c r="B18" s="6" t="s">
        <v>40</v>
      </c>
    </row>
    <row r="19" spans="2:2" ht="237" customHeight="1" x14ac:dyDescent="0.2">
      <c r="B19" s="6" t="s">
        <v>41</v>
      </c>
    </row>
    <row r="20" spans="2:2" ht="240.75" customHeight="1" x14ac:dyDescent="0.2">
      <c r="B20" s="6" t="s">
        <v>42</v>
      </c>
    </row>
    <row r="21" spans="2:2" ht="276" x14ac:dyDescent="0.2">
      <c r="B21" s="6" t="s">
        <v>43</v>
      </c>
    </row>
    <row r="22" spans="2:2" ht="264" x14ac:dyDescent="0.2">
      <c r="B22" s="6" t="s">
        <v>44</v>
      </c>
    </row>
    <row r="23" spans="2:2" ht="264.75" customHeight="1" x14ac:dyDescent="0.2">
      <c r="B23" s="6" t="s">
        <v>45</v>
      </c>
    </row>
    <row r="24" spans="2:2" ht="276" x14ac:dyDescent="0.2">
      <c r="B24" s="6" t="s">
        <v>46</v>
      </c>
    </row>
    <row r="25" spans="2:2" ht="276" x14ac:dyDescent="0.2">
      <c r="B25" s="6" t="s">
        <v>47</v>
      </c>
    </row>
    <row r="26" spans="2:2" ht="253.5" customHeight="1" x14ac:dyDescent="0.2">
      <c r="B26" s="6" t="s">
        <v>48</v>
      </c>
    </row>
    <row r="27" spans="2:2" ht="270.75" customHeight="1" x14ac:dyDescent="0.2">
      <c r="B27" s="6" t="s">
        <v>49</v>
      </c>
    </row>
    <row r="28" spans="2:2" ht="276" x14ac:dyDescent="0.2">
      <c r="B28" s="6" t="s">
        <v>50</v>
      </c>
    </row>
    <row r="29" spans="2:2" ht="300" x14ac:dyDescent="0.2">
      <c r="B29" s="6" t="s">
        <v>51</v>
      </c>
    </row>
    <row r="30" spans="2:2" ht="276" x14ac:dyDescent="0.2">
      <c r="B30" s="6" t="s">
        <v>52</v>
      </c>
    </row>
    <row r="31" spans="2:2" ht="255.75" customHeight="1" x14ac:dyDescent="0.2">
      <c r="B31" s="6" t="s">
        <v>53</v>
      </c>
    </row>
    <row r="32" spans="2:2" ht="264" x14ac:dyDescent="0.2">
      <c r="B32" s="6" t="s">
        <v>54</v>
      </c>
    </row>
    <row r="33" spans="2:2" ht="259.5" customHeight="1" x14ac:dyDescent="0.2">
      <c r="B33" s="6" t="s">
        <v>55</v>
      </c>
    </row>
    <row r="34" spans="2:2" ht="264.75" customHeight="1" x14ac:dyDescent="0.2">
      <c r="B34" s="6" t="s">
        <v>56</v>
      </c>
    </row>
    <row r="35" spans="2:2" ht="245.25" customHeight="1" x14ac:dyDescent="0.2">
      <c r="B35" s="6" t="s">
        <v>57</v>
      </c>
    </row>
    <row r="36" spans="2:2" ht="252" x14ac:dyDescent="0.2">
      <c r="B36" s="6" t="s">
        <v>58</v>
      </c>
    </row>
    <row r="37" spans="2:2" ht="252" x14ac:dyDescent="0.2">
      <c r="B37" s="6" t="s">
        <v>59</v>
      </c>
    </row>
    <row r="38" spans="2:2" ht="252" customHeight="1" x14ac:dyDescent="0.2">
      <c r="B38" s="6" t="s">
        <v>60</v>
      </c>
    </row>
    <row r="39" spans="2:2" ht="252" x14ac:dyDescent="0.2">
      <c r="B39" s="6" t="s">
        <v>61</v>
      </c>
    </row>
    <row r="40" spans="2:2" ht="273.75" customHeight="1" x14ac:dyDescent="0.2">
      <c r="B40" s="6" t="s">
        <v>62</v>
      </c>
    </row>
    <row r="41" spans="2:2" ht="324" x14ac:dyDescent="0.2">
      <c r="B41" s="6" t="s">
        <v>63</v>
      </c>
    </row>
    <row r="42" spans="2:2" ht="264" x14ac:dyDescent="0.2">
      <c r="B42" s="6" t="s">
        <v>64</v>
      </c>
    </row>
    <row r="43" spans="2:2" ht="252" x14ac:dyDescent="0.2">
      <c r="B43" s="6" t="s">
        <v>65</v>
      </c>
    </row>
    <row r="44" spans="2:2" ht="264" x14ac:dyDescent="0.2">
      <c r="B44" s="6" t="s">
        <v>66</v>
      </c>
    </row>
    <row r="45" spans="2:2" ht="240" x14ac:dyDescent="0.2">
      <c r="B45" s="6" t="s">
        <v>67</v>
      </c>
    </row>
    <row r="46" spans="2:2" ht="264" x14ac:dyDescent="0.2">
      <c r="B46" s="6" t="s">
        <v>68</v>
      </c>
    </row>
    <row r="47" spans="2:2" ht="252" x14ac:dyDescent="0.2">
      <c r="B47" s="6" t="s">
        <v>69</v>
      </c>
    </row>
    <row r="48" spans="2:2" ht="288" x14ac:dyDescent="0.2">
      <c r="B48" s="6" t="s">
        <v>70</v>
      </c>
    </row>
    <row r="49" spans="2:2" ht="276" x14ac:dyDescent="0.2">
      <c r="B49" s="6" t="s">
        <v>71</v>
      </c>
    </row>
    <row r="50" spans="2:2" ht="276" x14ac:dyDescent="0.2">
      <c r="B50" s="6" t="s">
        <v>72</v>
      </c>
    </row>
    <row r="51" spans="2:2" ht="252" x14ac:dyDescent="0.2">
      <c r="B51" s="6" t="s">
        <v>73</v>
      </c>
    </row>
    <row r="52" spans="2:2" ht="288" x14ac:dyDescent="0.2">
      <c r="B52" s="6" t="s">
        <v>74</v>
      </c>
    </row>
    <row r="53" spans="2:2" ht="288" x14ac:dyDescent="0.2">
      <c r="B53" s="6" t="s">
        <v>75</v>
      </c>
    </row>
    <row r="54" spans="2:2" ht="324" x14ac:dyDescent="0.2">
      <c r="B54" s="6" t="s">
        <v>76</v>
      </c>
    </row>
    <row r="55" spans="2:2" ht="288" x14ac:dyDescent="0.2">
      <c r="B55" s="6" t="s">
        <v>77</v>
      </c>
    </row>
    <row r="56" spans="2:2" ht="256.5" customHeight="1" x14ac:dyDescent="0.2">
      <c r="B56" s="6" t="s">
        <v>78</v>
      </c>
    </row>
    <row r="57" spans="2:2" ht="252.75" customHeight="1" x14ac:dyDescent="0.2">
      <c r="B57" s="6" t="s">
        <v>79</v>
      </c>
    </row>
    <row r="58" spans="2:2" ht="96" x14ac:dyDescent="0.2">
      <c r="B58" s="6" t="s">
        <v>80</v>
      </c>
    </row>
  </sheetData>
  <pageMargins left="0.6" right="0.6" top="0.75" bottom="0.75" header="0.3" footer="0.3"/>
  <pageSetup paperSize="9" fitToHeight="0" orientation="portrait" r:id="rId1"/>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rowBreaks count="2" manualBreakCount="2">
    <brk id="7" max="2" man="1"/>
    <brk id="19"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A097F-D4DF-484F-A8D7-90E562EE6769}">
  <dimension ref="A4:G81"/>
  <sheetViews>
    <sheetView showZeros="0" tabSelected="1" view="pageBreakPreview" topLeftCell="A71" zoomScale="120" zoomScaleNormal="75" zoomScaleSheetLayoutView="120" workbookViewId="0">
      <selection activeCell="E78" sqref="E78"/>
    </sheetView>
  </sheetViews>
  <sheetFormatPr defaultColWidth="9.140625" defaultRowHeight="12" x14ac:dyDescent="0.2"/>
  <cols>
    <col min="1" max="1" width="9.7109375" style="1" customWidth="1"/>
    <col min="2" max="2" width="37.7109375" style="22" customWidth="1"/>
    <col min="3" max="3" width="7.7109375" style="10" customWidth="1"/>
    <col min="4" max="4" width="10.7109375" style="1" customWidth="1"/>
    <col min="5" max="5" width="10.7109375" style="19" customWidth="1"/>
    <col min="6" max="6" width="12.7109375" style="1" customWidth="1"/>
    <col min="7" max="16384" width="9.140625" style="1"/>
  </cols>
  <sheetData>
    <row r="4" spans="1:6" x14ac:dyDescent="0.2">
      <c r="A4" s="7" t="s">
        <v>81</v>
      </c>
      <c r="B4" s="34" t="s">
        <v>82</v>
      </c>
      <c r="C4" s="35"/>
      <c r="D4" s="36"/>
      <c r="E4" s="36"/>
      <c r="F4" s="36"/>
    </row>
    <row r="6" spans="1:6" x14ac:dyDescent="0.2">
      <c r="A6" s="7"/>
      <c r="B6" s="8" t="s">
        <v>27</v>
      </c>
      <c r="C6" s="9"/>
      <c r="D6" s="7"/>
      <c r="E6" s="27"/>
      <c r="F6" s="7"/>
    </row>
    <row r="8" spans="1:6" ht="276" hidden="1" x14ac:dyDescent="0.2">
      <c r="B8" s="6" t="s">
        <v>83</v>
      </c>
    </row>
    <row r="9" spans="1:6" ht="264" hidden="1" x14ac:dyDescent="0.2">
      <c r="B9" s="6" t="s">
        <v>84</v>
      </c>
    </row>
    <row r="10" spans="1:6" ht="264" hidden="1" x14ac:dyDescent="0.2">
      <c r="B10" s="6" t="s">
        <v>85</v>
      </c>
    </row>
    <row r="11" spans="1:6" ht="264" hidden="1" x14ac:dyDescent="0.2">
      <c r="B11" s="6" t="s">
        <v>86</v>
      </c>
    </row>
    <row r="12" spans="1:6" ht="240" hidden="1" x14ac:dyDescent="0.2">
      <c r="B12" s="6" t="s">
        <v>87</v>
      </c>
    </row>
    <row r="13" spans="1:6" ht="276" hidden="1" x14ac:dyDescent="0.2">
      <c r="B13" s="6" t="s">
        <v>88</v>
      </c>
    </row>
    <row r="14" spans="1:6" ht="264" hidden="1" x14ac:dyDescent="0.2">
      <c r="B14" s="6" t="s">
        <v>89</v>
      </c>
    </row>
    <row r="15" spans="1:6" ht="252" hidden="1" x14ac:dyDescent="0.2">
      <c r="B15" s="6" t="s">
        <v>90</v>
      </c>
    </row>
    <row r="16" spans="1:6" ht="228" hidden="1" x14ac:dyDescent="0.2">
      <c r="B16" s="6" t="s">
        <v>91</v>
      </c>
    </row>
    <row r="18" spans="1:7" ht="30" customHeight="1" x14ac:dyDescent="0.2">
      <c r="A18" s="11" t="s">
        <v>92</v>
      </c>
      <c r="B18" s="11" t="s">
        <v>93</v>
      </c>
      <c r="C18" s="11" t="s">
        <v>94</v>
      </c>
      <c r="D18" s="11" t="s">
        <v>95</v>
      </c>
      <c r="E18" s="28" t="s">
        <v>96</v>
      </c>
      <c r="F18" s="11" t="s">
        <v>97</v>
      </c>
    </row>
    <row r="20" spans="1:7" x14ac:dyDescent="0.2">
      <c r="A20" s="12" t="s">
        <v>98</v>
      </c>
      <c r="B20" s="37" t="s">
        <v>99</v>
      </c>
      <c r="C20" s="38"/>
      <c r="D20" s="39"/>
      <c r="E20" s="39"/>
      <c r="F20" s="39"/>
    </row>
    <row r="22" spans="1:7" x14ac:dyDescent="0.2">
      <c r="A22" s="12"/>
      <c r="B22" s="13" t="s">
        <v>27</v>
      </c>
      <c r="C22" s="14"/>
      <c r="D22" s="12"/>
      <c r="E22" s="29"/>
      <c r="F22" s="12"/>
    </row>
    <row r="24" spans="1:7" ht="84" x14ac:dyDescent="0.2">
      <c r="B24" s="6" t="s">
        <v>100</v>
      </c>
    </row>
    <row r="26" spans="1:7" x14ac:dyDescent="0.2">
      <c r="A26" s="15" t="s">
        <v>101</v>
      </c>
      <c r="B26" s="40" t="s">
        <v>102</v>
      </c>
      <c r="C26" s="41"/>
      <c r="D26" s="42"/>
      <c r="E26" s="42"/>
      <c r="F26" s="42"/>
    </row>
    <row r="29" spans="1:7" x14ac:dyDescent="0.2">
      <c r="A29" s="16" t="s">
        <v>104</v>
      </c>
      <c r="B29" s="17" t="s">
        <v>105</v>
      </c>
    </row>
    <row r="30" spans="1:7" ht="276" x14ac:dyDescent="0.2">
      <c r="B30" s="6" t="s">
        <v>106</v>
      </c>
    </row>
    <row r="31" spans="1:7" ht="192" x14ac:dyDescent="0.2">
      <c r="B31" s="6" t="s">
        <v>107</v>
      </c>
    </row>
    <row r="32" spans="1:7" ht="12.75" x14ac:dyDescent="0.2">
      <c r="A32" s="1" t="s">
        <v>108</v>
      </c>
      <c r="B32" s="18" t="s">
        <v>103</v>
      </c>
      <c r="C32" s="10" t="s">
        <v>109</v>
      </c>
      <c r="D32" s="19">
        <v>870.35</v>
      </c>
      <c r="E32" s="19">
        <v>35</v>
      </c>
      <c r="F32" s="20">
        <f>IF(OR(OR(E32=0,E32=""),OR(D32=0,D32="")),"",$D32*E32)</f>
        <v>30462.25</v>
      </c>
      <c r="G32" s="21"/>
    </row>
    <row r="35" spans="1:7" x14ac:dyDescent="0.2">
      <c r="A35" s="15" t="s">
        <v>101</v>
      </c>
      <c r="B35" s="40" t="s">
        <v>113</v>
      </c>
      <c r="C35" s="41"/>
      <c r="D35" s="42"/>
      <c r="E35" s="42"/>
      <c r="F35" s="24">
        <f>SUM(F28:F33)</f>
        <v>30462.25</v>
      </c>
      <c r="G35" s="24"/>
    </row>
    <row r="38" spans="1:7" x14ac:dyDescent="0.2">
      <c r="A38" s="12" t="s">
        <v>114</v>
      </c>
      <c r="B38" s="37" t="s">
        <v>115</v>
      </c>
      <c r="C38" s="38"/>
      <c r="D38" s="39"/>
      <c r="E38" s="39"/>
      <c r="F38" s="39"/>
    </row>
    <row r="40" spans="1:7" x14ac:dyDescent="0.2">
      <c r="A40" s="12"/>
      <c r="B40" s="13" t="s">
        <v>27</v>
      </c>
      <c r="C40" s="14"/>
      <c r="D40" s="12"/>
      <c r="E40" s="29"/>
      <c r="F40" s="12"/>
    </row>
    <row r="42" spans="1:7" ht="72" x14ac:dyDescent="0.2">
      <c r="B42" s="6" t="s">
        <v>116</v>
      </c>
    </row>
    <row r="46" spans="1:7" ht="24" x14ac:dyDescent="0.2">
      <c r="A46" s="16" t="s">
        <v>117</v>
      </c>
      <c r="B46" s="17" t="s">
        <v>118</v>
      </c>
    </row>
    <row r="47" spans="1:7" ht="252" x14ac:dyDescent="0.2">
      <c r="B47" s="6" t="s">
        <v>119</v>
      </c>
    </row>
    <row r="48" spans="1:7" ht="144" x14ac:dyDescent="0.2">
      <c r="B48" s="6" t="s">
        <v>120</v>
      </c>
    </row>
    <row r="49" spans="1:7" ht="12.75" x14ac:dyDescent="0.2">
      <c r="A49" s="1" t="s">
        <v>121</v>
      </c>
      <c r="B49" s="18" t="s">
        <v>122</v>
      </c>
      <c r="C49" s="10" t="s">
        <v>111</v>
      </c>
      <c r="D49" s="19">
        <v>21</v>
      </c>
      <c r="E49" s="19">
        <v>21.3</v>
      </c>
      <c r="F49" s="20">
        <f t="shared" ref="F49:F53" si="0">IF(OR(OR(E49=0,E49=""),OR(D49=0,D49="")),"",$D49*E49)</f>
        <v>447.3</v>
      </c>
      <c r="G49" s="21"/>
    </row>
    <row r="50" spans="1:7" ht="24" x14ac:dyDescent="0.2">
      <c r="A50" s="1" t="s">
        <v>123</v>
      </c>
      <c r="B50" s="18" t="s">
        <v>124</v>
      </c>
      <c r="C50" s="10" t="s">
        <v>112</v>
      </c>
      <c r="D50" s="19">
        <v>4</v>
      </c>
      <c r="E50" s="19">
        <v>42.6</v>
      </c>
      <c r="F50" s="20">
        <f t="shared" si="0"/>
        <v>170.4</v>
      </c>
      <c r="G50" s="21"/>
    </row>
    <row r="51" spans="1:7" ht="12.75" x14ac:dyDescent="0.2">
      <c r="A51" s="1" t="s">
        <v>125</v>
      </c>
      <c r="B51" s="18" t="s">
        <v>126</v>
      </c>
      <c r="C51" s="10" t="s">
        <v>112</v>
      </c>
      <c r="D51" s="19">
        <v>4</v>
      </c>
      <c r="E51" s="19">
        <v>29.8</v>
      </c>
      <c r="F51" s="20">
        <f t="shared" si="0"/>
        <v>119.2</v>
      </c>
      <c r="G51" s="21"/>
    </row>
    <row r="52" spans="1:7" ht="12.75" x14ac:dyDescent="0.2">
      <c r="A52" s="1" t="s">
        <v>127</v>
      </c>
      <c r="B52" s="18" t="s">
        <v>128</v>
      </c>
      <c r="C52" s="10" t="s">
        <v>112</v>
      </c>
      <c r="D52" s="19">
        <v>2</v>
      </c>
      <c r="E52" s="19">
        <v>350</v>
      </c>
      <c r="F52" s="20">
        <f t="shared" si="0"/>
        <v>700</v>
      </c>
      <c r="G52" s="21"/>
    </row>
    <row r="53" spans="1:7" ht="12.75" x14ac:dyDescent="0.2">
      <c r="A53" s="1" t="s">
        <v>129</v>
      </c>
      <c r="B53" s="18" t="s">
        <v>130</v>
      </c>
      <c r="C53" s="10" t="s">
        <v>112</v>
      </c>
      <c r="D53" s="19">
        <v>2</v>
      </c>
      <c r="E53" s="19">
        <v>42.6</v>
      </c>
      <c r="F53" s="20">
        <f t="shared" si="0"/>
        <v>85.2</v>
      </c>
      <c r="G53" s="21"/>
    </row>
    <row r="54" spans="1:7" x14ac:dyDescent="0.2">
      <c r="E54" s="30" t="s">
        <v>110</v>
      </c>
      <c r="F54" s="23">
        <f>SUM(F49:F53)</f>
        <v>1522.1000000000001</v>
      </c>
    </row>
    <row r="56" spans="1:7" ht="24" x14ac:dyDescent="0.2">
      <c r="A56" s="16" t="s">
        <v>131</v>
      </c>
      <c r="B56" s="17" t="s">
        <v>132</v>
      </c>
    </row>
    <row r="57" spans="1:7" ht="252" x14ac:dyDescent="0.2">
      <c r="B57" s="6" t="s">
        <v>133</v>
      </c>
    </row>
    <row r="58" spans="1:7" ht="12.75" x14ac:dyDescent="0.2">
      <c r="A58" s="1" t="s">
        <v>134</v>
      </c>
      <c r="B58" s="18" t="s">
        <v>135</v>
      </c>
      <c r="C58" s="10" t="s">
        <v>112</v>
      </c>
      <c r="D58" s="19">
        <v>3</v>
      </c>
      <c r="E58" s="19">
        <v>102.3</v>
      </c>
      <c r="F58" s="20">
        <f t="shared" ref="F58:F59" si="1">IF(OR(OR(E58=0,E58=""),OR(D58=0,D58="")),"",$D58*E58)</f>
        <v>306.89999999999998</v>
      </c>
      <c r="G58" s="21"/>
    </row>
    <row r="59" spans="1:7" ht="12.75" x14ac:dyDescent="0.2">
      <c r="A59" s="1" t="s">
        <v>136</v>
      </c>
      <c r="B59" s="18" t="s">
        <v>137</v>
      </c>
      <c r="C59" s="10" t="s">
        <v>112</v>
      </c>
      <c r="D59" s="19">
        <v>2</v>
      </c>
      <c r="E59" s="19">
        <v>102.3</v>
      </c>
      <c r="F59" s="20">
        <f t="shared" si="1"/>
        <v>204.6</v>
      </c>
      <c r="G59" s="21"/>
    </row>
    <row r="61" spans="1:7" x14ac:dyDescent="0.2">
      <c r="A61" s="16" t="s">
        <v>138</v>
      </c>
      <c r="B61" s="17" t="s">
        <v>139</v>
      </c>
    </row>
    <row r="62" spans="1:7" ht="252" x14ac:dyDescent="0.2">
      <c r="B62" s="6" t="s">
        <v>140</v>
      </c>
    </row>
    <row r="63" spans="1:7" ht="12.75" x14ac:dyDescent="0.2">
      <c r="A63" s="1" t="s">
        <v>141</v>
      </c>
      <c r="B63" s="18" t="s">
        <v>103</v>
      </c>
      <c r="C63" s="10" t="s">
        <v>111</v>
      </c>
      <c r="D63" s="19">
        <v>84.67</v>
      </c>
      <c r="E63" s="19">
        <v>50</v>
      </c>
      <c r="F63" s="20">
        <f>IF(OR(OR(E63=0,E63=""),OR(D63=0,D63="")),"",$D63*E63)</f>
        <v>4233.5</v>
      </c>
      <c r="G63" s="21"/>
    </row>
    <row r="65" spans="1:7" x14ac:dyDescent="0.2">
      <c r="A65" s="12" t="s">
        <v>114</v>
      </c>
      <c r="B65" s="37" t="s">
        <v>142</v>
      </c>
      <c r="C65" s="38"/>
      <c r="D65" s="39"/>
      <c r="E65" s="39"/>
      <c r="F65" s="25">
        <f>F54+F58+F59+F63</f>
        <v>6267.1</v>
      </c>
      <c r="G65" s="25"/>
    </row>
    <row r="67" spans="1:7" x14ac:dyDescent="0.2">
      <c r="A67" s="12" t="s">
        <v>143</v>
      </c>
      <c r="B67" s="37" t="s">
        <v>144</v>
      </c>
      <c r="C67" s="38"/>
      <c r="D67" s="39"/>
      <c r="E67" s="39"/>
      <c r="F67" s="39"/>
    </row>
    <row r="69" spans="1:7" x14ac:dyDescent="0.2">
      <c r="A69" s="16" t="s">
        <v>145</v>
      </c>
      <c r="B69" s="17" t="s">
        <v>146</v>
      </c>
    </row>
    <row r="70" spans="1:7" ht="156" x14ac:dyDescent="0.2">
      <c r="B70" s="6" t="s">
        <v>147</v>
      </c>
    </row>
    <row r="71" spans="1:7" ht="12.75" x14ac:dyDescent="0.2">
      <c r="A71" s="1" t="s">
        <v>148</v>
      </c>
      <c r="B71" s="18" t="s">
        <v>149</v>
      </c>
      <c r="C71" s="10" t="s">
        <v>111</v>
      </c>
      <c r="D71" s="19">
        <v>37.700000000000003</v>
      </c>
      <c r="E71" s="19">
        <v>40</v>
      </c>
      <c r="F71" s="20">
        <f t="shared" ref="F71:F72" si="2">IF(OR(OR(E71=0,E71=""),OR(D71=0,D71="")),"",$D71*E71)</f>
        <v>1508</v>
      </c>
      <c r="G71" s="21"/>
    </row>
    <row r="72" spans="1:7" ht="12.75" x14ac:dyDescent="0.2">
      <c r="A72" s="1" t="s">
        <v>150</v>
      </c>
      <c r="B72" s="18" t="s">
        <v>151</v>
      </c>
      <c r="C72" s="10" t="s">
        <v>111</v>
      </c>
      <c r="D72" s="19">
        <v>4.6399999999999997</v>
      </c>
      <c r="E72" s="19">
        <v>45</v>
      </c>
      <c r="F72" s="20">
        <f t="shared" si="2"/>
        <v>208.79999999999998</v>
      </c>
      <c r="G72" s="21"/>
    </row>
    <row r="73" spans="1:7" x14ac:dyDescent="0.2">
      <c r="E73" s="30" t="s">
        <v>110</v>
      </c>
      <c r="F73" s="23">
        <f>SUM(F71:F72)</f>
        <v>1716.8</v>
      </c>
    </row>
    <row r="75" spans="1:7" ht="24" x14ac:dyDescent="0.2">
      <c r="A75" s="16" t="s">
        <v>152</v>
      </c>
      <c r="B75" s="17" t="s">
        <v>153</v>
      </c>
    </row>
    <row r="76" spans="1:7" ht="168" x14ac:dyDescent="0.2">
      <c r="B76" s="6" t="s">
        <v>154</v>
      </c>
    </row>
    <row r="77" spans="1:7" ht="12.75" x14ac:dyDescent="0.2">
      <c r="A77" s="1" t="s">
        <v>155</v>
      </c>
      <c r="B77" s="18" t="s">
        <v>103</v>
      </c>
      <c r="C77" s="10" t="s">
        <v>111</v>
      </c>
      <c r="D77" s="19">
        <v>8.9600000000000009</v>
      </c>
      <c r="E77" s="31">
        <v>35</v>
      </c>
      <c r="F77" s="20">
        <f>IF(OR(OR(E77=0,E77=""),OR(D77=0,D77="")),"",$D77*E77)</f>
        <v>313.60000000000002</v>
      </c>
      <c r="G77" s="21"/>
    </row>
    <row r="79" spans="1:7" x14ac:dyDescent="0.2">
      <c r="A79" s="12" t="s">
        <v>143</v>
      </c>
      <c r="B79" s="37" t="s">
        <v>156</v>
      </c>
      <c r="C79" s="38"/>
      <c r="D79" s="39"/>
      <c r="E79" s="39"/>
      <c r="F79" s="25">
        <f>F73+F77</f>
        <v>2030.4</v>
      </c>
      <c r="G79" s="25">
        <f t="shared" ref="G79" si="3">SUM(G73,G77)</f>
        <v>0</v>
      </c>
    </row>
    <row r="81" spans="1:7" x14ac:dyDescent="0.2">
      <c r="A81" s="7" t="s">
        <v>81</v>
      </c>
      <c r="B81" s="34" t="s">
        <v>157</v>
      </c>
      <c r="C81" s="35"/>
      <c r="D81" s="36"/>
      <c r="E81" s="36"/>
      <c r="F81" s="26">
        <f>F35+F65+F79</f>
        <v>38759.75</v>
      </c>
      <c r="G81" s="26"/>
    </row>
  </sheetData>
  <autoFilter ref="D1:D81" xr:uid="{00000000-0001-0000-0500-000000000000}"/>
  <mergeCells count="9">
    <mergeCell ref="B67:F67"/>
    <mergeCell ref="B79:E79"/>
    <mergeCell ref="B81:E81"/>
    <mergeCell ref="B38:F38"/>
    <mergeCell ref="B4:F4"/>
    <mergeCell ref="B20:F20"/>
    <mergeCell ref="B26:F26"/>
    <mergeCell ref="B35:E35"/>
    <mergeCell ref="B65:E65"/>
  </mergeCells>
  <pageMargins left="0.6" right="0.6" top="0.75" bottom="0.75" header="0.3" footer="0.3"/>
  <pageSetup paperSize="9" scale="91" orientation="portrait" r:id="rId1"/>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rowBreaks count="3" manualBreakCount="3">
    <brk id="37" max="16383" man="1"/>
    <brk id="54" max="5" man="1"/>
    <brk id="66"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3A51507092ABC42A1F78E63565BAFD7" ma:contentTypeVersion="13" ma:contentTypeDescription="Stvaranje novog dokumenta." ma:contentTypeScope="" ma:versionID="c4eefad1a09bdc430b42c34e96aa6da2">
  <xsd:schema xmlns:xsd="http://www.w3.org/2001/XMLSchema" xmlns:xs="http://www.w3.org/2001/XMLSchema" xmlns:p="http://schemas.microsoft.com/office/2006/metadata/properties" xmlns:ns2="f915974b-6f1e-4350-9f7e-2d11fb1812c4" xmlns:ns3="cb3740f1-362a-4884-a648-7855dba250b9" targetNamespace="http://schemas.microsoft.com/office/2006/metadata/properties" ma:root="true" ma:fieldsID="b36840f75ab2fa72e948bee9f8ce5ee3" ns2:_="" ns3:_="">
    <xsd:import namespace="f915974b-6f1e-4350-9f7e-2d11fb1812c4"/>
    <xsd:import namespace="cb3740f1-362a-4884-a648-7855dba25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5974b-6f1e-4350-9f7e-2d11fb1812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Oznake slika" ma:readOnly="false" ma:fieldId="{5cf76f15-5ced-4ddc-b409-7134ff3c332f}" ma:taxonomyMulti="true" ma:sspId="3751c936-5afc-4ad0-aeab-ca19b149ef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3740f1-362a-4884-a648-7855dba250b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648af3-417c-4ecd-a1bc-5e03dfaadbd5}" ma:internalName="TaxCatchAll" ma:showField="CatchAllData" ma:web="cb3740f1-362a-4884-a648-7855dba25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915974b-6f1e-4350-9f7e-2d11fb1812c4">
      <Terms xmlns="http://schemas.microsoft.com/office/infopath/2007/PartnerControls"/>
    </lcf76f155ced4ddcb4097134ff3c332f>
    <TaxCatchAll xmlns="cb3740f1-362a-4884-a648-7855dba250b9" xsi:nil="true"/>
  </documentManagement>
</p:properties>
</file>

<file path=customXml/itemProps1.xml><?xml version="1.0" encoding="utf-8"?>
<ds:datastoreItem xmlns:ds="http://schemas.openxmlformats.org/officeDocument/2006/customXml" ds:itemID="{B7917A93-E85D-46F8-ABD0-52EE5120EC8C}"/>
</file>

<file path=customXml/itemProps2.xml><?xml version="1.0" encoding="utf-8"?>
<ds:datastoreItem xmlns:ds="http://schemas.openxmlformats.org/officeDocument/2006/customXml" ds:itemID="{05EA1486-517C-46BC-91F4-6242F37C446D}">
  <ds:schemaRefs>
    <ds:schemaRef ds:uri="http://schemas.microsoft.com/sharepoint/v3/contenttype/forms"/>
  </ds:schemaRefs>
</ds:datastoreItem>
</file>

<file path=customXml/itemProps3.xml><?xml version="1.0" encoding="utf-8"?>
<ds:datastoreItem xmlns:ds="http://schemas.openxmlformats.org/officeDocument/2006/customXml" ds:itemID="{73CB15A4-174B-4A8F-AFA2-1F72A9851EBA}">
  <ds:schemaRefs>
    <ds:schemaRef ds:uri="http://schemas.microsoft.com/office/2006/metadata/properties"/>
    <ds:schemaRef ds:uri="http://schemas.microsoft.com/office/infopath/2007/PartnerControls"/>
    <ds:schemaRef ds:uri="f915974b-6f1e-4350-9f7e-2d11fb1812c4"/>
    <ds:schemaRef ds:uri="cb3740f1-362a-4884-a648-7855dba250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NASLOVNICA</vt:lpstr>
      <vt:lpstr>OPĆI UVJETI</vt:lpstr>
      <vt:lpstr>3. KROVOPOKRIVAČKI I LIMARSKI R</vt:lpstr>
      <vt:lpstr>'3. KROVOPOKRIVAČKI I LIMARSKI R'!Print_Area</vt:lpstr>
      <vt:lpstr>'3. KROVOPOKRIVAČKI I LIMARSKI 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Ivana Radovac</dc:creator>
  <cp:lastModifiedBy>Vedran Zderic</cp:lastModifiedBy>
  <dcterms:created xsi:type="dcterms:W3CDTF">2025-10-23T07:21:19Z</dcterms:created>
  <dcterms:modified xsi:type="dcterms:W3CDTF">2025-12-01T08:48:35Z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0x01010053A51507092ABC42A1F78E63565BAFD7</vt:lpwstr>
  </property>
  <property fmtid="{D5CDD505-2E9C-101B-9397-08002B2CF9AE}" pid="3" name="MediaServiceImageTags">
    <vt:lpwstr/>
  </property>
</Properties>
</file>
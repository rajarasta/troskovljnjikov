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bengineering.sharepoint.com/sites/3B--Share/Shared Documents/3B-Share/AKTIVNI PROJEKTI/2025/08-25 EUROSPIN - SAVSKA OPATOVINA/5. UGOVORI/01 UGOVORI/01 LEKING - Rušenje i zemljani/"/>
    </mc:Choice>
  </mc:AlternateContent>
  <xr:revisionPtr revIDLastSave="8" documentId="8_{6F379475-AEC4-4E9C-83CA-7A21A43E33FD}" xr6:coauthVersionLast="47" xr6:coauthVersionMax="47" xr10:uidLastSave="{65179515-AE19-4951-935C-F27E1781C36C}"/>
  <bookViews>
    <workbookView xWindow="-120" yWindow="-120" windowWidth="38640" windowHeight="21120" xr2:uid="{C6DD8EE4-0BB4-4403-ACBD-5E1C948002EA}"/>
  </bookViews>
  <sheets>
    <sheet name="9.2. ISKOP ZADANOG PRESJEKA " sheetId="1" r:id="rId1"/>
  </sheets>
  <definedNames>
    <definedName name="_xlnm._FilterDatabase" localSheetId="0" hidden="1">'9.2. ISKOP ZADANOG PRESJEKA '!$E$1:$E$199</definedName>
    <definedName name="_xlnm.Print_Area" localSheetId="0">'9.2. ISKOP ZADANOG PRESJEKA '!$A$1:$F$122</definedName>
    <definedName name="_xlnm.Print_Titles" localSheetId="0">'9.2. ISKOP ZADANOG PRESJEKA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9" i="1" l="1"/>
  <c r="F114" i="1"/>
  <c r="F108" i="1"/>
  <c r="F103" i="1"/>
  <c r="F67" i="1"/>
  <c r="F51" i="1"/>
  <c r="F43" i="1"/>
  <c r="F18" i="1"/>
  <c r="F121" i="1" l="1"/>
</calcChain>
</file>

<file path=xl/sharedStrings.xml><?xml version="1.0" encoding="utf-8"?>
<sst xmlns="http://schemas.openxmlformats.org/spreadsheetml/2006/main" count="129" uniqueCount="105">
  <si>
    <t>Jedinična cijena</t>
  </si>
  <si>
    <t xml:space="preserve">9.2. ISKOP ZADANOG PRESJEKA </t>
  </si>
  <si>
    <t>Br.st.</t>
  </si>
  <si>
    <t>Stavka</t>
  </si>
  <si>
    <t>Jed. mjere</t>
  </si>
  <si>
    <t>Količina</t>
  </si>
  <si>
    <t>Ukupno
[EUR]</t>
  </si>
  <si>
    <t>9.2.1.</t>
  </si>
  <si>
    <t>Iskop zemlje</t>
  </si>
  <si>
    <t xml:space="preserve">Iskop zemlje C kategorije za polaganje vodovodnih i odvodnih cijevi van i unutar objekta. Prosječna širina rova je  od 0.8 m, prosječna dubina vodovodnog rova od 1,20 m, a prosječna dubina kanalizacijskog rova od 1,70 m (kod izračuna se od prosječne dubine rova oduzima prosječna visina kolničke konstrukcije 0,4 m). Iskop  vršiti  na dubini nivelete uvećanoj za 10 cm radi izvedbe  ležaja cijevi s pravilnim odsijecanjem  bočnih strana i dna te odbacivanjem iskopanog materijala  na udaljenost 2,0 m od ruba rova. Između rova i odbačenog materijala potrebno je osigurati bankinu širine 80 cm radi komunikacije. U cijenu uzeti i eventualno crpljenje vode. Radovi moraju teći u potpunoj koordinaciji sa montažom cijevi. </t>
  </si>
  <si>
    <t>Obračun se vrši po 1,0 m3 iskopanog materijala.</t>
  </si>
  <si>
    <t>- Vodovod vani</t>
  </si>
  <si>
    <t>(302,0x0,80x0,80) - kolnička konstrukcija =   193,28</t>
  </si>
  <si>
    <t>- Vodovod temelji</t>
  </si>
  <si>
    <t>(42,0x0,60x0,60) =   15,12</t>
  </si>
  <si>
    <t>- Odvodnja vani</t>
  </si>
  <si>
    <t>(655x0,80x1,30) - kolnička konstrukcija =  681,2</t>
  </si>
  <si>
    <t>- Odvodnja slivnici</t>
  </si>
  <si>
    <t>(160,0x0,80x1,0) - kolnička konstrukcija =   128,00</t>
  </si>
  <si>
    <t>- Odvodnja temelji</t>
  </si>
  <si>
    <t>(228,0x0,80x0,50) =   109,44</t>
  </si>
  <si>
    <t>1127,04</t>
  </si>
  <si>
    <t>m³</t>
  </si>
  <si>
    <t>9.2.2.</t>
  </si>
  <si>
    <t>Proširenje rova</t>
  </si>
  <si>
    <t>Iskop zemlje C kategorije za proširenje rova za vodomjerno okno,  reviziona okna, separatore, upojno polje.</t>
  </si>
  <si>
    <t>Obračun se vrši po 1,0 m3 iskopanog materijala, ostalo kao st. 9.2.1.</t>
  </si>
  <si>
    <t>- Vodomjerno okno 4,70x2,00x2,20 (kom 1)</t>
  </si>
  <si>
    <t>(6,70x4,00x2,60) = 69,68</t>
  </si>
  <si>
    <t>- RO DN40cm (kom 14 )</t>
  </si>
  <si>
    <t>(1,40x1,40x1,00) - kolnička konstrukcija = 16,46</t>
  </si>
  <si>
    <t>- RO DN60cm (kom 1 )</t>
  </si>
  <si>
    <t>(1,60x1,60x1,00) - kolnička konstrukcija = 1,59</t>
  </si>
  <si>
    <t>- RO DN80cm (kom 31 )</t>
  </si>
  <si>
    <t>(1,80x1,80x1,70) - kolnička konstrukcija = 130,57</t>
  </si>
  <si>
    <t>- RO DN100cm (kom 2 )</t>
  </si>
  <si>
    <t>(2,00x2,00x2,50) - kolnička konstrukcija = 16,8</t>
  </si>
  <si>
    <t>- RO 100x60cm (kom  2)</t>
  </si>
  <si>
    <t>(2,40x2,00x1,0) - kolnička konstrukcija = 7,68</t>
  </si>
  <si>
    <t>- RO 120x100cm (kom  1)</t>
  </si>
  <si>
    <t>(3,60x3,40x3,06) - kolnička konstrukcija = 32,56</t>
  </si>
  <si>
    <t>- Precrpna stanica 140x120cm (kom  1)</t>
  </si>
  <si>
    <t>(2,60x4,00x5,20) - kolnička konstrukcija = 69,12</t>
  </si>
  <si>
    <t>- Separator ulja DN180cm (kom 1)</t>
  </si>
  <si>
    <t>(2.80x2.80x3,5) - kolnička konstrukcija = 24,3</t>
  </si>
  <si>
    <t>-  Mastolov DN150cm (kom 1)</t>
  </si>
  <si>
    <t>(2,5x2,5x2,90) - kolnička konstrukcija = 15,63</t>
  </si>
  <si>
    <t>384,39</t>
  </si>
  <si>
    <t>9.2.3.</t>
  </si>
  <si>
    <t>Planiranje dna rova</t>
  </si>
  <si>
    <t>Grubo i fino planiranje dna rova za polaganje cijevi temeljne odvodnje i vodovoda s naročitom točnošću da se osigura pravilno nalijeganje cijevi.</t>
  </si>
  <si>
    <t>- Vodovod</t>
  </si>
  <si>
    <t>(344,00x0,80) = 275,2</t>
  </si>
  <si>
    <t>- Odvodnja</t>
  </si>
  <si>
    <t>(1043,00x0,80) = 834,4</t>
  </si>
  <si>
    <t>1109,6</t>
  </si>
  <si>
    <t>m²</t>
  </si>
  <si>
    <t>9.2.4.</t>
  </si>
  <si>
    <t>Čisti suhi pijesak</t>
  </si>
  <si>
    <t>Nabava, doprema i razastiranje čistog suhog pijeska za polaganje vodovodnih i odvodnih cijevi. Šljunčana posteljica za ležaj PVC cijevi, od oblih zrna veličine 8-16 mm, bez organskih primjesa, s dimenzijama danim u nacrtu kanalskog rova i produbljenima na mjestu spojeva cijevi. Uključivo nabava, doprema i ugradnja šljunka, uz strojno nabijanje do min. 90 % prirodne zbijenosti. Posteljica od pijeska debljine 10 cm, a natkrivanje cijevi cca 30 cm od tjemena cijevi.</t>
  </si>
  <si>
    <t>Obračun se vrši po 1,0 m3 ugrađenog pijeska.</t>
  </si>
  <si>
    <t>(302,0x0,80x0,50) - volumen cjevovoda =   118,38</t>
  </si>
  <si>
    <t>(42,0x0,60x0,45) - volumen cjevovoda =   11,34</t>
  </si>
  <si>
    <t>(541x0,80x0,65) - volumen cjevovoda =  254,81</t>
  </si>
  <si>
    <t>(75,0x0,80x0,60) - volumen cjevovoda =   33,65</t>
  </si>
  <si>
    <t>(243,0x0,80x0,50) - volumen cjevovoda =   95,26</t>
  </si>
  <si>
    <t>543,74</t>
  </si>
  <si>
    <t>9.2.5.</t>
  </si>
  <si>
    <t>Zatrpavanje rova</t>
  </si>
  <si>
    <t>Zatrpavanje rova nakon montaže i ispitivanje temeljnih cijevi, sa materijalom iz iskopa. Prvi sloj iznad cijevi treba biti od sitnog materijala da ne bi došlo do oštećenja cijevi.  Nasipavanje vršiti u slojevima od 20 cm uz pažljivo nabijanje. Zatrpavanje izvoditi nakon izvedbe obloge cijevi pijeskom.</t>
  </si>
  <si>
    <t>Obračun se vrši po 1,0 m3 stvarno ugrađenog materijala.</t>
  </si>
  <si>
    <t>(302,0x0,80x0,30) - kolnička konstrukcija =   72,48</t>
  </si>
  <si>
    <t>(42,0x0,60x0,15) =   3,78</t>
  </si>
  <si>
    <t>(655x0,80x0,65) - kolnička konstrukcija =  340,6</t>
  </si>
  <si>
    <t>(160,0x0,80x0,40) - kolnička konstrukcija =   51,2</t>
  </si>
  <si>
    <t>(228,0x0,80x0,10) =   18,24</t>
  </si>
  <si>
    <t>(6,70x4,00x2,60) - volumen okna = 49,00</t>
  </si>
  <si>
    <t>(1,40x1,40x1,00) - kolnička konstrukcija - volumen okna = 14,71</t>
  </si>
  <si>
    <t>(1,60x1,60x1,00) - kolnička konstrukcija - volumen okna = 1,28</t>
  </si>
  <si>
    <t>(1,80x1,80x1,70) - kolnička konstrukcija - volumen okna = 104,1</t>
  </si>
  <si>
    <t>(2,00x2,00x2,50) - kolnička konstrukcija - volumen okna = 12,8</t>
  </si>
  <si>
    <t>(2,40x2,00x1,0) - kolnička konstrukcija - volumen okna = 4,32</t>
  </si>
  <si>
    <t>(3,60x3,40x3,06) - kolnička konstrukcija - volumen okna = 25,7</t>
  </si>
  <si>
    <t>(2,60x4,00x5,20) - kolnička konstrukcija - volumen okna = 52,48</t>
  </si>
  <si>
    <t>(2.80x2.80x3,5) - kolnička konstrukcija - volumen okna = 13,44</t>
  </si>
  <si>
    <t>(2,5x2,5x2,90) - kolnička konstrukcija - volumen okna = 10,5</t>
  </si>
  <si>
    <t>774,63</t>
  </si>
  <si>
    <t>9.2.6.</t>
  </si>
  <si>
    <t>Odvoz zemlje</t>
  </si>
  <si>
    <t>Odvoz preostale zemlje nakon dovršenog zatrpavanja rova, kamionima na gradsku deponiju na udaljenost od 5 km ili veću, u dogovoru s investitorom. U cijenu je uračunat utovar u transportno sredstvo, transport, te istovar i grubo planiranje na mjestu istovara.</t>
  </si>
  <si>
    <t xml:space="preserve">Obračun po m3 stvarno izvršenih radova. </t>
  </si>
  <si>
    <t>1,20x(1512-775) = 884,4</t>
  </si>
  <si>
    <t>9.2.7.</t>
  </si>
  <si>
    <t>Šlicanje postojeće temeljne ploče</t>
  </si>
  <si>
    <t>Izvedba šliceva u postojećim temeljima podruma, za polaganje temeljnog razvoda kanalizacije. U stavku ulazi: rezanje ploče u širini 0,6 m, razbijanje betona debljine 0,2 m, saniranje oštećene hidroizolacije i naknadno betoniranje ploče betonom C30/37 sa dodatkom za vodonepropusnost i ugradnjom waterstop RX 101 trake koja ekspandira u dodiru s vodom, sve do prvobitnog stanja, uključujući sav potreban materijal i rad.</t>
  </si>
  <si>
    <t xml:space="preserve">Obračun po m' stvarno izvršenih radova. </t>
  </si>
  <si>
    <t>m'</t>
  </si>
  <si>
    <t>9.2.8.</t>
  </si>
  <si>
    <t>Postavljanje prijelaza, osiguranje i označavanje rova</t>
  </si>
  <si>
    <r>
      <t xml:space="preserve">Izrada, postavljanje i skidanje </t>
    </r>
    <r>
      <rPr>
        <sz val="8.6"/>
        <rFont val="Arial"/>
        <family val="2"/>
        <charset val="238"/>
      </rPr>
      <t>prijelaza preko iskopanog rova. Stavkom je obuhvaćena izrada prelaza preko rova i zaštitna ograda odnosno obilježavanje ruba rova špagom i zastavicama na prometnim mjestima.</t>
    </r>
  </si>
  <si>
    <t>Obračun se vrši po kompletu postavljenih prijelaza.</t>
  </si>
  <si>
    <t>kompl.</t>
  </si>
  <si>
    <t>9.2.</t>
  </si>
  <si>
    <t xml:space="preserve">ISKOP ZADANOG PRESJEKA </t>
  </si>
  <si>
    <t>UKUPNO: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</si>
</sst>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_-&quot;€&quot;\ * #,##0.00_-;\-&quot;€&quot;\ * #,##0.00_-;_-&quot;€&quot;\ * &quot;-&quot;??_-;_-@_-"/>
    <numFmt numFmtId="166" formatCode="#,##0.00\ [$€-41A]"/>
  </numFmts>
  <fonts count="29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Tahoma"/>
      <family val="2"/>
    </font>
    <font>
      <b/>
      <sz val="10"/>
      <name val="Tahoma"/>
      <family val="2"/>
    </font>
    <font>
      <sz val="8.5"/>
      <color theme="1"/>
      <name val="Arial"/>
      <family val="2"/>
      <charset val="238"/>
    </font>
    <font>
      <sz val="8"/>
      <color indexed="8"/>
      <name val="Arial"/>
      <family val="2"/>
      <charset val="238"/>
    </font>
    <font>
      <b/>
      <sz val="12"/>
      <name val="Tahoma"/>
      <family val="2"/>
    </font>
    <font>
      <b/>
      <u/>
      <sz val="12"/>
      <name val="Tahoma"/>
      <family val="2"/>
    </font>
    <font>
      <b/>
      <i/>
      <u/>
      <sz val="12"/>
      <color indexed="10"/>
      <name val="Tahoma"/>
      <family val="2"/>
    </font>
    <font>
      <i/>
      <u/>
      <sz val="12"/>
      <color indexed="10"/>
      <name val="Tahoma"/>
      <family val="2"/>
    </font>
    <font>
      <sz val="10"/>
      <name val="Arial"/>
      <family val="2"/>
    </font>
    <font>
      <sz val="8.6"/>
      <color indexed="8"/>
      <name val="Arial"/>
      <family val="2"/>
      <charset val="238"/>
    </font>
    <font>
      <b/>
      <sz val="8.6"/>
      <name val="Arial"/>
      <family val="2"/>
      <charset val="238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theme="1"/>
      <name val="Arial"/>
      <family val="2"/>
    </font>
    <font>
      <b/>
      <sz val="8.6"/>
      <color indexed="8"/>
      <name val="Arial"/>
      <family val="2"/>
      <charset val="238"/>
    </font>
    <font>
      <sz val="8.6"/>
      <name val="Arial"/>
      <family val="2"/>
      <charset val="238"/>
    </font>
    <font>
      <sz val="12"/>
      <name val="Tahoma"/>
      <family val="2"/>
    </font>
    <font>
      <b/>
      <sz val="8.5"/>
      <name val="Arial"/>
      <family val="2"/>
      <charset val="238"/>
    </font>
    <font>
      <b/>
      <sz val="8.5"/>
      <color indexed="8"/>
      <name val="Arial"/>
      <family val="2"/>
      <charset val="238"/>
    </font>
    <font>
      <b/>
      <sz val="8"/>
      <name val="Arial"/>
      <family val="2"/>
      <charset val="238"/>
    </font>
    <font>
      <b/>
      <sz val="12"/>
      <color indexed="8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sz val="12"/>
      <color indexed="23"/>
      <name val="Arial"/>
      <family val="2"/>
      <charset val="238"/>
    </font>
    <font>
      <b/>
      <sz val="10"/>
      <color indexed="8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0" fontId="5" fillId="0" borderId="0">
      <alignment vertical="top" wrapText="1"/>
    </xf>
    <xf numFmtId="0" fontId="1" fillId="0" borderId="0"/>
    <xf numFmtId="0" fontId="5" fillId="0" borderId="0">
      <alignment vertical="top" wrapText="1"/>
    </xf>
    <xf numFmtId="0" fontId="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 applyFont="0" applyFill="0" applyBorder="0" applyAlignment="0" applyProtection="0"/>
  </cellStyleXfs>
  <cellXfs count="86">
    <xf numFmtId="0" fontId="0" fillId="0" borderId="0" xfId="0"/>
    <xf numFmtId="0" fontId="3" fillId="0" borderId="1" xfId="0" applyFont="1" applyBorder="1" applyAlignment="1">
      <alignment horizontal="justify" vertical="center"/>
    </xf>
    <xf numFmtId="0" fontId="3" fillId="0" borderId="0" xfId="0" applyFont="1"/>
    <xf numFmtId="0" fontId="6" fillId="0" borderId="4" xfId="1" applyFont="1" applyBorder="1" applyAlignment="1">
      <alignment horizontal="center" vertical="top" wrapText="1"/>
    </xf>
    <xf numFmtId="49" fontId="6" fillId="0" borderId="4" xfId="1" applyNumberFormat="1" applyFont="1" applyBorder="1" applyAlignment="1">
      <alignment horizontal="center" vertical="top" wrapText="1"/>
    </xf>
    <xf numFmtId="0" fontId="7" fillId="0" borderId="0" xfId="0" applyFont="1" applyAlignment="1">
      <alignment horizontal="justify" vertical="top"/>
    </xf>
    <xf numFmtId="0" fontId="8" fillId="0" borderId="0" xfId="0" applyFont="1" applyAlignment="1">
      <alignment horizontal="justify" vertical="top"/>
    </xf>
    <xf numFmtId="4" fontId="9" fillId="0" borderId="0" xfId="0" applyNumberFormat="1" applyFont="1" applyAlignment="1">
      <alignment horizontal="justify" vertical="center"/>
    </xf>
    <xf numFmtId="4" fontId="10" fillId="0" borderId="6" xfId="0" applyNumberFormat="1" applyFont="1" applyBorder="1" applyAlignment="1">
      <alignment horizontal="justify" vertical="center"/>
    </xf>
    <xf numFmtId="49" fontId="12" fillId="0" borderId="0" xfId="2" applyNumberFormat="1" applyFont="1" applyAlignment="1">
      <alignment horizontal="left" vertical="top" wrapText="1"/>
    </xf>
    <xf numFmtId="49" fontId="13" fillId="0" borderId="0" xfId="2" applyNumberFormat="1" applyFont="1" applyAlignment="1">
      <alignment horizontal="left" vertical="top" wrapText="1"/>
    </xf>
    <xf numFmtId="0" fontId="0" fillId="0" borderId="0" xfId="0" applyAlignment="1">
      <alignment horizontal="justify"/>
    </xf>
    <xf numFmtId="0" fontId="0" fillId="0" borderId="6" xfId="0" applyBorder="1" applyAlignment="1">
      <alignment horizontal="justify"/>
    </xf>
    <xf numFmtId="0" fontId="12" fillId="0" borderId="0" xfId="2" applyFont="1" applyAlignment="1">
      <alignment horizontal="justify" vertical="top" wrapText="1"/>
    </xf>
    <xf numFmtId="0" fontId="12" fillId="0" borderId="0" xfId="2" applyFont="1" applyAlignment="1">
      <alignment horizontal="left" vertical="top" wrapText="1"/>
    </xf>
    <xf numFmtId="0" fontId="5" fillId="0" borderId="0" xfId="3">
      <alignment vertical="top" wrapText="1"/>
    </xf>
    <xf numFmtId="4" fontId="12" fillId="0" borderId="0" xfId="4" applyNumberFormat="1" applyFont="1" applyAlignment="1">
      <alignment horizontal="right" vertical="top" wrapText="1"/>
    </xf>
    <xf numFmtId="4" fontId="12" fillId="0" borderId="6" xfId="2" applyNumberFormat="1" applyFont="1" applyBorder="1" applyAlignment="1">
      <alignment horizontal="right" vertical="top" wrapText="1"/>
    </xf>
    <xf numFmtId="0" fontId="14" fillId="0" borderId="0" xfId="0" applyFont="1" applyAlignment="1">
      <alignment horizontal="justify"/>
    </xf>
    <xf numFmtId="0" fontId="15" fillId="0" borderId="0" xfId="0" applyFont="1" applyAlignment="1">
      <alignment horizontal="justify"/>
    </xf>
    <xf numFmtId="164" fontId="12" fillId="0" borderId="0" xfId="2" applyNumberFormat="1" applyFont="1" applyAlignment="1">
      <alignment horizontal="right" vertical="top" wrapText="1"/>
    </xf>
    <xf numFmtId="49" fontId="12" fillId="0" borderId="0" xfId="2" quotePrefix="1" applyNumberFormat="1" applyFont="1" applyAlignment="1">
      <alignment horizontal="left" vertical="top" wrapText="1"/>
    </xf>
    <xf numFmtId="164" fontId="12" fillId="0" borderId="0" xfId="4" applyNumberFormat="1" applyFont="1" applyAlignment="1">
      <alignment horizontal="right" vertical="top" wrapText="1"/>
    </xf>
    <xf numFmtId="4" fontId="12" fillId="0" borderId="6" xfId="3" applyNumberFormat="1" applyFont="1" applyBorder="1" applyAlignment="1">
      <alignment horizontal="right" vertical="top" wrapText="1"/>
    </xf>
    <xf numFmtId="49" fontId="12" fillId="0" borderId="0" xfId="2" applyNumberFormat="1" applyFont="1" applyAlignment="1">
      <alignment horizontal="center" vertical="top" wrapText="1"/>
    </xf>
    <xf numFmtId="49" fontId="17" fillId="0" borderId="0" xfId="2" applyNumberFormat="1" applyFont="1" applyAlignment="1">
      <alignment horizontal="left" vertical="top" wrapText="1"/>
    </xf>
    <xf numFmtId="0" fontId="12" fillId="0" borderId="0" xfId="3" applyFont="1" applyAlignment="1">
      <alignment horizontal="left" vertical="top" wrapText="1"/>
    </xf>
    <xf numFmtId="0" fontId="18" fillId="0" borderId="0" xfId="6" applyFont="1" applyAlignment="1">
      <alignment horizontal="justify" vertical="top" wrapText="1"/>
    </xf>
    <xf numFmtId="0" fontId="18" fillId="0" borderId="0" xfId="6" quotePrefix="1" applyFont="1" applyAlignment="1">
      <alignment horizontal="justify" vertical="top" wrapText="1"/>
    </xf>
    <xf numFmtId="0" fontId="18" fillId="0" borderId="0" xfId="7" quotePrefix="1" applyFont="1" applyAlignment="1">
      <alignment horizontal="justify" vertical="top" wrapText="1"/>
    </xf>
    <xf numFmtId="0" fontId="18" fillId="0" borderId="0" xfId="7" applyFont="1" applyAlignment="1">
      <alignment horizontal="justify" vertical="top" wrapText="1"/>
    </xf>
    <xf numFmtId="0" fontId="3" fillId="0" borderId="0" xfId="0" applyFont="1" applyAlignment="1">
      <alignment horizontal="justify"/>
    </xf>
    <xf numFmtId="49" fontId="12" fillId="0" borderId="0" xfId="2" applyNumberFormat="1" applyFont="1" applyAlignment="1">
      <alignment horizontal="justify" vertical="top" wrapText="1"/>
    </xf>
    <xf numFmtId="0" fontId="18" fillId="0" borderId="0" xfId="8" applyFont="1" applyAlignment="1">
      <alignment horizontal="left" vertical="top" wrapText="1"/>
    </xf>
    <xf numFmtId="0" fontId="19" fillId="0" borderId="6" xfId="0" applyFont="1" applyBorder="1"/>
    <xf numFmtId="49" fontId="18" fillId="0" borderId="0" xfId="2" applyNumberFormat="1" applyFont="1" applyAlignment="1">
      <alignment horizontal="left" vertical="top" wrapText="1"/>
    </xf>
    <xf numFmtId="49" fontId="12" fillId="0" borderId="7" xfId="3" applyNumberFormat="1" applyFont="1" applyBorder="1" applyAlignment="1">
      <alignment horizontal="left" vertical="top" wrapText="1"/>
    </xf>
    <xf numFmtId="0" fontId="12" fillId="0" borderId="7" xfId="3" applyFont="1" applyBorder="1" applyAlignment="1">
      <alignment horizontal="left" vertical="top" wrapText="1"/>
    </xf>
    <xf numFmtId="0" fontId="12" fillId="0" borderId="7" xfId="3" applyFont="1" applyBorder="1" applyAlignment="1">
      <alignment horizontal="right" vertical="top" wrapText="1"/>
    </xf>
    <xf numFmtId="0" fontId="12" fillId="0" borderId="8" xfId="3" applyFont="1" applyBorder="1" applyAlignment="1">
      <alignment horizontal="right" vertical="top" wrapText="1"/>
    </xf>
    <xf numFmtId="0" fontId="20" fillId="4" borderId="9" xfId="2" applyFont="1" applyFill="1" applyBorder="1" applyAlignment="1">
      <alignment horizontal="left" vertical="top" wrapText="1"/>
    </xf>
    <xf numFmtId="4" fontId="21" fillId="5" borderId="7" xfId="3" applyNumberFormat="1" applyFont="1" applyFill="1" applyBorder="1">
      <alignment vertical="top" wrapText="1"/>
    </xf>
    <xf numFmtId="0" fontId="21" fillId="5" borderId="7" xfId="3" applyFont="1" applyFill="1" applyBorder="1">
      <alignment vertical="top" wrapText="1"/>
    </xf>
    <xf numFmtId="4" fontId="3" fillId="0" borderId="0" xfId="0" quotePrefix="1" applyNumberFormat="1" applyFont="1" applyAlignment="1">
      <alignment horizontal="center" vertical="top"/>
    </xf>
    <xf numFmtId="0" fontId="14" fillId="0" borderId="0" xfId="0" applyFont="1" applyAlignment="1">
      <alignment horizontal="justify" vertical="center" wrapText="1"/>
    </xf>
    <xf numFmtId="0" fontId="14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23" fillId="0" borderId="6" xfId="0" applyNumberFormat="1" applyFont="1" applyBorder="1" applyAlignment="1">
      <alignment horizontal="justify" vertical="center"/>
    </xf>
    <xf numFmtId="20" fontId="3" fillId="0" borderId="0" xfId="0" quotePrefix="1" applyNumberFormat="1" applyFont="1" applyAlignment="1">
      <alignment horizontal="justify" vertical="top"/>
    </xf>
    <xf numFmtId="4" fontId="24" fillId="0" borderId="0" xfId="0" applyNumberFormat="1" applyFont="1" applyAlignment="1">
      <alignment horizontal="justify" vertical="center" wrapText="1"/>
    </xf>
    <xf numFmtId="0" fontId="25" fillId="0" borderId="0" xfId="0" applyFont="1" applyAlignment="1">
      <alignment horizontal="justify"/>
    </xf>
    <xf numFmtId="0" fontId="26" fillId="0" borderId="0" xfId="0" applyFont="1"/>
    <xf numFmtId="0" fontId="27" fillId="0" borderId="0" xfId="0" applyFont="1" applyAlignment="1">
      <alignment horizontal="justify" vertical="center" wrapText="1"/>
    </xf>
    <xf numFmtId="4" fontId="3" fillId="0" borderId="0" xfId="0" applyNumberFormat="1" applyFont="1" applyAlignment="1">
      <alignment horizontal="justify" vertical="top"/>
    </xf>
    <xf numFmtId="0" fontId="14" fillId="0" borderId="0" xfId="0" applyFont="1" applyAlignment="1">
      <alignment horizontal="justify" wrapText="1"/>
    </xf>
    <xf numFmtId="0" fontId="4" fillId="0" borderId="0" xfId="0" applyFont="1" applyAlignment="1">
      <alignment horizontal="justify" vertical="center"/>
    </xf>
    <xf numFmtId="165" fontId="28" fillId="0" borderId="6" xfId="9" applyNumberFormat="1" applyFont="1" applyBorder="1" applyAlignment="1">
      <alignment horizontal="justify" vertical="center"/>
    </xf>
    <xf numFmtId="20" fontId="3" fillId="0" borderId="0" xfId="0" quotePrefix="1" applyNumberFormat="1" applyFont="1" applyAlignment="1">
      <alignment horizontal="justify" vertical="center"/>
    </xf>
    <xf numFmtId="165" fontId="24" fillId="0" borderId="0" xfId="0" applyNumberFormat="1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9" fillId="0" borderId="6" xfId="0" applyFont="1" applyBorder="1" applyAlignment="1">
      <alignment horizontal="justify"/>
    </xf>
    <xf numFmtId="0" fontId="3" fillId="0" borderId="6" xfId="0" applyFont="1" applyBorder="1"/>
    <xf numFmtId="164" fontId="12" fillId="0" borderId="0" xfId="2" applyNumberFormat="1" applyFont="1" applyAlignment="1">
      <alignment horizontal="right" vertical="center" wrapText="1"/>
    </xf>
    <xf numFmtId="4" fontId="12" fillId="0" borderId="0" xfId="4" applyNumberFormat="1" applyFont="1" applyAlignment="1">
      <alignment horizontal="right" vertical="center" wrapText="1"/>
    </xf>
    <xf numFmtId="4" fontId="12" fillId="0" borderId="6" xfId="2" applyNumberFormat="1" applyFont="1" applyBorder="1" applyAlignment="1">
      <alignment horizontal="right" vertical="center" wrapText="1"/>
    </xf>
    <xf numFmtId="2" fontId="12" fillId="0" borderId="0" xfId="3" applyNumberFormat="1" applyFont="1" applyAlignment="1">
      <alignment horizontal="right" vertical="center" wrapText="1"/>
    </xf>
    <xf numFmtId="4" fontId="16" fillId="0" borderId="0" xfId="0" applyNumberFormat="1" applyFont="1" applyAlignment="1">
      <alignment horizontal="center" vertical="center"/>
    </xf>
    <xf numFmtId="4" fontId="12" fillId="0" borderId="6" xfId="3" applyNumberFormat="1" applyFont="1" applyBorder="1" applyAlignment="1">
      <alignment horizontal="right" vertical="center" wrapText="1"/>
    </xf>
    <xf numFmtId="0" fontId="0" fillId="0" borderId="0" xfId="0" applyAlignment="1">
      <alignment horizontal="justify" vertical="center"/>
    </xf>
    <xf numFmtId="0" fontId="0" fillId="0" borderId="6" xfId="0" applyBorder="1" applyAlignment="1">
      <alignment horizontal="justify" vertical="center"/>
    </xf>
    <xf numFmtId="4" fontId="12" fillId="0" borderId="0" xfId="2" applyNumberFormat="1" applyFont="1" applyAlignment="1">
      <alignment horizontal="right" vertical="center" wrapText="1"/>
    </xf>
    <xf numFmtId="4" fontId="12" fillId="0" borderId="0" xfId="3" applyNumberFormat="1" applyFont="1" applyAlignment="1">
      <alignment horizontal="right" vertical="center" wrapText="1"/>
    </xf>
    <xf numFmtId="4" fontId="13" fillId="0" borderId="0" xfId="2" applyNumberFormat="1" applyFont="1" applyAlignment="1">
      <alignment horizontal="right" vertical="center" wrapText="1"/>
    </xf>
    <xf numFmtId="4" fontId="13" fillId="0" borderId="0" xfId="4" applyNumberFormat="1" applyFont="1" applyAlignment="1">
      <alignment horizontal="right" vertical="center" wrapText="1"/>
    </xf>
    <xf numFmtId="4" fontId="13" fillId="0" borderId="6" xfId="2" applyNumberFormat="1" applyFont="1" applyBorder="1" applyAlignment="1">
      <alignment horizontal="right" vertical="center" wrapText="1"/>
    </xf>
    <xf numFmtId="4" fontId="12" fillId="3" borderId="0" xfId="4" applyNumberFormat="1" applyFont="1" applyFill="1" applyAlignment="1" applyProtection="1">
      <alignment horizontal="right" vertical="center" wrapText="1"/>
      <protection locked="0"/>
    </xf>
    <xf numFmtId="164" fontId="12" fillId="0" borderId="0" xfId="4" applyNumberFormat="1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0" fontId="15" fillId="0" borderId="0" xfId="0" applyFont="1" applyAlignment="1">
      <alignment horizontal="justify" vertical="center"/>
    </xf>
    <xf numFmtId="0" fontId="15" fillId="0" borderId="6" xfId="0" applyFont="1" applyBorder="1" applyAlignment="1">
      <alignment horizontal="justify" vertical="center"/>
    </xf>
    <xf numFmtId="166" fontId="22" fillId="5" borderId="8" xfId="7" applyNumberFormat="1" applyFont="1" applyFill="1" applyBorder="1" applyAlignment="1">
      <alignment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" fontId="4" fillId="2" borderId="5" xfId="0" applyNumberFormat="1" applyFont="1" applyFill="1" applyBorder="1" applyAlignment="1">
      <alignment horizontal="center" vertical="center"/>
    </xf>
  </cellXfs>
  <cellStyles count="10">
    <cellStyle name="Euro" xfId="9" xr:uid="{FC1676B4-5619-4C9D-8EE8-CE6E3015C371}"/>
    <cellStyle name="Normal" xfId="0" builtinId="0"/>
    <cellStyle name="Normal 127" xfId="5" xr:uid="{C024AAFB-4428-4479-96CE-F82EDABD5A86}"/>
    <cellStyle name="Normal 2 10" xfId="6" xr:uid="{CCD33D88-12B7-4759-A3CA-6F392F8477CB}"/>
    <cellStyle name="Normalno 2" xfId="2" xr:uid="{25223124-E88D-4C26-9F03-AB56FC1DEB3B}"/>
    <cellStyle name="Normalno 2 10" xfId="4" xr:uid="{7F541B3B-2F99-418D-8701-68E02727C863}"/>
    <cellStyle name="Obično 2" xfId="7" xr:uid="{02587B68-62E1-4DB3-9160-B76A6002B573}"/>
    <cellStyle name="Obično 2 3" xfId="8" xr:uid="{AD1D11FF-0120-40B0-B9CB-91EC08F0BB2C}"/>
    <cellStyle name="Obično 25" xfId="1" xr:uid="{7B0AF9E2-1684-4305-BE1C-A9952B0F6340}"/>
    <cellStyle name="Obično 26" xfId="3" xr:uid="{CEBEC9BE-A3FE-431B-AD94-23C9F7005C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289560</xdr:rowOff>
    </xdr:from>
    <xdr:to>
      <xdr:col>1</xdr:col>
      <xdr:colOff>1979555</xdr:colOff>
      <xdr:row>1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5FD875B1-268A-490D-BBEC-DA02A4497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60"/>
          <a:ext cx="2454593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152400</xdr:rowOff>
    </xdr:from>
    <xdr:to>
      <xdr:col>1</xdr:col>
      <xdr:colOff>2739650</xdr:colOff>
      <xdr:row>1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D411690D-F594-4452-966D-0AC7EF8F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"/>
          <a:ext cx="3208973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82" name="Text Box 18">
          <a:extLst>
            <a:ext uri="{FF2B5EF4-FFF2-40B4-BE49-F238E27FC236}">
              <a16:creationId xmlns:a16="http://schemas.microsoft.com/office/drawing/2014/main" id="{D11D3843-77C0-45FB-B435-82F71632F9F5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1FED527-3726-4FDB-BB62-90497EA303BA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84" name="Text Box 18">
          <a:extLst>
            <a:ext uri="{FF2B5EF4-FFF2-40B4-BE49-F238E27FC236}">
              <a16:creationId xmlns:a16="http://schemas.microsoft.com/office/drawing/2014/main" id="{FB9786BA-63B3-48EC-ADD6-9FC65697011F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C648B18C-AAD7-483C-B769-2DBD8E1FB4EE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86" name="Text Box 10">
          <a:extLst>
            <a:ext uri="{FF2B5EF4-FFF2-40B4-BE49-F238E27FC236}">
              <a16:creationId xmlns:a16="http://schemas.microsoft.com/office/drawing/2014/main" id="{41A73896-E8D5-45A5-96AC-287BF873B973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87" name="Text Box 9">
          <a:extLst>
            <a:ext uri="{FF2B5EF4-FFF2-40B4-BE49-F238E27FC236}">
              <a16:creationId xmlns:a16="http://schemas.microsoft.com/office/drawing/2014/main" id="{BFD8B05B-F762-446A-8574-30502DF9CA33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5B7A8E64-98D1-482E-BC70-D45968560829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89" name="Text Box 18">
          <a:extLst>
            <a:ext uri="{FF2B5EF4-FFF2-40B4-BE49-F238E27FC236}">
              <a16:creationId xmlns:a16="http://schemas.microsoft.com/office/drawing/2014/main" id="{DCA7CF3F-BDDA-4AB9-9BD7-76600DA0581E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8CFD2782-DBB0-4D99-96F4-DDB007E6A399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268D9BE4-3CD1-43F8-AC08-9CC7837AFA8A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92" name="Text Box 18">
          <a:extLst>
            <a:ext uri="{FF2B5EF4-FFF2-40B4-BE49-F238E27FC236}">
              <a16:creationId xmlns:a16="http://schemas.microsoft.com/office/drawing/2014/main" id="{68E91EBC-4F44-4D63-82DF-47A28BDB4E96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9F5ACE7A-3207-4864-867D-85D70A9942C3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94" name="Text Box 10">
          <a:extLst>
            <a:ext uri="{FF2B5EF4-FFF2-40B4-BE49-F238E27FC236}">
              <a16:creationId xmlns:a16="http://schemas.microsoft.com/office/drawing/2014/main" id="{966A1ECD-F6FA-49AB-9966-FCAE9D13E3EE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95" name="Text Box 9">
          <a:extLst>
            <a:ext uri="{FF2B5EF4-FFF2-40B4-BE49-F238E27FC236}">
              <a16:creationId xmlns:a16="http://schemas.microsoft.com/office/drawing/2014/main" id="{F0907163-4895-4CFE-BFD8-918113DECB14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80CF3207-9874-45A0-9F5E-95D8B62A9BF9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97" name="Text Box 18">
          <a:extLst>
            <a:ext uri="{FF2B5EF4-FFF2-40B4-BE49-F238E27FC236}">
              <a16:creationId xmlns:a16="http://schemas.microsoft.com/office/drawing/2014/main" id="{039CB798-B9DA-404B-87D8-1C68DE406B5A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9953C79F-7A6A-4CFB-8256-7D6314C5EA42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99" name="Text Box 18">
          <a:extLst>
            <a:ext uri="{FF2B5EF4-FFF2-40B4-BE49-F238E27FC236}">
              <a16:creationId xmlns:a16="http://schemas.microsoft.com/office/drawing/2014/main" id="{844EA1DD-F1AB-4962-8FE2-D3808B466A4D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BAD14D0F-637B-4E56-8B0D-5FBEC973D4E9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01" name="Text Box 18">
          <a:extLst>
            <a:ext uri="{FF2B5EF4-FFF2-40B4-BE49-F238E27FC236}">
              <a16:creationId xmlns:a16="http://schemas.microsoft.com/office/drawing/2014/main" id="{75D9E47D-7ED3-4EA2-BF92-EC89D87189ED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46650BE5-4092-42A7-8407-5D367404C5A8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03" name="Text Box 10">
          <a:extLst>
            <a:ext uri="{FF2B5EF4-FFF2-40B4-BE49-F238E27FC236}">
              <a16:creationId xmlns:a16="http://schemas.microsoft.com/office/drawing/2014/main" id="{585B81D2-87FC-4A2F-9961-D7BD1C41111E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04" name="Text Box 9">
          <a:extLst>
            <a:ext uri="{FF2B5EF4-FFF2-40B4-BE49-F238E27FC236}">
              <a16:creationId xmlns:a16="http://schemas.microsoft.com/office/drawing/2014/main" id="{8716075E-BD38-49FA-A3B6-E1B4B9EB8B2A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DF77E34C-F930-4BBF-A0C9-C02C4D8ED68A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06" name="Text Box 18">
          <a:extLst>
            <a:ext uri="{FF2B5EF4-FFF2-40B4-BE49-F238E27FC236}">
              <a16:creationId xmlns:a16="http://schemas.microsoft.com/office/drawing/2014/main" id="{BF990FA4-4E35-4984-BDC8-7EB5DD7C4268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14490ABE-52BF-4F84-9574-D66935D11FAF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08" name="Text Box 18">
          <a:extLst>
            <a:ext uri="{FF2B5EF4-FFF2-40B4-BE49-F238E27FC236}">
              <a16:creationId xmlns:a16="http://schemas.microsoft.com/office/drawing/2014/main" id="{56C04444-C260-47F5-81AD-E53EECD7DB1F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9598EBF6-5FBC-4B5F-8E6F-2A182AF3BFA5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10" name="Text Box 18">
          <a:extLst>
            <a:ext uri="{FF2B5EF4-FFF2-40B4-BE49-F238E27FC236}">
              <a16:creationId xmlns:a16="http://schemas.microsoft.com/office/drawing/2014/main" id="{209230F2-F9D6-4E59-ACEE-0951CCA9723B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B13A8260-DB2A-4DBD-89A8-801E6FE5DF1A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12" name="Text Box 10">
          <a:extLst>
            <a:ext uri="{FF2B5EF4-FFF2-40B4-BE49-F238E27FC236}">
              <a16:creationId xmlns:a16="http://schemas.microsoft.com/office/drawing/2014/main" id="{D2142176-20F1-48F0-B3B3-E2EE2E128762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13" name="Text Box 9">
          <a:extLst>
            <a:ext uri="{FF2B5EF4-FFF2-40B4-BE49-F238E27FC236}">
              <a16:creationId xmlns:a16="http://schemas.microsoft.com/office/drawing/2014/main" id="{A0AFBC38-091C-449E-93C3-8036C8BC80F0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8A8A134A-16F7-415C-A6D2-2F0DCA55DA4A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15" name="Text Box 18">
          <a:extLst>
            <a:ext uri="{FF2B5EF4-FFF2-40B4-BE49-F238E27FC236}">
              <a16:creationId xmlns:a16="http://schemas.microsoft.com/office/drawing/2014/main" id="{CCC7BFFA-BD2E-4814-98FB-E7561ADE05E2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9159D120-5862-4340-A708-ACFAA639756D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3DD3AC59-896F-4F72-A900-EE280EA597EE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18" name="Text Box 18">
          <a:extLst>
            <a:ext uri="{FF2B5EF4-FFF2-40B4-BE49-F238E27FC236}">
              <a16:creationId xmlns:a16="http://schemas.microsoft.com/office/drawing/2014/main" id="{C3D6E7C3-0B83-4D18-8E5D-55727B32607B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7D1CD5D1-D657-4BB7-BA16-8C38D1341CEA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20" name="Text Box 10">
          <a:extLst>
            <a:ext uri="{FF2B5EF4-FFF2-40B4-BE49-F238E27FC236}">
              <a16:creationId xmlns:a16="http://schemas.microsoft.com/office/drawing/2014/main" id="{F92FC12F-CBF5-41ED-8990-2FD0AE1AA320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21" name="Text Box 9">
          <a:extLst>
            <a:ext uri="{FF2B5EF4-FFF2-40B4-BE49-F238E27FC236}">
              <a16:creationId xmlns:a16="http://schemas.microsoft.com/office/drawing/2014/main" id="{11C87654-6D1E-4343-83D3-F32485DEBBF4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841F8FB7-17D2-47E1-8212-0FAE86FE4816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23" name="Text Box 18">
          <a:extLst>
            <a:ext uri="{FF2B5EF4-FFF2-40B4-BE49-F238E27FC236}">
              <a16:creationId xmlns:a16="http://schemas.microsoft.com/office/drawing/2014/main" id="{B7AB0246-F087-4E31-BEA8-6EE051E28111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D90690AA-5F2A-4B8D-BD43-3AB71E4BBF13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25" name="Text Box 18">
          <a:extLst>
            <a:ext uri="{FF2B5EF4-FFF2-40B4-BE49-F238E27FC236}">
              <a16:creationId xmlns:a16="http://schemas.microsoft.com/office/drawing/2014/main" id="{7CAAE2B4-53DA-42D7-9052-DC7285B8A7CA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9568F742-3498-41B0-A808-C8AE791B7CC6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27" name="Text Box 18">
          <a:extLst>
            <a:ext uri="{FF2B5EF4-FFF2-40B4-BE49-F238E27FC236}">
              <a16:creationId xmlns:a16="http://schemas.microsoft.com/office/drawing/2014/main" id="{FEF7E899-D72E-4910-B1E9-7376BD7F9C31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74E07211-163C-43A0-A022-C1C493BD3957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29" name="Text Box 10">
          <a:extLst>
            <a:ext uri="{FF2B5EF4-FFF2-40B4-BE49-F238E27FC236}">
              <a16:creationId xmlns:a16="http://schemas.microsoft.com/office/drawing/2014/main" id="{58BC7C12-E03D-41F6-8A38-59343F7A1627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30" name="Text Box 9">
          <a:extLst>
            <a:ext uri="{FF2B5EF4-FFF2-40B4-BE49-F238E27FC236}">
              <a16:creationId xmlns:a16="http://schemas.microsoft.com/office/drawing/2014/main" id="{1FA716DF-B512-48B3-AE68-AFB7DBBB93F2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EBA5763C-9353-498E-BB4D-9CA28A4AE9E0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32" name="Text Box 18">
          <a:extLst>
            <a:ext uri="{FF2B5EF4-FFF2-40B4-BE49-F238E27FC236}">
              <a16:creationId xmlns:a16="http://schemas.microsoft.com/office/drawing/2014/main" id="{1A3F53AC-2A99-444E-9ED3-AF621D26D834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8F351D0A-494A-49E9-8CC2-55E118F7B24F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34" name="Text Box 18">
          <a:extLst>
            <a:ext uri="{FF2B5EF4-FFF2-40B4-BE49-F238E27FC236}">
              <a16:creationId xmlns:a16="http://schemas.microsoft.com/office/drawing/2014/main" id="{A42AB121-C832-4116-9003-ADAC5925B7D7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F003B488-1B3B-496B-8D05-1170C1F46268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36" name="Text Box 18">
          <a:extLst>
            <a:ext uri="{FF2B5EF4-FFF2-40B4-BE49-F238E27FC236}">
              <a16:creationId xmlns:a16="http://schemas.microsoft.com/office/drawing/2014/main" id="{B1F51BDE-2655-4753-A18A-150B2E3D7AC0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4734FBBB-FD1C-41B8-A314-0ACBB27DFE71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38" name="Text Box 10">
          <a:extLst>
            <a:ext uri="{FF2B5EF4-FFF2-40B4-BE49-F238E27FC236}">
              <a16:creationId xmlns:a16="http://schemas.microsoft.com/office/drawing/2014/main" id="{87D01ECD-5EBD-4878-A880-3878B4A0E537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39" name="Text Box 9">
          <a:extLst>
            <a:ext uri="{FF2B5EF4-FFF2-40B4-BE49-F238E27FC236}">
              <a16:creationId xmlns:a16="http://schemas.microsoft.com/office/drawing/2014/main" id="{D368549E-EE81-445B-A4F6-FECF0178F587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6E10451E-CA13-40C4-A988-25E62DED1354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41" name="Text Box 18">
          <a:extLst>
            <a:ext uri="{FF2B5EF4-FFF2-40B4-BE49-F238E27FC236}">
              <a16:creationId xmlns:a16="http://schemas.microsoft.com/office/drawing/2014/main" id="{C1E694DD-A518-4985-A1C8-8DC736C8E186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AB568631-3695-414B-9683-20454E77197B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D78BFC7F-5C5D-4252-B6E2-DD466235C7FC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44" name="Text Box 18">
          <a:extLst>
            <a:ext uri="{FF2B5EF4-FFF2-40B4-BE49-F238E27FC236}">
              <a16:creationId xmlns:a16="http://schemas.microsoft.com/office/drawing/2014/main" id="{CE1D9DA1-CF9A-4B76-9D29-DD5FF43FDC35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73CEDB77-8C10-4101-A632-82112CB9B3D7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46" name="Text Box 10">
          <a:extLst>
            <a:ext uri="{FF2B5EF4-FFF2-40B4-BE49-F238E27FC236}">
              <a16:creationId xmlns:a16="http://schemas.microsoft.com/office/drawing/2014/main" id="{FF17E53E-9B7F-4A14-8972-4C8F843AE7E3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47" name="Text Box 9">
          <a:extLst>
            <a:ext uri="{FF2B5EF4-FFF2-40B4-BE49-F238E27FC236}">
              <a16:creationId xmlns:a16="http://schemas.microsoft.com/office/drawing/2014/main" id="{F87CD282-92BA-4218-B908-B58D8EE8BBD4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6743905C-BED9-4B05-AA4A-10530436D886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49" name="Text Box 18">
          <a:extLst>
            <a:ext uri="{FF2B5EF4-FFF2-40B4-BE49-F238E27FC236}">
              <a16:creationId xmlns:a16="http://schemas.microsoft.com/office/drawing/2014/main" id="{898C2699-3D1F-4D26-AE4C-F78F5C59ED1C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52F47BB6-BFAE-4B68-B54D-7F87ADF3C862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51" name="Text Box 18">
          <a:extLst>
            <a:ext uri="{FF2B5EF4-FFF2-40B4-BE49-F238E27FC236}">
              <a16:creationId xmlns:a16="http://schemas.microsoft.com/office/drawing/2014/main" id="{D18DC684-4E50-428C-800B-D89CC18BC4D5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E2AD2ACC-C9BE-4FD3-B647-02864E140CAD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53" name="Text Box 18">
          <a:extLst>
            <a:ext uri="{FF2B5EF4-FFF2-40B4-BE49-F238E27FC236}">
              <a16:creationId xmlns:a16="http://schemas.microsoft.com/office/drawing/2014/main" id="{B78FB157-0668-4E68-A7D5-F5CF41C3C634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DD09FF22-9E18-447A-AC92-995FE2057E53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55" name="Text Box 10">
          <a:extLst>
            <a:ext uri="{FF2B5EF4-FFF2-40B4-BE49-F238E27FC236}">
              <a16:creationId xmlns:a16="http://schemas.microsoft.com/office/drawing/2014/main" id="{7D90E501-16C3-4B70-BC2E-927D81FC1931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56" name="Text Box 9">
          <a:extLst>
            <a:ext uri="{FF2B5EF4-FFF2-40B4-BE49-F238E27FC236}">
              <a16:creationId xmlns:a16="http://schemas.microsoft.com/office/drawing/2014/main" id="{B8D47B23-05A1-4685-AAE7-059A1DD2197D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83010039-EF18-4C73-A470-2E35AEB5654E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2308860</xdr:colOff>
      <xdr:row>0</xdr:row>
      <xdr:rowOff>0</xdr:rowOff>
    </xdr:from>
    <xdr:to>
      <xdr:col>1</xdr:col>
      <xdr:colOff>7383780</xdr:colOff>
      <xdr:row>1</xdr:row>
      <xdr:rowOff>106680</xdr:rowOff>
    </xdr:to>
    <xdr:sp macro="" textlink="">
      <xdr:nvSpPr>
        <xdr:cNvPr id="158" name="Text Box 18">
          <a:extLst>
            <a:ext uri="{FF2B5EF4-FFF2-40B4-BE49-F238E27FC236}">
              <a16:creationId xmlns:a16="http://schemas.microsoft.com/office/drawing/2014/main" id="{663A79A4-6DE1-4578-ADD4-08CC50FDA7FD}"/>
            </a:ext>
          </a:extLst>
        </xdr:cNvPr>
        <xdr:cNvSpPr txBox="1">
          <a:spLocks noChangeArrowheads="1"/>
        </xdr:cNvSpPr>
      </xdr:nvSpPr>
      <xdr:spPr bwMode="auto">
        <a:xfrm>
          <a:off x="4042410" y="0"/>
          <a:ext cx="107442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2133600</xdr:colOff>
      <xdr:row>0</xdr:row>
      <xdr:rowOff>0</xdr:rowOff>
    </xdr:from>
    <xdr:to>
      <xdr:col>1</xdr:col>
      <xdr:colOff>7117080</xdr:colOff>
      <xdr:row>1</xdr:row>
      <xdr:rowOff>106680</xdr:rowOff>
    </xdr:to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412995D9-9898-4127-A298-F88E6E2769A3}"/>
            </a:ext>
          </a:extLst>
        </xdr:cNvPr>
        <xdr:cNvSpPr txBox="1">
          <a:spLocks noChangeArrowheads="1"/>
        </xdr:cNvSpPr>
      </xdr:nvSpPr>
      <xdr:spPr bwMode="auto">
        <a:xfrm>
          <a:off x="3867150" y="0"/>
          <a:ext cx="12496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373380</xdr:colOff>
      <xdr:row>0</xdr:row>
      <xdr:rowOff>289560</xdr:rowOff>
    </xdr:from>
    <xdr:ext cx="2447449" cy="472440"/>
    <xdr:pic>
      <xdr:nvPicPr>
        <xdr:cNvPr id="160" name="Picture 80">
          <a:extLst>
            <a:ext uri="{FF2B5EF4-FFF2-40B4-BE49-F238E27FC236}">
              <a16:creationId xmlns:a16="http://schemas.microsoft.com/office/drawing/2014/main" id="{727DD6CD-EE53-43CC-B289-E4B57C3AA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" y="289560"/>
          <a:ext cx="2447449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2504556</xdr:colOff>
      <xdr:row>0</xdr:row>
      <xdr:rowOff>103909</xdr:rowOff>
    </xdr:from>
    <xdr:ext cx="3201829" cy="609600"/>
    <xdr:pic>
      <xdr:nvPicPr>
        <xdr:cNvPr id="161" name="Picture 81">
          <a:extLst>
            <a:ext uri="{FF2B5EF4-FFF2-40B4-BE49-F238E27FC236}">
              <a16:creationId xmlns:a16="http://schemas.microsoft.com/office/drawing/2014/main" id="{395685ED-FC77-4AD9-B614-7145E813A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6988" y="103909"/>
          <a:ext cx="3201829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89A0-23D0-4E44-B72B-2A0C4B45D15C}">
  <dimension ref="A1:F199"/>
  <sheetViews>
    <sheetView showGridLines="0" showZeros="0" tabSelected="1" view="pageBreakPreview" topLeftCell="A61" zoomScale="110" zoomScaleNormal="100" zoomScaleSheetLayoutView="110" workbookViewId="0">
      <selection activeCell="E68" sqref="E68"/>
    </sheetView>
  </sheetViews>
  <sheetFormatPr defaultColWidth="9.140625" defaultRowHeight="15" x14ac:dyDescent="0.2"/>
  <cols>
    <col min="1" max="1" width="7.7109375" style="2" customWidth="1"/>
    <col min="2" max="2" width="50.7109375" style="2" customWidth="1"/>
    <col min="3" max="3" width="9" style="2" customWidth="1"/>
    <col min="4" max="4" width="8.7109375" style="2" customWidth="1"/>
    <col min="5" max="5" width="7.85546875" style="2" customWidth="1"/>
    <col min="6" max="6" width="10.7109375" style="34" customWidth="1"/>
    <col min="7" max="18" width="9.140625" style="2"/>
    <col min="19" max="19" width="9.140625" style="2" customWidth="1"/>
    <col min="20" max="16384" width="9.140625" style="2"/>
  </cols>
  <sheetData>
    <row r="1" spans="1:6" ht="60" customHeight="1" thickTop="1" thickBot="1" x14ac:dyDescent="0.25">
      <c r="A1" s="1"/>
      <c r="B1" s="83"/>
      <c r="C1" s="84"/>
      <c r="D1" s="84"/>
      <c r="E1" s="84"/>
      <c r="F1" s="84"/>
    </row>
    <row r="2" spans="1:6" ht="28.5" customHeight="1" thickTop="1" x14ac:dyDescent="0.2">
      <c r="A2" s="85" t="s">
        <v>1</v>
      </c>
      <c r="B2" s="85"/>
      <c r="C2" s="85"/>
      <c r="D2" s="85"/>
      <c r="E2" s="85"/>
      <c r="F2" s="85"/>
    </row>
    <row r="3" spans="1:6" ht="24.95" customHeight="1" x14ac:dyDescent="0.2">
      <c r="A3" s="3" t="s">
        <v>2</v>
      </c>
      <c r="B3" s="4" t="s">
        <v>3</v>
      </c>
      <c r="C3" s="3" t="s">
        <v>4</v>
      </c>
      <c r="D3" s="3" t="s">
        <v>5</v>
      </c>
      <c r="E3" s="3" t="s">
        <v>0</v>
      </c>
      <c r="F3" s="3" t="s">
        <v>6</v>
      </c>
    </row>
    <row r="4" spans="1:6" x14ac:dyDescent="0.2">
      <c r="A4" s="5"/>
      <c r="B4" s="6"/>
      <c r="C4" s="7"/>
      <c r="D4" s="7"/>
      <c r="E4" s="7"/>
      <c r="F4" s="8"/>
    </row>
    <row r="5" spans="1:6" s="11" customFormat="1" ht="12.75" x14ac:dyDescent="0.2">
      <c r="A5" s="9" t="s">
        <v>7</v>
      </c>
      <c r="B5" s="10" t="s">
        <v>8</v>
      </c>
      <c r="F5" s="12"/>
    </row>
    <row r="6" spans="1:6" s="19" customFormat="1" ht="123.75" x14ac:dyDescent="0.2">
      <c r="A6" s="9"/>
      <c r="B6" s="13" t="s">
        <v>9</v>
      </c>
      <c r="C6" s="14"/>
      <c r="D6" s="15"/>
      <c r="E6" s="16"/>
      <c r="F6" s="17"/>
    </row>
    <row r="7" spans="1:6" ht="12.75" x14ac:dyDescent="0.2">
      <c r="A7" s="9"/>
      <c r="B7" s="9" t="s">
        <v>10</v>
      </c>
      <c r="C7" s="14"/>
      <c r="D7" s="20"/>
      <c r="E7" s="16"/>
      <c r="F7" s="17"/>
    </row>
    <row r="8" spans="1:6" s="11" customFormat="1" ht="12.75" x14ac:dyDescent="0.2">
      <c r="A8" s="9"/>
      <c r="B8" s="21" t="s">
        <v>11</v>
      </c>
      <c r="C8" s="14"/>
      <c r="D8" s="20"/>
      <c r="E8" s="16"/>
      <c r="F8" s="17"/>
    </row>
    <row r="9" spans="1:6" ht="12.75" x14ac:dyDescent="0.2">
      <c r="A9" s="9"/>
      <c r="B9" s="9" t="s">
        <v>12</v>
      </c>
      <c r="C9" s="15"/>
      <c r="D9" s="20"/>
      <c r="E9" s="22"/>
      <c r="F9" s="23"/>
    </row>
    <row r="10" spans="1:6" ht="12.75" x14ac:dyDescent="0.2">
      <c r="A10" s="9"/>
      <c r="B10" s="21" t="s">
        <v>13</v>
      </c>
      <c r="C10" s="15"/>
      <c r="D10" s="20"/>
      <c r="E10" s="22"/>
      <c r="F10" s="23"/>
    </row>
    <row r="11" spans="1:6" ht="12.75" x14ac:dyDescent="0.2">
      <c r="A11" s="9"/>
      <c r="B11" s="9" t="s">
        <v>14</v>
      </c>
      <c r="C11" s="15"/>
      <c r="D11" s="20"/>
      <c r="E11" s="22"/>
      <c r="F11" s="23"/>
    </row>
    <row r="12" spans="1:6" ht="12.75" x14ac:dyDescent="0.2">
      <c r="A12" s="9"/>
      <c r="B12" s="21" t="s">
        <v>15</v>
      </c>
      <c r="C12" s="14"/>
      <c r="D12" s="20"/>
      <c r="E12" s="16"/>
      <c r="F12" s="17"/>
    </row>
    <row r="13" spans="1:6" ht="12.75" x14ac:dyDescent="0.2">
      <c r="A13" s="9"/>
      <c r="B13" s="9" t="s">
        <v>16</v>
      </c>
      <c r="C13" s="14"/>
      <c r="D13" s="20"/>
      <c r="E13" s="16"/>
      <c r="F13" s="17"/>
    </row>
    <row r="14" spans="1:6" ht="12.75" x14ac:dyDescent="0.2">
      <c r="A14" s="9"/>
      <c r="B14" s="21" t="s">
        <v>17</v>
      </c>
      <c r="C14" s="14"/>
      <c r="D14" s="20"/>
      <c r="E14" s="16"/>
      <c r="F14" s="17"/>
    </row>
    <row r="15" spans="1:6" ht="12.75" x14ac:dyDescent="0.2">
      <c r="A15" s="9"/>
      <c r="B15" s="9" t="s">
        <v>18</v>
      </c>
      <c r="C15" s="14"/>
      <c r="D15" s="63"/>
      <c r="E15" s="64"/>
      <c r="F15" s="65"/>
    </row>
    <row r="16" spans="1:6" ht="12.75" x14ac:dyDescent="0.2">
      <c r="A16" s="9"/>
      <c r="B16" s="21" t="s">
        <v>19</v>
      </c>
      <c r="C16" s="14"/>
      <c r="D16" s="63"/>
      <c r="E16" s="64"/>
      <c r="F16" s="65"/>
    </row>
    <row r="17" spans="1:6" ht="12.75" x14ac:dyDescent="0.2">
      <c r="A17" s="9"/>
      <c r="B17" s="9" t="s">
        <v>20</v>
      </c>
      <c r="C17" s="14"/>
      <c r="D17" s="63"/>
      <c r="E17" s="64"/>
      <c r="F17" s="65"/>
    </row>
    <row r="18" spans="1:6" ht="12.75" x14ac:dyDescent="0.2">
      <c r="A18" s="9"/>
      <c r="B18" s="24" t="s">
        <v>21</v>
      </c>
      <c r="C18" s="14" t="s">
        <v>22</v>
      </c>
      <c r="D18" s="66">
        <v>1127</v>
      </c>
      <c r="E18" s="67">
        <v>7</v>
      </c>
      <c r="F18" s="67">
        <f>D18*E18</f>
        <v>7889</v>
      </c>
    </row>
    <row r="19" spans="1:6" ht="12.75" x14ac:dyDescent="0.2">
      <c r="A19" s="9"/>
      <c r="B19" s="9"/>
      <c r="C19" s="14"/>
      <c r="D19" s="63"/>
      <c r="E19" s="64"/>
      <c r="F19" s="68"/>
    </row>
    <row r="20" spans="1:6" s="11" customFormat="1" ht="12.75" x14ac:dyDescent="0.2">
      <c r="A20" s="9" t="s">
        <v>23</v>
      </c>
      <c r="B20" s="25" t="s">
        <v>24</v>
      </c>
      <c r="D20" s="69"/>
      <c r="E20" s="69"/>
      <c r="F20" s="70"/>
    </row>
    <row r="21" spans="1:6" ht="22.5" x14ac:dyDescent="0.2">
      <c r="A21" s="26"/>
      <c r="B21" s="27" t="s">
        <v>25</v>
      </c>
      <c r="C21" s="14"/>
      <c r="D21" s="63"/>
      <c r="E21" s="64"/>
      <c r="F21" s="65"/>
    </row>
    <row r="22" spans="1:6" s="11" customFormat="1" ht="12.75" x14ac:dyDescent="0.2">
      <c r="A22" s="9"/>
      <c r="B22" s="27" t="s">
        <v>26</v>
      </c>
      <c r="C22" s="14"/>
      <c r="D22" s="63"/>
      <c r="E22" s="64"/>
      <c r="F22" s="65"/>
    </row>
    <row r="23" spans="1:6" s="11" customFormat="1" ht="12.75" x14ac:dyDescent="0.2">
      <c r="A23" s="9"/>
      <c r="B23" s="28" t="s">
        <v>27</v>
      </c>
      <c r="C23" s="14"/>
      <c r="D23" s="63"/>
      <c r="E23" s="64"/>
      <c r="F23" s="65"/>
    </row>
    <row r="24" spans="1:6" ht="12.75" x14ac:dyDescent="0.2">
      <c r="A24" s="9"/>
      <c r="B24" s="27" t="s">
        <v>28</v>
      </c>
      <c r="C24" s="14"/>
      <c r="D24" s="63"/>
      <c r="E24" s="64"/>
      <c r="F24" s="65"/>
    </row>
    <row r="25" spans="1:6" ht="12.75" x14ac:dyDescent="0.2">
      <c r="A25" s="9"/>
      <c r="B25" s="29" t="s">
        <v>29</v>
      </c>
      <c r="C25" s="14"/>
      <c r="D25" s="63"/>
      <c r="E25" s="64"/>
      <c r="F25" s="65"/>
    </row>
    <row r="26" spans="1:6" ht="12.75" x14ac:dyDescent="0.2">
      <c r="A26" s="9"/>
      <c r="B26" s="30" t="s">
        <v>30</v>
      </c>
      <c r="C26" s="14"/>
      <c r="D26" s="63"/>
      <c r="E26" s="64"/>
      <c r="F26" s="65"/>
    </row>
    <row r="27" spans="1:6" ht="12.75" x14ac:dyDescent="0.2">
      <c r="A27" s="9"/>
      <c r="B27" s="29" t="s">
        <v>31</v>
      </c>
      <c r="C27" s="14"/>
      <c r="D27" s="63"/>
      <c r="E27" s="64"/>
      <c r="F27" s="65"/>
    </row>
    <row r="28" spans="1:6" ht="12.75" x14ac:dyDescent="0.2">
      <c r="A28" s="9"/>
      <c r="B28" s="30" t="s">
        <v>32</v>
      </c>
      <c r="C28" s="14"/>
      <c r="D28" s="63"/>
      <c r="E28" s="64"/>
      <c r="F28" s="65"/>
    </row>
    <row r="29" spans="1:6" ht="12.75" x14ac:dyDescent="0.2">
      <c r="A29" s="9"/>
      <c r="B29" s="29" t="s">
        <v>33</v>
      </c>
      <c r="C29" s="14"/>
      <c r="D29" s="63"/>
      <c r="E29" s="64"/>
      <c r="F29" s="65"/>
    </row>
    <row r="30" spans="1:6" ht="12.75" x14ac:dyDescent="0.2">
      <c r="A30" s="9"/>
      <c r="B30" s="30" t="s">
        <v>34</v>
      </c>
      <c r="C30" s="14"/>
      <c r="D30" s="63"/>
      <c r="E30" s="64"/>
      <c r="F30" s="65"/>
    </row>
    <row r="31" spans="1:6" ht="12.75" x14ac:dyDescent="0.2">
      <c r="A31" s="9"/>
      <c r="B31" s="29" t="s">
        <v>35</v>
      </c>
      <c r="C31" s="14"/>
      <c r="D31" s="63"/>
      <c r="E31" s="64"/>
      <c r="F31" s="65"/>
    </row>
    <row r="32" spans="1:6" ht="12.75" x14ac:dyDescent="0.2">
      <c r="A32" s="9"/>
      <c r="B32" s="30" t="s">
        <v>36</v>
      </c>
      <c r="C32" s="14"/>
      <c r="D32" s="63"/>
      <c r="E32" s="64"/>
      <c r="F32" s="65"/>
    </row>
    <row r="33" spans="1:6" ht="12.75" x14ac:dyDescent="0.2">
      <c r="A33" s="9"/>
      <c r="B33" s="29" t="s">
        <v>37</v>
      </c>
      <c r="C33" s="14"/>
      <c r="D33" s="63"/>
      <c r="E33" s="64"/>
      <c r="F33" s="65"/>
    </row>
    <row r="34" spans="1:6" ht="12.75" x14ac:dyDescent="0.2">
      <c r="A34" s="9"/>
      <c r="B34" s="30" t="s">
        <v>38</v>
      </c>
      <c r="C34" s="14"/>
      <c r="D34" s="63"/>
      <c r="E34" s="64"/>
      <c r="F34" s="65"/>
    </row>
    <row r="35" spans="1:6" ht="12.75" x14ac:dyDescent="0.2">
      <c r="A35" s="9"/>
      <c r="B35" s="29" t="s">
        <v>39</v>
      </c>
      <c r="C35" s="14"/>
      <c r="D35" s="63"/>
      <c r="E35" s="64"/>
      <c r="F35" s="65"/>
    </row>
    <row r="36" spans="1:6" s="11" customFormat="1" ht="12.75" x14ac:dyDescent="0.2">
      <c r="A36" s="9"/>
      <c r="B36" s="30" t="s">
        <v>40</v>
      </c>
      <c r="C36" s="14"/>
      <c r="D36" s="63"/>
      <c r="E36" s="64"/>
      <c r="F36" s="65"/>
    </row>
    <row r="37" spans="1:6" ht="12.75" x14ac:dyDescent="0.2">
      <c r="A37" s="9"/>
      <c r="B37" s="29" t="s">
        <v>41</v>
      </c>
      <c r="C37" s="14"/>
      <c r="D37" s="63"/>
      <c r="E37" s="64"/>
      <c r="F37" s="65"/>
    </row>
    <row r="38" spans="1:6" s="11" customFormat="1" ht="12.75" x14ac:dyDescent="0.2">
      <c r="A38" s="9"/>
      <c r="B38" s="30" t="s">
        <v>42</v>
      </c>
      <c r="C38" s="14"/>
      <c r="D38" s="63"/>
      <c r="E38" s="64"/>
      <c r="F38" s="65"/>
    </row>
    <row r="39" spans="1:6" s="11" customFormat="1" ht="12.75" x14ac:dyDescent="0.2">
      <c r="A39" s="9"/>
      <c r="B39" s="29" t="s">
        <v>43</v>
      </c>
      <c r="C39" s="14"/>
      <c r="D39" s="63"/>
      <c r="E39" s="64"/>
      <c r="F39" s="65"/>
    </row>
    <row r="40" spans="1:6" s="11" customFormat="1" ht="12.75" x14ac:dyDescent="0.2">
      <c r="A40" s="9"/>
      <c r="B40" s="30" t="s">
        <v>44</v>
      </c>
      <c r="C40" s="14"/>
      <c r="D40" s="63"/>
      <c r="E40" s="64"/>
      <c r="F40" s="65"/>
    </row>
    <row r="41" spans="1:6" s="11" customFormat="1" ht="12.75" x14ac:dyDescent="0.2">
      <c r="A41" s="9"/>
      <c r="B41" s="29" t="s">
        <v>45</v>
      </c>
      <c r="C41" s="14"/>
      <c r="D41" s="63"/>
      <c r="E41" s="64"/>
      <c r="F41" s="65"/>
    </row>
    <row r="42" spans="1:6" s="11" customFormat="1" ht="12.75" x14ac:dyDescent="0.2">
      <c r="A42" s="9"/>
      <c r="B42" s="30" t="s">
        <v>46</v>
      </c>
      <c r="C42" s="14"/>
      <c r="D42" s="63"/>
      <c r="E42" s="64"/>
      <c r="F42" s="65"/>
    </row>
    <row r="43" spans="1:6" s="31" customFormat="1" ht="12.75" x14ac:dyDescent="0.2">
      <c r="A43" s="9"/>
      <c r="B43" s="24" t="s">
        <v>47</v>
      </c>
      <c r="C43" s="14" t="s">
        <v>22</v>
      </c>
      <c r="D43" s="66">
        <v>385</v>
      </c>
      <c r="E43" s="67">
        <v>8</v>
      </c>
      <c r="F43" s="67">
        <f>D43*E43</f>
        <v>3080</v>
      </c>
    </row>
    <row r="44" spans="1:6" s="11" customFormat="1" ht="13.5" customHeight="1" x14ac:dyDescent="0.2">
      <c r="A44" s="9"/>
      <c r="B44" s="9"/>
      <c r="C44" s="14"/>
      <c r="D44" s="63"/>
      <c r="E44" s="64"/>
      <c r="F44" s="65"/>
    </row>
    <row r="45" spans="1:6" s="11" customFormat="1" ht="12.75" x14ac:dyDescent="0.2">
      <c r="A45" s="9" t="s">
        <v>48</v>
      </c>
      <c r="B45" s="10" t="s">
        <v>49</v>
      </c>
      <c r="D45" s="69"/>
      <c r="E45" s="69"/>
      <c r="F45" s="70"/>
    </row>
    <row r="46" spans="1:6" s="11" customFormat="1" ht="33.75" x14ac:dyDescent="0.2">
      <c r="A46" s="9"/>
      <c r="B46" s="32" t="s">
        <v>50</v>
      </c>
      <c r="C46" s="14"/>
      <c r="D46" s="71"/>
      <c r="E46" s="72"/>
      <c r="F46" s="68"/>
    </row>
    <row r="47" spans="1:6" s="11" customFormat="1" ht="12.75" x14ac:dyDescent="0.2">
      <c r="A47" s="9"/>
      <c r="B47" s="21" t="s">
        <v>51</v>
      </c>
      <c r="C47" s="14"/>
      <c r="D47" s="71"/>
      <c r="E47" s="72"/>
      <c r="F47" s="68"/>
    </row>
    <row r="48" spans="1:6" s="19" customFormat="1" ht="12.75" x14ac:dyDescent="0.2">
      <c r="A48" s="9"/>
      <c r="B48" s="30" t="s">
        <v>52</v>
      </c>
      <c r="C48" s="14"/>
      <c r="D48" s="63"/>
      <c r="E48" s="64"/>
      <c r="F48" s="65"/>
    </row>
    <row r="49" spans="1:6" s="19" customFormat="1" ht="12.75" x14ac:dyDescent="0.2">
      <c r="A49" s="9"/>
      <c r="B49" s="21" t="s">
        <v>53</v>
      </c>
      <c r="C49" s="14"/>
      <c r="D49" s="63"/>
      <c r="E49" s="64"/>
      <c r="F49" s="65"/>
    </row>
    <row r="50" spans="1:6" ht="12.75" x14ac:dyDescent="0.2">
      <c r="A50" s="10"/>
      <c r="B50" s="9" t="s">
        <v>54</v>
      </c>
      <c r="C50" s="33"/>
      <c r="D50" s="73"/>
      <c r="E50" s="74"/>
      <c r="F50" s="75"/>
    </row>
    <row r="51" spans="1:6" s="31" customFormat="1" ht="12.75" x14ac:dyDescent="0.2">
      <c r="A51" s="10"/>
      <c r="B51" s="24" t="s">
        <v>55</v>
      </c>
      <c r="C51" s="14" t="s">
        <v>56</v>
      </c>
      <c r="D51" s="71">
        <v>1110</v>
      </c>
      <c r="E51" s="67">
        <v>1.7</v>
      </c>
      <c r="F51" s="67">
        <f>D51*E51</f>
        <v>1887</v>
      </c>
    </row>
    <row r="52" spans="1:6" s="31" customFormat="1" ht="12.75" x14ac:dyDescent="0.2">
      <c r="A52" s="10"/>
      <c r="B52" s="24"/>
      <c r="C52" s="14"/>
      <c r="D52" s="71"/>
      <c r="E52" s="76"/>
      <c r="F52" s="68"/>
    </row>
    <row r="53" spans="1:6" s="31" customFormat="1" ht="12.75" x14ac:dyDescent="0.2">
      <c r="A53" s="10"/>
      <c r="B53" s="9"/>
      <c r="C53" s="33"/>
      <c r="D53" s="73"/>
      <c r="E53" s="74"/>
      <c r="F53" s="75"/>
    </row>
    <row r="54" spans="1:6" s="11" customFormat="1" ht="12.75" x14ac:dyDescent="0.2">
      <c r="A54" s="9" t="s">
        <v>57</v>
      </c>
      <c r="B54" s="10" t="s">
        <v>58</v>
      </c>
      <c r="D54" s="69"/>
      <c r="E54" s="69"/>
      <c r="F54" s="70"/>
    </row>
    <row r="55" spans="1:6" ht="78.75" x14ac:dyDescent="0.2">
      <c r="A55" s="9"/>
      <c r="B55" s="13" t="s">
        <v>59</v>
      </c>
      <c r="C55" s="14"/>
      <c r="D55" s="63"/>
      <c r="E55" s="64"/>
      <c r="F55" s="65"/>
    </row>
    <row r="56" spans="1:6" s="11" customFormat="1" ht="12.75" x14ac:dyDescent="0.2">
      <c r="A56" s="9"/>
      <c r="B56" s="9" t="s">
        <v>60</v>
      </c>
      <c r="C56" s="14"/>
      <c r="D56" s="63"/>
      <c r="E56" s="64"/>
      <c r="F56" s="65"/>
    </row>
    <row r="57" spans="1:6" s="11" customFormat="1" ht="12.75" x14ac:dyDescent="0.2">
      <c r="A57" s="9"/>
      <c r="B57" s="21" t="s">
        <v>11</v>
      </c>
      <c r="C57" s="14"/>
      <c r="D57" s="63"/>
      <c r="E57" s="64"/>
      <c r="F57" s="65"/>
    </row>
    <row r="58" spans="1:6" ht="12.75" x14ac:dyDescent="0.2">
      <c r="A58" s="9"/>
      <c r="B58" s="9" t="s">
        <v>61</v>
      </c>
      <c r="C58" s="15"/>
      <c r="D58" s="63"/>
      <c r="E58" s="77"/>
      <c r="F58" s="68"/>
    </row>
    <row r="59" spans="1:6" ht="12.75" x14ac:dyDescent="0.2">
      <c r="A59" s="9"/>
      <c r="B59" s="21" t="s">
        <v>13</v>
      </c>
      <c r="C59" s="15"/>
      <c r="D59" s="63"/>
      <c r="E59" s="77"/>
      <c r="F59" s="68"/>
    </row>
    <row r="60" spans="1:6" ht="12.75" x14ac:dyDescent="0.2">
      <c r="A60" s="9"/>
      <c r="B60" s="9" t="s">
        <v>62</v>
      </c>
      <c r="C60" s="15"/>
      <c r="D60" s="63"/>
      <c r="E60" s="77"/>
      <c r="F60" s="68"/>
    </row>
    <row r="61" spans="1:6" ht="12.75" x14ac:dyDescent="0.2">
      <c r="A61" s="9"/>
      <c r="B61" s="21" t="s">
        <v>15</v>
      </c>
      <c r="C61" s="14"/>
      <c r="D61" s="63"/>
      <c r="E61" s="64"/>
      <c r="F61" s="65"/>
    </row>
    <row r="62" spans="1:6" ht="12.75" x14ac:dyDescent="0.2">
      <c r="A62" s="9"/>
      <c r="B62" s="9" t="s">
        <v>63</v>
      </c>
      <c r="C62" s="14"/>
      <c r="D62" s="63"/>
      <c r="E62" s="64"/>
      <c r="F62" s="65"/>
    </row>
    <row r="63" spans="1:6" ht="12.75" x14ac:dyDescent="0.2">
      <c r="A63" s="9"/>
      <c r="B63" s="21" t="s">
        <v>17</v>
      </c>
      <c r="C63" s="14"/>
      <c r="D63" s="63"/>
      <c r="E63" s="64"/>
      <c r="F63" s="65"/>
    </row>
    <row r="64" spans="1:6" ht="12.75" x14ac:dyDescent="0.2">
      <c r="A64" s="9"/>
      <c r="B64" s="9" t="s">
        <v>64</v>
      </c>
      <c r="C64" s="14"/>
      <c r="D64" s="63"/>
      <c r="E64" s="64"/>
      <c r="F64" s="65"/>
    </row>
    <row r="65" spans="1:6" ht="12.75" x14ac:dyDescent="0.2">
      <c r="A65" s="9"/>
      <c r="B65" s="21" t="s">
        <v>19</v>
      </c>
      <c r="C65" s="14"/>
      <c r="D65" s="63"/>
      <c r="E65" s="64"/>
      <c r="F65" s="65"/>
    </row>
    <row r="66" spans="1:6" ht="12.75" x14ac:dyDescent="0.2">
      <c r="A66" s="9"/>
      <c r="B66" s="9" t="s">
        <v>65</v>
      </c>
      <c r="C66" s="14"/>
      <c r="D66" s="63"/>
      <c r="E66" s="64"/>
      <c r="F66" s="65"/>
    </row>
    <row r="67" spans="1:6" ht="12.75" x14ac:dyDescent="0.2">
      <c r="A67" s="9"/>
      <c r="B67" s="24" t="s">
        <v>66</v>
      </c>
      <c r="C67" s="14" t="s">
        <v>22</v>
      </c>
      <c r="D67" s="71">
        <v>544</v>
      </c>
      <c r="E67" s="67">
        <v>32</v>
      </c>
      <c r="F67" s="67">
        <f>D67*E67</f>
        <v>17408</v>
      </c>
    </row>
    <row r="68" spans="1:6" ht="12.75" x14ac:dyDescent="0.2">
      <c r="A68" s="9"/>
      <c r="B68" s="24"/>
      <c r="C68" s="14"/>
      <c r="D68" s="63"/>
      <c r="E68" s="63"/>
      <c r="F68" s="68"/>
    </row>
    <row r="69" spans="1:6" ht="12.75" x14ac:dyDescent="0.2">
      <c r="A69" s="9"/>
      <c r="B69" s="9"/>
      <c r="C69" s="14"/>
      <c r="D69" s="63"/>
      <c r="E69" s="63"/>
      <c r="F69" s="65"/>
    </row>
    <row r="70" spans="1:6" ht="12.75" x14ac:dyDescent="0.2">
      <c r="A70" s="9" t="s">
        <v>67</v>
      </c>
      <c r="B70" s="10" t="s">
        <v>68</v>
      </c>
      <c r="C70" s="14"/>
      <c r="D70" s="71"/>
      <c r="E70" s="78"/>
      <c r="F70" s="68"/>
    </row>
    <row r="71" spans="1:6" s="11" customFormat="1" ht="56.25" x14ac:dyDescent="0.2">
      <c r="A71" s="9"/>
      <c r="B71" s="13" t="s">
        <v>69</v>
      </c>
      <c r="C71" s="14"/>
      <c r="D71" s="63"/>
      <c r="E71" s="64"/>
      <c r="F71" s="65"/>
    </row>
    <row r="72" spans="1:6" ht="12.75" x14ac:dyDescent="0.2">
      <c r="A72" s="9"/>
      <c r="B72" s="9" t="s">
        <v>70</v>
      </c>
      <c r="C72" s="14"/>
      <c r="D72" s="63"/>
      <c r="E72" s="64"/>
      <c r="F72" s="65"/>
    </row>
    <row r="73" spans="1:6" s="11" customFormat="1" ht="12.75" x14ac:dyDescent="0.2">
      <c r="A73" s="9"/>
      <c r="B73" s="21" t="s">
        <v>11</v>
      </c>
      <c r="C73" s="14"/>
      <c r="D73" s="63"/>
      <c r="E73" s="64"/>
      <c r="F73" s="65"/>
    </row>
    <row r="74" spans="1:6" ht="12.75" x14ac:dyDescent="0.2">
      <c r="A74" s="9"/>
      <c r="B74" s="9" t="s">
        <v>71</v>
      </c>
      <c r="C74" s="15"/>
      <c r="D74" s="63"/>
      <c r="E74" s="77"/>
      <c r="F74" s="68"/>
    </row>
    <row r="75" spans="1:6" ht="12.75" x14ac:dyDescent="0.2">
      <c r="A75" s="9"/>
      <c r="B75" s="21" t="s">
        <v>13</v>
      </c>
      <c r="C75" s="15"/>
      <c r="D75" s="63"/>
      <c r="E75" s="77"/>
      <c r="F75" s="68"/>
    </row>
    <row r="76" spans="1:6" ht="12.75" x14ac:dyDescent="0.2">
      <c r="A76" s="9"/>
      <c r="B76" s="9" t="s">
        <v>72</v>
      </c>
      <c r="C76" s="15"/>
      <c r="D76" s="63"/>
      <c r="E76" s="77"/>
      <c r="F76" s="68"/>
    </row>
    <row r="77" spans="1:6" ht="12.75" x14ac:dyDescent="0.2">
      <c r="A77" s="9"/>
      <c r="B77" s="21" t="s">
        <v>15</v>
      </c>
      <c r="C77" s="14"/>
      <c r="D77" s="63"/>
      <c r="E77" s="64"/>
      <c r="F77" s="65"/>
    </row>
    <row r="78" spans="1:6" ht="12.75" x14ac:dyDescent="0.2">
      <c r="A78" s="9"/>
      <c r="B78" s="9" t="s">
        <v>73</v>
      </c>
      <c r="C78" s="14"/>
      <c r="D78" s="63"/>
      <c r="E78" s="64"/>
      <c r="F78" s="65"/>
    </row>
    <row r="79" spans="1:6" ht="12.75" x14ac:dyDescent="0.2">
      <c r="A79" s="9"/>
      <c r="B79" s="21" t="s">
        <v>17</v>
      </c>
      <c r="C79" s="14"/>
      <c r="D79" s="63"/>
      <c r="E79" s="64"/>
      <c r="F79" s="65"/>
    </row>
    <row r="80" spans="1:6" ht="12.75" x14ac:dyDescent="0.2">
      <c r="A80" s="9"/>
      <c r="B80" s="9" t="s">
        <v>74</v>
      </c>
      <c r="C80" s="14"/>
      <c r="D80" s="63"/>
      <c r="E80" s="64"/>
      <c r="F80" s="65"/>
    </row>
    <row r="81" spans="1:6" ht="12.75" x14ac:dyDescent="0.2">
      <c r="A81" s="9"/>
      <c r="B81" s="21" t="s">
        <v>19</v>
      </c>
      <c r="C81" s="14"/>
      <c r="D81" s="63"/>
      <c r="E81" s="64"/>
      <c r="F81" s="65"/>
    </row>
    <row r="82" spans="1:6" ht="12.75" x14ac:dyDescent="0.2">
      <c r="A82" s="9"/>
      <c r="B82" s="9" t="s">
        <v>75</v>
      </c>
      <c r="C82" s="14"/>
      <c r="D82" s="63"/>
      <c r="E82" s="64"/>
      <c r="F82" s="65"/>
    </row>
    <row r="83" spans="1:6" s="11" customFormat="1" ht="12.75" x14ac:dyDescent="0.2">
      <c r="A83" s="9"/>
      <c r="B83" s="28" t="s">
        <v>27</v>
      </c>
      <c r="C83" s="14"/>
      <c r="D83" s="63"/>
      <c r="E83" s="64"/>
      <c r="F83" s="65"/>
    </row>
    <row r="84" spans="1:6" ht="12.75" x14ac:dyDescent="0.2">
      <c r="A84" s="9"/>
      <c r="B84" s="27" t="s">
        <v>76</v>
      </c>
      <c r="C84" s="14"/>
      <c r="D84" s="63"/>
      <c r="E84" s="64"/>
      <c r="F84" s="65"/>
    </row>
    <row r="85" spans="1:6" ht="12.75" x14ac:dyDescent="0.2">
      <c r="A85" s="9"/>
      <c r="B85" s="29" t="s">
        <v>29</v>
      </c>
      <c r="C85" s="14"/>
      <c r="D85" s="63"/>
      <c r="E85" s="64"/>
      <c r="F85" s="65"/>
    </row>
    <row r="86" spans="1:6" ht="12.75" x14ac:dyDescent="0.2">
      <c r="A86" s="9"/>
      <c r="B86" s="30" t="s">
        <v>77</v>
      </c>
      <c r="C86" s="14"/>
      <c r="D86" s="63"/>
      <c r="E86" s="64"/>
      <c r="F86" s="65"/>
    </row>
    <row r="87" spans="1:6" ht="12.75" x14ac:dyDescent="0.2">
      <c r="A87" s="9"/>
      <c r="B87" s="29" t="s">
        <v>31</v>
      </c>
      <c r="C87" s="14"/>
      <c r="D87" s="63"/>
      <c r="E87" s="64"/>
      <c r="F87" s="65"/>
    </row>
    <row r="88" spans="1:6" ht="12.75" x14ac:dyDescent="0.2">
      <c r="A88" s="9"/>
      <c r="B88" s="30" t="s">
        <v>78</v>
      </c>
      <c r="C88" s="14"/>
      <c r="D88" s="63"/>
      <c r="E88" s="64"/>
      <c r="F88" s="65"/>
    </row>
    <row r="89" spans="1:6" ht="12.75" x14ac:dyDescent="0.2">
      <c r="A89" s="9"/>
      <c r="B89" s="29" t="s">
        <v>33</v>
      </c>
      <c r="C89" s="14"/>
      <c r="D89" s="63"/>
      <c r="E89" s="64"/>
      <c r="F89" s="65"/>
    </row>
    <row r="90" spans="1:6" ht="12.75" x14ac:dyDescent="0.2">
      <c r="A90" s="9"/>
      <c r="B90" s="30" t="s">
        <v>79</v>
      </c>
      <c r="C90" s="14"/>
      <c r="D90" s="63"/>
      <c r="E90" s="64"/>
      <c r="F90" s="65"/>
    </row>
    <row r="91" spans="1:6" ht="12.75" x14ac:dyDescent="0.2">
      <c r="A91" s="9"/>
      <c r="B91" s="29" t="s">
        <v>35</v>
      </c>
      <c r="C91" s="14"/>
      <c r="D91" s="63"/>
      <c r="E91" s="64"/>
      <c r="F91" s="65"/>
    </row>
    <row r="92" spans="1:6" ht="12.75" x14ac:dyDescent="0.2">
      <c r="A92" s="9"/>
      <c r="B92" s="30" t="s">
        <v>80</v>
      </c>
      <c r="C92" s="14"/>
      <c r="D92" s="63"/>
      <c r="E92" s="64"/>
      <c r="F92" s="65"/>
    </row>
    <row r="93" spans="1:6" ht="12.75" x14ac:dyDescent="0.2">
      <c r="A93" s="9"/>
      <c r="B93" s="29" t="s">
        <v>37</v>
      </c>
      <c r="C93" s="14"/>
      <c r="D93" s="63"/>
      <c r="E93" s="64"/>
      <c r="F93" s="65"/>
    </row>
    <row r="94" spans="1:6" ht="12.75" x14ac:dyDescent="0.2">
      <c r="A94" s="9"/>
      <c r="B94" s="30" t="s">
        <v>81</v>
      </c>
      <c r="C94" s="14"/>
      <c r="D94" s="63"/>
      <c r="E94" s="64"/>
      <c r="F94" s="65"/>
    </row>
    <row r="95" spans="1:6" ht="12.75" x14ac:dyDescent="0.2">
      <c r="A95" s="9"/>
      <c r="B95" s="29" t="s">
        <v>39</v>
      </c>
      <c r="C95" s="14"/>
      <c r="D95" s="63"/>
      <c r="E95" s="64"/>
      <c r="F95" s="65"/>
    </row>
    <row r="96" spans="1:6" s="11" customFormat="1" ht="12.75" x14ac:dyDescent="0.2">
      <c r="A96" s="9"/>
      <c r="B96" s="30" t="s">
        <v>82</v>
      </c>
      <c r="C96" s="14"/>
      <c r="D96" s="63"/>
      <c r="E96" s="64"/>
      <c r="F96" s="65"/>
    </row>
    <row r="97" spans="1:6" ht="12.75" x14ac:dyDescent="0.2">
      <c r="A97" s="9"/>
      <c r="B97" s="29" t="s">
        <v>41</v>
      </c>
      <c r="C97" s="14"/>
      <c r="D97" s="63"/>
      <c r="E97" s="64"/>
      <c r="F97" s="65"/>
    </row>
    <row r="98" spans="1:6" s="11" customFormat="1" ht="12.75" x14ac:dyDescent="0.2">
      <c r="A98" s="9"/>
      <c r="B98" s="30" t="s">
        <v>83</v>
      </c>
      <c r="C98" s="14"/>
      <c r="D98" s="63"/>
      <c r="E98" s="64"/>
      <c r="F98" s="65"/>
    </row>
    <row r="99" spans="1:6" s="11" customFormat="1" ht="12.75" x14ac:dyDescent="0.2">
      <c r="A99" s="9"/>
      <c r="B99" s="29" t="s">
        <v>43</v>
      </c>
      <c r="C99" s="14"/>
      <c r="D99" s="63"/>
      <c r="E99" s="64"/>
      <c r="F99" s="65"/>
    </row>
    <row r="100" spans="1:6" s="11" customFormat="1" ht="12.75" x14ac:dyDescent="0.2">
      <c r="A100" s="9"/>
      <c r="B100" s="30" t="s">
        <v>84</v>
      </c>
      <c r="C100" s="14"/>
      <c r="D100" s="63"/>
      <c r="E100" s="64"/>
      <c r="F100" s="65"/>
    </row>
    <row r="101" spans="1:6" s="11" customFormat="1" ht="12.75" x14ac:dyDescent="0.2">
      <c r="A101" s="9"/>
      <c r="B101" s="29" t="s">
        <v>45</v>
      </c>
      <c r="C101" s="14"/>
      <c r="D101" s="63"/>
      <c r="E101" s="64"/>
      <c r="F101" s="65"/>
    </row>
    <row r="102" spans="1:6" s="11" customFormat="1" ht="12.75" x14ac:dyDescent="0.2">
      <c r="A102" s="9"/>
      <c r="B102" s="30" t="s">
        <v>85</v>
      </c>
      <c r="C102" s="14"/>
      <c r="D102" s="63"/>
      <c r="E102" s="64"/>
      <c r="F102" s="65"/>
    </row>
    <row r="103" spans="1:6" s="11" customFormat="1" ht="12.75" x14ac:dyDescent="0.2">
      <c r="A103" s="9"/>
      <c r="B103" s="24" t="s">
        <v>86</v>
      </c>
      <c r="C103" s="14" t="s">
        <v>22</v>
      </c>
      <c r="D103" s="71">
        <v>775</v>
      </c>
      <c r="E103" s="67">
        <v>8</v>
      </c>
      <c r="F103" s="67">
        <f>D103*E103</f>
        <v>6200</v>
      </c>
    </row>
    <row r="104" spans="1:6" s="11" customFormat="1" ht="12.75" x14ac:dyDescent="0.2">
      <c r="A104" s="9"/>
      <c r="B104" s="9"/>
      <c r="C104" s="14"/>
      <c r="D104" s="63"/>
      <c r="E104" s="64"/>
      <c r="F104" s="65"/>
    </row>
    <row r="105" spans="1:6" ht="13.5" customHeight="1" x14ac:dyDescent="0.2">
      <c r="A105" s="9" t="s">
        <v>87</v>
      </c>
      <c r="B105" s="10" t="s">
        <v>88</v>
      </c>
      <c r="D105" s="78"/>
      <c r="E105" s="78"/>
      <c r="F105" s="79"/>
    </row>
    <row r="106" spans="1:6" s="11" customFormat="1" ht="45" x14ac:dyDescent="0.2">
      <c r="A106" s="9"/>
      <c r="B106" s="13" t="s">
        <v>89</v>
      </c>
      <c r="C106" s="14"/>
      <c r="D106" s="63"/>
      <c r="E106" s="64"/>
      <c r="F106" s="65"/>
    </row>
    <row r="107" spans="1:6" s="11" customFormat="1" ht="12.75" x14ac:dyDescent="0.2">
      <c r="A107" s="9"/>
      <c r="B107" s="9" t="s">
        <v>90</v>
      </c>
      <c r="C107" s="14"/>
      <c r="D107" s="63"/>
      <c r="E107" s="64"/>
      <c r="F107" s="65"/>
    </row>
    <row r="108" spans="1:6" ht="12.75" x14ac:dyDescent="0.2">
      <c r="A108" s="9"/>
      <c r="B108" s="35" t="s">
        <v>91</v>
      </c>
      <c r="C108" s="14" t="s">
        <v>22</v>
      </c>
      <c r="D108" s="71">
        <v>885</v>
      </c>
      <c r="E108" s="67">
        <v>5</v>
      </c>
      <c r="F108" s="67">
        <f>D108*E108</f>
        <v>4425</v>
      </c>
    </row>
    <row r="109" spans="1:6" s="11" customFormat="1" ht="12.75" x14ac:dyDescent="0.2">
      <c r="A109" s="9"/>
      <c r="B109" s="9"/>
      <c r="C109" s="14"/>
      <c r="D109" s="63"/>
      <c r="E109" s="64"/>
      <c r="F109" s="65"/>
    </row>
    <row r="110" spans="1:6" s="11" customFormat="1" ht="12.75" x14ac:dyDescent="0.2">
      <c r="A110" s="9"/>
      <c r="B110" s="9"/>
      <c r="C110" s="14"/>
      <c r="D110" s="63"/>
      <c r="E110" s="64"/>
      <c r="F110" s="65"/>
    </row>
    <row r="111" spans="1:6" ht="13.5" customHeight="1" x14ac:dyDescent="0.2">
      <c r="A111" s="9" t="s">
        <v>92</v>
      </c>
      <c r="B111" s="10" t="s">
        <v>93</v>
      </c>
      <c r="D111" s="78"/>
      <c r="E111" s="78"/>
      <c r="F111" s="79"/>
    </row>
    <row r="112" spans="1:6" s="11" customFormat="1" ht="78.75" x14ac:dyDescent="0.2">
      <c r="A112" s="9"/>
      <c r="B112" s="13" t="s">
        <v>94</v>
      </c>
      <c r="C112" s="14"/>
      <c r="D112" s="63"/>
      <c r="E112" s="64"/>
      <c r="F112" s="65"/>
    </row>
    <row r="113" spans="1:6" s="11" customFormat="1" ht="12.75" x14ac:dyDescent="0.2">
      <c r="A113" s="9"/>
      <c r="B113" s="9" t="s">
        <v>95</v>
      </c>
      <c r="C113" s="14"/>
      <c r="D113" s="63"/>
      <c r="E113" s="64"/>
      <c r="F113" s="65"/>
    </row>
    <row r="114" spans="1:6" ht="12.75" x14ac:dyDescent="0.2">
      <c r="A114" s="9"/>
      <c r="B114" s="35"/>
      <c r="C114" s="14" t="s">
        <v>96</v>
      </c>
      <c r="D114" s="71">
        <v>35</v>
      </c>
      <c r="E114" s="67">
        <v>8</v>
      </c>
      <c r="F114" s="67">
        <f>D114*E114</f>
        <v>280</v>
      </c>
    </row>
    <row r="115" spans="1:6" ht="12.75" x14ac:dyDescent="0.2">
      <c r="A115" s="9"/>
      <c r="B115" s="9"/>
      <c r="C115" s="14"/>
      <c r="D115" s="63"/>
      <c r="E115" s="64"/>
      <c r="F115" s="65"/>
    </row>
    <row r="116" spans="1:6" s="19" customFormat="1" ht="12.75" x14ac:dyDescent="0.2">
      <c r="A116" s="9" t="s">
        <v>97</v>
      </c>
      <c r="B116" s="10" t="s">
        <v>98</v>
      </c>
      <c r="D116" s="80"/>
      <c r="E116" s="80"/>
      <c r="F116" s="81"/>
    </row>
    <row r="117" spans="1:6" ht="33.75" x14ac:dyDescent="0.2">
      <c r="A117" s="9"/>
      <c r="B117" s="32" t="s">
        <v>99</v>
      </c>
      <c r="C117" s="14"/>
      <c r="D117" s="63"/>
      <c r="E117" s="71"/>
      <c r="F117" s="65"/>
    </row>
    <row r="118" spans="1:6" ht="12.75" x14ac:dyDescent="0.2">
      <c r="A118" s="9"/>
      <c r="B118" s="9" t="s">
        <v>100</v>
      </c>
      <c r="C118" s="14"/>
      <c r="D118" s="63"/>
      <c r="E118" s="71"/>
      <c r="F118" s="65"/>
    </row>
    <row r="119" spans="1:6" s="11" customFormat="1" ht="12.75" x14ac:dyDescent="0.2">
      <c r="A119" s="15"/>
      <c r="B119" s="15"/>
      <c r="C119" s="14" t="s">
        <v>101</v>
      </c>
      <c r="D119" s="71">
        <v>2</v>
      </c>
      <c r="E119" s="67">
        <v>200</v>
      </c>
      <c r="F119" s="67">
        <f>D119*E119</f>
        <v>400</v>
      </c>
    </row>
    <row r="120" spans="1:6" ht="13.5" thickBot="1" x14ac:dyDescent="0.25">
      <c r="A120" s="36"/>
      <c r="B120" s="36"/>
      <c r="C120" s="37"/>
      <c r="D120" s="38"/>
      <c r="E120" s="38"/>
      <c r="F120" s="39"/>
    </row>
    <row r="121" spans="1:6" ht="13.5" thickBot="1" x14ac:dyDescent="0.25">
      <c r="A121" s="40" t="s">
        <v>102</v>
      </c>
      <c r="B121" s="41" t="s">
        <v>103</v>
      </c>
      <c r="C121" s="42"/>
      <c r="D121" s="42" t="s">
        <v>104</v>
      </c>
      <c r="E121" s="42"/>
      <c r="F121" s="82">
        <f>SUM(F6:F120)</f>
        <v>41569</v>
      </c>
    </row>
    <row r="122" spans="1:6" s="19" customFormat="1" ht="15.75" x14ac:dyDescent="0.2">
      <c r="A122" s="43"/>
      <c r="B122" s="44"/>
      <c r="C122" s="7"/>
      <c r="D122" s="45"/>
      <c r="E122" s="46"/>
      <c r="F122" s="47"/>
    </row>
    <row r="123" spans="1:6" ht="15.75" x14ac:dyDescent="0.2">
      <c r="A123" s="48"/>
      <c r="B123" s="49"/>
      <c r="C123" s="50"/>
      <c r="D123" s="45"/>
      <c r="E123" s="46"/>
      <c r="F123" s="47"/>
    </row>
    <row r="124" spans="1:6" ht="15.75" x14ac:dyDescent="0.2">
      <c r="A124" s="43"/>
      <c r="B124" s="51"/>
      <c r="C124" s="7"/>
      <c r="D124" s="45"/>
      <c r="E124" s="46"/>
      <c r="F124" s="47"/>
    </row>
    <row r="125" spans="1:6" ht="15.75" x14ac:dyDescent="0.2">
      <c r="A125" s="43"/>
      <c r="B125" s="44"/>
      <c r="C125" s="7"/>
      <c r="D125" s="45"/>
      <c r="E125" s="46"/>
      <c r="F125" s="47"/>
    </row>
    <row r="126" spans="1:6" ht="15.75" x14ac:dyDescent="0.2">
      <c r="A126" s="48"/>
      <c r="B126" s="52"/>
      <c r="C126" s="18"/>
      <c r="D126" s="45"/>
      <c r="E126" s="46"/>
      <c r="F126" s="47"/>
    </row>
    <row r="127" spans="1:6" s="31" customFormat="1" ht="15.75" x14ac:dyDescent="0.2">
      <c r="A127" s="43"/>
      <c r="B127" s="51"/>
      <c r="C127" s="7"/>
      <c r="D127" s="45"/>
      <c r="E127" s="46"/>
      <c r="F127" s="47"/>
    </row>
    <row r="128" spans="1:6" s="19" customFormat="1" ht="15.75" x14ac:dyDescent="0.2">
      <c r="A128" s="53"/>
      <c r="B128" s="54"/>
      <c r="C128" s="18"/>
      <c r="D128" s="45"/>
      <c r="E128" s="46"/>
      <c r="F128" s="47"/>
    </row>
    <row r="129" spans="1:6" ht="15.75" x14ac:dyDescent="0.2">
      <c r="A129" s="48"/>
      <c r="B129" s="49"/>
      <c r="C129" s="50"/>
      <c r="D129" s="45"/>
      <c r="E129" s="46"/>
      <c r="F129" s="47"/>
    </row>
    <row r="130" spans="1:6" ht="15.75" x14ac:dyDescent="0.2">
      <c r="A130" s="43"/>
      <c r="B130" s="51"/>
      <c r="C130" s="7"/>
      <c r="D130" s="45"/>
      <c r="E130" s="46"/>
      <c r="F130" s="47"/>
    </row>
    <row r="131" spans="1:6" ht="15.75" x14ac:dyDescent="0.2">
      <c r="A131" s="48"/>
      <c r="B131" s="54"/>
      <c r="C131" s="55"/>
      <c r="D131" s="45"/>
      <c r="E131" s="46"/>
      <c r="F131" s="56"/>
    </row>
    <row r="132" spans="1:6" ht="15.75" x14ac:dyDescent="0.2">
      <c r="A132" s="48"/>
      <c r="B132" s="52"/>
      <c r="C132" s="18"/>
      <c r="D132" s="45"/>
      <c r="E132" s="46"/>
      <c r="F132" s="47"/>
    </row>
    <row r="133" spans="1:6" ht="15.75" x14ac:dyDescent="0.2">
      <c r="A133" s="43"/>
      <c r="B133" s="51"/>
      <c r="C133" s="7"/>
      <c r="D133" s="45"/>
      <c r="E133" s="46"/>
      <c r="F133" s="47"/>
    </row>
    <row r="134" spans="1:6" s="19" customFormat="1" ht="15.75" x14ac:dyDescent="0.2">
      <c r="A134" s="53"/>
      <c r="B134" s="54"/>
      <c r="C134" s="18"/>
      <c r="D134" s="45"/>
      <c r="E134" s="46"/>
      <c r="F134" s="47"/>
    </row>
    <row r="135" spans="1:6" ht="15.75" x14ac:dyDescent="0.2">
      <c r="A135" s="48"/>
      <c r="B135" s="49"/>
      <c r="C135" s="50"/>
      <c r="D135" s="45"/>
      <c r="E135" s="46"/>
      <c r="F135" s="47"/>
    </row>
    <row r="136" spans="1:6" s="31" customFormat="1" ht="15.75" x14ac:dyDescent="0.2">
      <c r="A136" s="43"/>
      <c r="B136" s="51"/>
      <c r="C136" s="7"/>
      <c r="D136" s="45"/>
      <c r="E136" s="46"/>
      <c r="F136" s="47"/>
    </row>
    <row r="137" spans="1:6" s="11" customFormat="1" ht="15.75" x14ac:dyDescent="0.2">
      <c r="A137" s="43"/>
      <c r="B137" s="44"/>
      <c r="C137" s="7"/>
      <c r="D137" s="45"/>
      <c r="E137" s="46"/>
      <c r="F137" s="47"/>
    </row>
    <row r="138" spans="1:6" ht="15.75" x14ac:dyDescent="0.2">
      <c r="A138" s="48"/>
      <c r="B138" s="52"/>
      <c r="C138" s="7"/>
      <c r="D138" s="45"/>
      <c r="E138" s="46"/>
      <c r="F138" s="47"/>
    </row>
    <row r="139" spans="1:6" s="31" customFormat="1" ht="15.75" x14ac:dyDescent="0.2">
      <c r="A139" s="43"/>
      <c r="B139" s="51"/>
      <c r="C139" s="7"/>
      <c r="D139" s="45"/>
      <c r="E139" s="46"/>
      <c r="F139" s="47"/>
    </row>
    <row r="140" spans="1:6" s="11" customFormat="1" ht="15.75" x14ac:dyDescent="0.2">
      <c r="A140" s="48"/>
      <c r="B140" s="54"/>
      <c r="C140" s="55"/>
      <c r="D140" s="45"/>
      <c r="E140" s="46"/>
      <c r="F140" s="56"/>
    </row>
    <row r="141" spans="1:6" s="31" customFormat="1" ht="15.75" x14ac:dyDescent="0.2">
      <c r="A141" s="48"/>
      <c r="B141" s="52"/>
      <c r="C141" s="18"/>
      <c r="D141" s="45"/>
      <c r="E141" s="46"/>
      <c r="F141" s="47"/>
    </row>
    <row r="142" spans="1:6" s="19" customFormat="1" ht="15.75" x14ac:dyDescent="0.2">
      <c r="A142" s="43"/>
      <c r="B142" s="51"/>
      <c r="C142" s="7"/>
      <c r="D142" s="45"/>
      <c r="E142" s="46"/>
      <c r="F142" s="47"/>
    </row>
    <row r="143" spans="1:6" s="31" customFormat="1" ht="15.75" x14ac:dyDescent="0.2">
      <c r="A143" s="53"/>
      <c r="B143" s="54"/>
      <c r="C143" s="18"/>
      <c r="D143" s="45"/>
      <c r="E143" s="46"/>
      <c r="F143" s="47"/>
    </row>
    <row r="144" spans="1:6" s="31" customFormat="1" ht="15.75" x14ac:dyDescent="0.2">
      <c r="A144" s="48"/>
      <c r="B144" s="49"/>
      <c r="C144" s="50"/>
      <c r="D144" s="45"/>
      <c r="E144" s="46"/>
      <c r="F144" s="47"/>
    </row>
    <row r="145" spans="1:6" s="31" customFormat="1" ht="15.75" x14ac:dyDescent="0.2">
      <c r="A145" s="43"/>
      <c r="B145" s="51"/>
      <c r="C145" s="7"/>
      <c r="D145" s="45"/>
      <c r="E145" s="46"/>
      <c r="F145" s="47"/>
    </row>
    <row r="146" spans="1:6" s="31" customFormat="1" ht="15.75" x14ac:dyDescent="0.2">
      <c r="A146" s="48"/>
      <c r="B146" s="54"/>
      <c r="C146" s="55"/>
      <c r="D146" s="45"/>
      <c r="E146" s="46"/>
      <c r="F146" s="56"/>
    </row>
    <row r="147" spans="1:6" s="31" customFormat="1" ht="15.75" x14ac:dyDescent="0.2">
      <c r="A147" s="48"/>
      <c r="B147" s="52"/>
      <c r="C147" s="18"/>
      <c r="D147" s="45"/>
      <c r="E147" s="46"/>
      <c r="F147" s="47"/>
    </row>
    <row r="148" spans="1:6" s="31" customFormat="1" ht="15.75" x14ac:dyDescent="0.2">
      <c r="A148" s="53"/>
      <c r="B148" s="54"/>
      <c r="C148" s="18"/>
      <c r="D148" s="45"/>
      <c r="E148" s="46"/>
      <c r="F148" s="47"/>
    </row>
    <row r="149" spans="1:6" s="31" customFormat="1" ht="15.75" x14ac:dyDescent="0.2">
      <c r="A149" s="48"/>
      <c r="B149" s="49"/>
      <c r="C149" s="50"/>
      <c r="D149" s="45"/>
      <c r="E149" s="46"/>
      <c r="F149" s="47"/>
    </row>
    <row r="150" spans="1:6" s="31" customFormat="1" ht="15.75" x14ac:dyDescent="0.2">
      <c r="A150" s="57"/>
      <c r="B150" s="54"/>
      <c r="C150" s="55"/>
      <c r="D150" s="58"/>
      <c r="E150" s="59"/>
      <c r="F150" s="56"/>
    </row>
    <row r="151" spans="1:6" s="31" customFormat="1" ht="15.75" x14ac:dyDescent="0.2">
      <c r="A151" s="57"/>
      <c r="B151" s="58"/>
      <c r="C151" s="55"/>
      <c r="D151" s="58"/>
      <c r="E151" s="60"/>
      <c r="F151" s="56"/>
    </row>
    <row r="152" spans="1:6" s="31" customFormat="1" x14ac:dyDescent="0.2">
      <c r="F152" s="61"/>
    </row>
    <row r="153" spans="1:6" s="31" customFormat="1" x14ac:dyDescent="0.2">
      <c r="F153" s="61"/>
    </row>
    <row r="154" spans="1:6" s="31" customFormat="1" x14ac:dyDescent="0.2">
      <c r="F154" s="61"/>
    </row>
    <row r="155" spans="1:6" s="31" customFormat="1" x14ac:dyDescent="0.2">
      <c r="F155" s="61"/>
    </row>
    <row r="156" spans="1:6" s="31" customFormat="1" x14ac:dyDescent="0.2">
      <c r="F156" s="61"/>
    </row>
    <row r="157" spans="1:6" s="31" customFormat="1" x14ac:dyDescent="0.2">
      <c r="F157" s="61"/>
    </row>
    <row r="158" spans="1:6" s="31" customFormat="1" x14ac:dyDescent="0.2">
      <c r="F158" s="61"/>
    </row>
    <row r="159" spans="1:6" s="31" customFormat="1" x14ac:dyDescent="0.2">
      <c r="F159" s="61"/>
    </row>
    <row r="160" spans="1:6" s="31" customFormat="1" x14ac:dyDescent="0.2">
      <c r="F160" s="61"/>
    </row>
    <row r="161" spans="1:6" s="31" customFormat="1" x14ac:dyDescent="0.2">
      <c r="F161" s="61"/>
    </row>
    <row r="162" spans="1:6" s="31" customFormat="1" x14ac:dyDescent="0.2">
      <c r="F162" s="61"/>
    </row>
    <row r="163" spans="1:6" s="31" customFormat="1" x14ac:dyDescent="0.2">
      <c r="F163" s="61"/>
    </row>
    <row r="164" spans="1:6" x14ac:dyDescent="0.2">
      <c r="A164" s="31"/>
      <c r="B164" s="31"/>
      <c r="C164" s="31"/>
      <c r="D164" s="31"/>
      <c r="E164" s="31"/>
      <c r="F164" s="61"/>
    </row>
    <row r="165" spans="1:6" x14ac:dyDescent="0.2">
      <c r="A165" s="31"/>
      <c r="B165" s="31"/>
      <c r="C165" s="31"/>
      <c r="D165" s="31"/>
      <c r="E165" s="31"/>
      <c r="F165" s="61"/>
    </row>
    <row r="166" spans="1:6" x14ac:dyDescent="0.2">
      <c r="A166" s="31"/>
      <c r="B166" s="31"/>
      <c r="C166" s="31"/>
      <c r="D166" s="31"/>
      <c r="E166" s="31"/>
      <c r="F166" s="61"/>
    </row>
    <row r="167" spans="1:6" x14ac:dyDescent="0.2">
      <c r="A167" s="31"/>
      <c r="B167" s="31"/>
      <c r="C167" s="31"/>
      <c r="D167" s="31"/>
      <c r="E167" s="31"/>
      <c r="F167" s="61"/>
    </row>
    <row r="168" spans="1:6" x14ac:dyDescent="0.2">
      <c r="A168" s="31"/>
      <c r="B168" s="31"/>
      <c r="C168" s="31"/>
      <c r="D168" s="31"/>
      <c r="E168" s="31"/>
      <c r="F168" s="61"/>
    </row>
    <row r="169" spans="1:6" x14ac:dyDescent="0.2">
      <c r="A169" s="31"/>
      <c r="B169" s="31"/>
      <c r="C169" s="31"/>
      <c r="D169" s="31"/>
      <c r="E169" s="31"/>
      <c r="F169" s="61"/>
    </row>
    <row r="170" spans="1:6" x14ac:dyDescent="0.2">
      <c r="A170" s="31"/>
      <c r="B170" s="31"/>
      <c r="C170" s="31"/>
      <c r="D170" s="31"/>
      <c r="E170" s="31"/>
      <c r="F170" s="61"/>
    </row>
    <row r="175" spans="1:6" ht="12.75" x14ac:dyDescent="0.2">
      <c r="F175" s="62"/>
    </row>
    <row r="176" spans="1:6" ht="12.75" x14ac:dyDescent="0.2">
      <c r="F176" s="62"/>
    </row>
    <row r="177" spans="6:6" ht="12.75" x14ac:dyDescent="0.2">
      <c r="F177" s="62"/>
    </row>
    <row r="178" spans="6:6" ht="12.75" x14ac:dyDescent="0.2">
      <c r="F178" s="62"/>
    </row>
    <row r="179" spans="6:6" ht="12.75" x14ac:dyDescent="0.2">
      <c r="F179" s="62"/>
    </row>
    <row r="180" spans="6:6" ht="12.75" x14ac:dyDescent="0.2">
      <c r="F180" s="62"/>
    </row>
    <row r="181" spans="6:6" ht="12.75" x14ac:dyDescent="0.2">
      <c r="F181" s="62"/>
    </row>
    <row r="182" spans="6:6" ht="12.75" x14ac:dyDescent="0.2">
      <c r="F182" s="62"/>
    </row>
    <row r="183" spans="6:6" ht="12.75" x14ac:dyDescent="0.2">
      <c r="F183" s="62"/>
    </row>
    <row r="184" spans="6:6" ht="12.75" x14ac:dyDescent="0.2">
      <c r="F184" s="62"/>
    </row>
    <row r="185" spans="6:6" ht="12.75" x14ac:dyDescent="0.2">
      <c r="F185" s="62"/>
    </row>
    <row r="186" spans="6:6" ht="12.75" x14ac:dyDescent="0.2">
      <c r="F186" s="62"/>
    </row>
    <row r="187" spans="6:6" ht="12.75" x14ac:dyDescent="0.2">
      <c r="F187" s="62"/>
    </row>
    <row r="188" spans="6:6" ht="12.75" x14ac:dyDescent="0.2">
      <c r="F188" s="62"/>
    </row>
    <row r="189" spans="6:6" ht="12.75" x14ac:dyDescent="0.2">
      <c r="F189" s="62"/>
    </row>
    <row r="190" spans="6:6" ht="12.75" x14ac:dyDescent="0.2">
      <c r="F190" s="62"/>
    </row>
    <row r="191" spans="6:6" ht="12.75" x14ac:dyDescent="0.2">
      <c r="F191" s="62"/>
    </row>
    <row r="192" spans="6:6" ht="12.75" x14ac:dyDescent="0.2">
      <c r="F192" s="62"/>
    </row>
    <row r="193" spans="6:6" ht="12.75" x14ac:dyDescent="0.2">
      <c r="F193" s="62"/>
    </row>
    <row r="194" spans="6:6" ht="12.75" x14ac:dyDescent="0.2">
      <c r="F194" s="62"/>
    </row>
    <row r="195" spans="6:6" ht="12.75" x14ac:dyDescent="0.2">
      <c r="F195" s="62"/>
    </row>
    <row r="196" spans="6:6" ht="12.75" x14ac:dyDescent="0.2">
      <c r="F196" s="62"/>
    </row>
    <row r="197" spans="6:6" ht="12.75" x14ac:dyDescent="0.2">
      <c r="F197" s="62"/>
    </row>
    <row r="198" spans="6:6" ht="12.75" x14ac:dyDescent="0.2">
      <c r="F198" s="62"/>
    </row>
    <row r="199" spans="6:6" ht="12.75" x14ac:dyDescent="0.2">
      <c r="F199" s="62"/>
    </row>
  </sheetData>
  <autoFilter ref="E1:E199" xr:uid="{74C489A0-23D0-4E44-B72B-2A0C4B45D15C}"/>
  <mergeCells count="2">
    <mergeCell ref="B1:F1"/>
    <mergeCell ref="A2:F2"/>
  </mergeCells>
  <printOptions horizontalCentered="1" gridLinesSet="0"/>
  <pageMargins left="0.59055118110236227" right="0.19685039370078741" top="0.39370078740157483" bottom="0.39370078740157483" header="0.47244094488188981" footer="0.51181102362204722"/>
  <pageSetup paperSize="9" orientation="portrait" r:id="rId1"/>
  <headerFooter alignWithMargins="0">
    <oddFooter>&amp;L&amp;8 3. HIDROTEHNIČKE INSTALACIJE&amp;R&amp;8&amp;P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15974b-6f1e-4350-9f7e-2d11fb1812c4">
      <Terms xmlns="http://schemas.microsoft.com/office/infopath/2007/PartnerControls"/>
    </lcf76f155ced4ddcb4097134ff3c332f>
    <TaxCatchAll xmlns="cb3740f1-362a-4884-a648-7855dba250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A51507092ABC42A1F78E63565BAFD7" ma:contentTypeVersion="13" ma:contentTypeDescription="Create a new document." ma:contentTypeScope="" ma:versionID="aef6b17d727db8c721f905c5a999d197">
  <xsd:schema xmlns:xsd="http://www.w3.org/2001/XMLSchema" xmlns:xs="http://www.w3.org/2001/XMLSchema" xmlns:p="http://schemas.microsoft.com/office/2006/metadata/properties" xmlns:ns2="f915974b-6f1e-4350-9f7e-2d11fb1812c4" xmlns:ns3="cb3740f1-362a-4884-a648-7855dba250b9" targetNamespace="http://schemas.microsoft.com/office/2006/metadata/properties" ma:root="true" ma:fieldsID="9a9785492a1dfc8e5d7be72d643afe6a" ns2:_="" ns3:_="">
    <xsd:import namespace="f915974b-6f1e-4350-9f7e-2d11fb1812c4"/>
    <xsd:import namespace="cb3740f1-362a-4884-a648-7855dba25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5974b-6f1e-4350-9f7e-2d11fb1812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751c936-5afc-4ad0-aeab-ca19b149e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740f1-362a-4884-a648-7855dba250b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648af3-417c-4ecd-a1bc-5e03dfaadbd5}" ma:internalName="TaxCatchAll" ma:showField="CatchAllData" ma:web="cb3740f1-362a-4884-a648-7855dba250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BCAFB-76BF-4378-B9CB-27FFCAF26F57}">
  <ds:schemaRefs>
    <ds:schemaRef ds:uri="http://schemas.microsoft.com/office/2006/metadata/properties"/>
    <ds:schemaRef ds:uri="http://schemas.microsoft.com/office/infopath/2007/PartnerControls"/>
    <ds:schemaRef ds:uri="f915974b-6f1e-4350-9f7e-2d11fb1812c4"/>
    <ds:schemaRef ds:uri="cb3740f1-362a-4884-a648-7855dba250b9"/>
  </ds:schemaRefs>
</ds:datastoreItem>
</file>

<file path=customXml/itemProps2.xml><?xml version="1.0" encoding="utf-8"?>
<ds:datastoreItem xmlns:ds="http://schemas.openxmlformats.org/officeDocument/2006/customXml" ds:itemID="{4DD81DB1-503C-4A58-B972-6903BF7B72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671C93-61A3-466D-965C-2C4BBDCC4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9.2. ISKOP ZADANOG PRESJEKA </vt:lpstr>
      <vt:lpstr>'9.2. ISKOP ZADANOG PRESJEKA '!Print_Area</vt:lpstr>
      <vt:lpstr>'9.2. ISKOP ZADANOG PRESJEKA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Radovac</dc:creator>
  <cp:lastModifiedBy>Ivana Radovac</cp:lastModifiedBy>
  <dcterms:created xsi:type="dcterms:W3CDTF">2025-09-17T08:57:12Z</dcterms:created>
  <dcterms:modified xsi:type="dcterms:W3CDTF">2025-10-27T12:43:32Z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0x01010053A51507092ABC42A1F78E63565BAFD7</vt:lpwstr>
  </property>
  <property fmtid="{D5CDD505-2E9C-101B-9397-08002B2CF9AE}" pid="3" name="MediaServiceImageTags">
    <vt:lpwstr/>
  </property>
</Properties>
</file>
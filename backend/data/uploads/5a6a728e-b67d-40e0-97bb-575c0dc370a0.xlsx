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vana.Radovac\AppData\Local\Microsoft\Windows\INetCache\Content.Outlook\CB0RDBDU\"/>
    </mc:Choice>
  </mc:AlternateContent>
  <xr:revisionPtr revIDLastSave="0" documentId="13_ncr:1_{4F1502A5-9922-4505-A287-7567DBF232BB}" xr6:coauthVersionLast="47" xr6:coauthVersionMax="47" xr10:uidLastSave="{00000000-0000-0000-0000-000000000000}"/>
  <bookViews>
    <workbookView xWindow="-120" yWindow="-120" windowWidth="38640" windowHeight="21120" activeTab="3" xr2:uid="{CE96A704-F6DA-4E98-8EC8-0FE2902F0885}"/>
  </bookViews>
  <sheets>
    <sheet name="NASLOVNICA" sheetId="1" r:id="rId1"/>
    <sheet name="OPĆI UVJETI" sheetId="2" r:id="rId2"/>
    <sheet name="4. GRAĐEVINSKO - OBRTNIČKI RADO" sheetId="3" r:id="rId3"/>
    <sheet name="7.SPUŠTENI STROPOVI" sheetId="4" r:id="rId4"/>
  </sheets>
  <definedNames>
    <definedName name="_xlnm._FilterDatabase" localSheetId="2" hidden="1">'4. GRAĐEVINSKO - OBRTNIČKI RADO'!$D$4:$D$196</definedName>
    <definedName name="_xlnm.Print_Area" localSheetId="2">'4. GRAĐEVINSKO - OBRTNIČKI RADO'!$A$4:$F$199</definedName>
    <definedName name="_xlnm.Print_Area" localSheetId="3">'7.SPUŠTENI STROPOVI'!$A$1:$F$43</definedName>
    <definedName name="_xlnm.Print_Titles" localSheetId="2">'4. GRAĐEVINSKO - OBRTNIČKI RADO'!$18:$18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1" i="4" l="1"/>
  <c r="F37" i="4"/>
  <c r="F36" i="4"/>
  <c r="F31" i="4"/>
  <c r="F26" i="4"/>
  <c r="F21" i="4"/>
  <c r="F197" i="3"/>
  <c r="F191" i="3"/>
  <c r="F187" i="3"/>
  <c r="F183" i="3"/>
  <c r="F179" i="3"/>
  <c r="F175" i="3"/>
  <c r="F169" i="3"/>
  <c r="F164" i="3"/>
  <c r="F155" i="3"/>
  <c r="F148" i="3"/>
  <c r="F142" i="3"/>
  <c r="F138" i="3"/>
  <c r="F133" i="3"/>
  <c r="F128" i="3"/>
  <c r="F123" i="3"/>
  <c r="F118" i="3"/>
  <c r="F111" i="3"/>
  <c r="F104" i="3"/>
  <c r="F99" i="3"/>
  <c r="F94" i="3"/>
  <c r="F89" i="3"/>
  <c r="F84" i="3"/>
  <c r="F79" i="3"/>
  <c r="F70" i="3"/>
  <c r="F64" i="3"/>
  <c r="F54" i="3"/>
  <c r="F49" i="3"/>
  <c r="F44" i="3"/>
  <c r="F37" i="3"/>
  <c r="F38" i="4" l="1"/>
  <c r="F43" i="4" s="1"/>
  <c r="F150" i="3"/>
  <c r="F56" i="3"/>
  <c r="F193" i="3"/>
  <c r="F195" i="3" s="1"/>
  <c r="F106" i="3"/>
  <c r="F72" i="3"/>
</calcChain>
</file>

<file path=xl/sharedStrings.xml><?xml version="1.0" encoding="utf-8"?>
<sst xmlns="http://schemas.openxmlformats.org/spreadsheetml/2006/main" count="379" uniqueCount="301">
  <si>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</si>
  <si>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</si>
  <si>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</si>
  <si>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</si>
  <si>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</si>
  <si>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</si>
  <si>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</si>
  <si>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</si>
  <si>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</si>
  <si>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</si>
  <si>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</si>
  <si>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</si>
  <si>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</si>
  <si>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</si>
  <si>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</si>
  <si>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</si>
  <si>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</si>
  <si>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</si>
  <si>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</si>
  <si>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</si>
  <si>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</si>
  <si>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</si>
  <si>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</si>
  <si>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</si>
  <si>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</si>
  <si>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</si>
  <si>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</si>
  <si>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</si>
  <si>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</si>
  <si>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</si>
  <si>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</si>
  <si>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</si>
  <si>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</si>
  <si>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</si>
  <si>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</si>
  <si>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</si>
  <si>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</si>
  <si>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</si>
  <si>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</si>
  <si>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</si>
  <si>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</si>
  <si>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</si>
  <si>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</si>
  <si>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</si>
  <si>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</si>
  <si>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</si>
  <si>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</si>
  <si>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</si>
  <si>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</si>
  <si>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</si>
  <si>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</si>
  <si>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</si>
  <si>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</si>
  <si>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</si>
  <si>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</si>
  <si>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</si>
  <si>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</si>
  <si>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</si>
  <si>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</si>
  <si>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</si>
  <si>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</si>
  <si>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</si>
  <si>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</si>
  <si>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</si>
  <si>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</si>
  <si>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</si>
  <si>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</si>
  <si>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</si>
  <si>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</si>
  <si>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</si>
  <si>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</si>
  <si>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</si>
  <si>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</si>
  <si>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</si>
  <si>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</si>
  <si>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</si>
  <si>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</si>
  <si>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</si>
  <si>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</si>
  <si>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</si>
  <si>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</si>
  <si>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4.</t>
  </si>
  <si>
    <t>GRAĐEVINSKO - OBRTNIČKI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</si>
  <si>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Svi su elementi, obloge i materijali veličine, boje, uzorka i načina oblaganja prema izboru projektanta. Sve su eventualne fuge veličine i boje prema izboru projektanta. Uključivo svu potrebnu antikorozivnu zaštitu svih elemenata i podkonstrukcija (osnovnih, dodatnih i/ili sl.), sve tipske kutne, spojne, razdjelne, završne i/ili sl. elemente, u svemu prema izboru / zahtjevu projektanta i u tehnologiji proizvođača. Upotrijebiti međusobno usklađene proizvode, kao sistemska rješenja jednog proizvođača, te ih</t>
  </si>
  <si>
    <t>ugraditi prema propisima, opisima i tehnologiji proizvođača odabranih materijala.
Opći uvjeti za armiranobetonske konstrukcije isti su kao u poglavlju 2. KONSTRUKCIJE.
Opći uvjeti za gipskartonske konstrukcije:
Svi materijali za spuštene stropove ili pregradne stijene i obloge moraju biti prvoklasni, moraju odgovarati važećim standardima i moraju posjedovati ateste a svi radovi moraju se izvoditi prema uputama proizvođača elemenata od kojih se radovi izvode.
Spojevi ploča moraju se prekriti trakama od staklenog voala i zagladiti propisanom glet masom. Rubovi ploča gdje je potrebno osiguranje od oštećenja, ojačavaju se kant al. perforiranim profilima, te se gletaju. Po završetku gletanja površine treba prebrusiti finim brusnim papirom tako da plohe budu potpuno glatke i vez vidljivih</t>
  </si>
  <si>
    <t>tragova spajanja i sl. Spoj sa zidom ili vertikalnim plohama stropa mora biti zapunjen akrilnim kitom.
Kod izvođenja radova potrebno je pridržavati se svih uputa proizvođača naročito glede uskladištenja ploča i uvjeta temperature i vlažnosti zraka prostora u kojima će se vršiti ugradba (temp. Od 11-35 stupnjeva i rel. vlažnost zraka do 70%). Prije početka ugradbe ploče treba donijeti u prostor u koji se ugrađuju min. 24 sata ranije da bi se prilagodile mikroklimatskim uvjetima.
Pregradni zidovi moraju imati traženo prigušenje zvuka od 35 dBa, sa ugradbom min. 5 cm mineralne vune tež. 50 kg/m² unutar zida. Obavezno je brtvljenje sudarnih spojnica uz zidove, strop i pod brtvenom trakom. Izvedba prema detaljima proizvođača. Po završetku je potrebno o trošku izvoditelja radova zatražiti ispitivanje prigušenja zvuka od ovlaštene pravne osobe uz</t>
  </si>
  <si>
    <t>predočenje rezultata mjerenja (atest).
Montažni zidovi i obloge od gipskartonskih ploča:
Montažni zidovi sistema tip kao KNAUF se izvode od podkonstrukcije - nosivih CW profila od pocinčanog lima debljine 0,7 mm presjeka 50/100 mm na maksimalnom razmaku 41,7 - 62,5 cm (ako stavkom nije drugačije naznačeno) te s donjim i gornjim UW-profilom. Između profila se umeće mineralna vuna i osigurava se od micanja. Kod spoja sa zidom, stropom ili podom na profile se nanosi brtvena masa, a posebno i temeljito kod zahtjeva za zaštitu od buke. Sve rubne profile na spojevima s podom, stropom i sa zidovima treba učvrstiti odgovarajućim učvrsnim elementima. Učvrsni element za masivni zid, pod ili strop je tipla s vijkom. Za ostale priključne površine koriste se učvrsna sredstva koja odgovaraju podlozi. Sve profile koji su u dodiru s bočnim zidovima i s podom odn. stropom treba prije</t>
  </si>
  <si>
    <t>montaže obložiti samoljepivom PE bertvenom trakom odgovarajuće širine.
Na potkonstrukciju se obostrano pričvršćuju gipskartonske ploče prema opisu u stavci pomoću tzv. vijaka za brzu ugradnju. Kod višeslojnog oblaganja spojevi donjih slojeva GK ploča se samo zapunjavaju a spojevi gornjeg sloja se završno obrađuju gletanjem kako je već opisano. Nakon obrade spojeva završno čitavu površinu pregletati smjesom za izravnanje što ulazi u stavku, tako da su zidovi potpuno pripremljeni za ličenje ili oblaganje keramičkim pločicama. Kod neprekidnih zidova potrebno je u razmaku od 15-20 m ugraditi dilatacijske spojeve. Kod neprekidnih zidnih obloga potrebno je u razmaku od ca.10 m ugraditi dilatacijske spojeve.
Kod odabira konstrukcije zida treba poštivati odredbe norme ÖNORM B 3415.</t>
  </si>
  <si>
    <t>U jediničnoj cijeni sadržano je:
- sav materijal, dobava i uskladištenje, te unutarnji transporti;
- sav rad opisan u stavci;
- potrebna radna skela;
- čišćenje svakodnevno i po završenom radu uključivo odvoz viška materijala na gradsku planirku;
- popravci štete na vlastitom ili drugim radovima učinjeni iz nepažnje;
- troškovi zaštite na radu i troškovi atesta.
Razred vatrootpornosti:
Dokaz za postizanje zahtjevanih razreda vatrootpornosti za zidnu konstrukciju osigurava izvođač radova putem atesta ovlaštene institucije, ako razred vatrootpornosti ne proizlazi iz normi: ÖNORM B 3800 / HRN U.J1.090 / DIN 4102 ili jednakovrijedno.
Radove izvoditi tek pošto su montirane i ispitane</t>
  </si>
  <si>
    <t>instalacije koje se nalaze unutar GK konstrukcija. U cijeni stavaka je uključeno bušenje - obrada ploča za potrebe ugradbe elemenata instalacija u završnim GK oblogama (utičnice, priključci i/ili sl.).
Radovi za prilagodbu na instalacijske i ugradbene dijelove, koji su ugrađeni prije oblaganja, posebno se ne obračunava. Prekidi rada (vrijeme čekanja) koji su posljedica instalacijskih radova ukalkulirani su u jedinične cijene.
Obračun po Normativima i opisima za suhu gradnju Hrvatske obrtničke komore.
Obračun po m2 s odbitkom otvora preko 2,5 m2/kom, bez dovratnika / doprozornika (za potkonstrukciju i oblogu obostrano). U tom slučaju špalete obračunati posebno po m1 razvijene dužine za izvedenu širinu, s izvedbom tipskog profila (obostrano) za ojačanje brida u cijeni m1.
Uključivo sva potrebna brtvljenja (brtve na spoju</t>
  </si>
  <si>
    <t>zidova sa podom, stropom, obodnim zidovima /ili sl.), kitanja, obrada spojeva ploča, bandažiranja, ukrute, sidra, profile za zaštitu kuteva i/ili sl. Prema potrebi ovjesnu konstrukciju spuštenih stropova dimenzionirati za nošenje rasvjetnih tijela, dijelove komunikacijske i ventilacijske opreme, visećih reklamnih panoa i/ili sl.
Obračun gipskartonskih radova prema ÖNORM B-2206 ili jednakovrijedno.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t>
  </si>
  <si>
    <t>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</si>
  <si>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</si>
  <si>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</si>
  <si>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</si>
  <si>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</si>
  <si>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</si>
  <si>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</si>
  <si>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4.1.</t>
  </si>
  <si>
    <t>STANDARDNE ARMIRANOBETONSKE PLOČE</t>
  </si>
  <si>
    <t>Izvedba u svemu prema standardnoj tehničkoj specifikaciji prodajnog mjesta Eurospin - točka 4.1.</t>
  </si>
  <si>
    <t>4.2.</t>
  </si>
  <si>
    <t>VERTIKALNA ZATVARANJA</t>
  </si>
  <si>
    <t>Izvedba u svemu prema standardnoj tehničkoj specifikaciji prodajnog mjesta Eurospin - točka 4.2.
Pregradne zidove i obloge od gipskartonskih ploča izvesti nakon polaganja podne keramike.</t>
  </si>
  <si>
    <t>4.2.1.</t>
  </si>
  <si>
    <t>Unutarnji protupožarni pregradni zid (UZ1, UZ1a), između prodajnog prostora i skladišta</t>
  </si>
  <si>
    <t>Dobava materijala i izrada protupožarnog pregradnog zida suhomontažnim sustavom od gipskartonskih ploča tipa Diamant na metalnoj potkonstrukciji, kao Knauf W112 ili jednakovrijedno, debljine 15,0 cm, visine do 510 cm. Vatrootpornost zida EI 90.
Pregradni se zid sastoji od:
_ završne obloge od tvrdih gipsanih ploča, kao Knauf Diamant DFH2IR 13, debljine 1,25 cm;
_ obloge od tvrdih gipsanih ploča, kao Knauf Diamant DFH2IR 13, debljine 1,25 cm;
_ jednostruke potkonstrukcije od pocinčanih čeličnih CW 100/ MW 100 profila, pričvršćenih u armirano betonsku konstrukciju tipskim pričvrsnim priborom, kao Knauf, postavljenih na razmaku ne većem od 300 mm;
_ potkonstrukcije za sanitarnu opremu, viseće elemente, vrata i/ili sl., te čeličnih cjevastih okvira za brzopodizna i protupožarna vrata, u debljini zida;</t>
  </si>
  <si>
    <t>_ toplinske izolacije od kamene vune, kao Knauf Mineral Wool 35 (l=0,035 W/mK), debljine 10,0 cm, između potkonstrukcije;
_ obloge od tvrdih gipsanih ploča, kao Knauf Diamant DFH2IR 13, debljine 1,25 cm;
_ završne obloge od tvrdih gipsanih ploča, kao Knauf Diamant DFH2IR 13, debljine 1,25 cm;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te dilatacijski spoj po potrebi.
Izvedba u svemu prema standardnoj tehničkoj specifikaciji prodajnog mjesta Eurospin - točka 4.2.1.
Obračun po m2.</t>
  </si>
  <si>
    <t>4.2.1.a.</t>
  </si>
  <si>
    <t>prizemlje, visina do 5,10 m</t>
  </si>
  <si>
    <t>m²</t>
  </si>
  <si>
    <t>4.2.2.</t>
  </si>
  <si>
    <t>Unutarnji pregradni zid između pomoćnih prostora</t>
  </si>
  <si>
    <t>4.2.2.1.</t>
  </si>
  <si>
    <t>Unutarnji pregradni zid (UZ2b), između sanitarnih prostora, uključivo predprostor za kupce</t>
  </si>
  <si>
    <t>Dobava materijala i izrada pregradnog zida suhomontažnim sustavom od gipskartonskih ploča na metalnoj potkonstrukciji, kao Knauf W112 ili jednakovrijedno, debljine 15,0 cm, visine 300 i 310 (10 cm iznad spuštenog stropa).
Pregradni se zid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400 mm;
_ potkonstrukcije za sanitarnu opremu, viseće elemente, vrata i/ili sl.;
_ toplinske izolacije od kamene vune, λD=0,038 W/mK, debljine 6,0 cm, između potkonstrukcije;
_ obloge od vlagotpornih gipskartonskih ploča,</t>
  </si>
  <si>
    <t>kao Knauf H2 13, debljine 1,25 cm;
_ završne obloge od vlagotpornih gipskartonskih ploča, kao Knauf H2 13, debljine 1,25 cm;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4.2.2.
Obračun po m2.</t>
  </si>
  <si>
    <t>4.2.2.1.a.</t>
  </si>
  <si>
    <t/>
  </si>
  <si>
    <t>4.2.2.2.</t>
  </si>
  <si>
    <t>Unutarnji pregradni zid (UZ2a), između prodajnog prostora / garderoba i sanitarnih prostora</t>
  </si>
  <si>
    <t>Dobava materijala i izrada pregradnog zida suhomontažnim sustavom od gipskartonskih ploča na metalnoj potkonstrukciji, kao Knauf W112 ili jednakovrijedno, debljine 15,0 cm, vis. 300, 310, 510 cm.
Pregradni se zid sastoji od:
_ završne obloge od standardnih gipskartonskih ploča, kao Knauf A 13, debljine 1,25 cm;
_ obloge od standardnih gipskartonskih ploča, kao Knauf A 13, debljine 1,25 cm;
_ jednostruke potkonstrukcije od pocinčanih čeličnih CW 100 i UW 100 profila, pričvršćenih u armirano betonsku konstrukciju tipskim pričvrsnim priborom, kao Knauf, postavljenih na razmaku ne većem od 400 mm;
_ potkonstrukcije za sanitarnu opremu, viseće elemente, vrata i/ili sl.;
_ toplinske izolacije od kamene vune, λD=0,038 W/mK, debljine 6,0 cm, između potkonstrukcije;
_ obloge od vlagotpornih gipskartonskih ploča,</t>
  </si>
  <si>
    <t>kao Knauf H2 13, debljine 1,25 cm;
_ završne obloge od vlagotpornih gipskartonskih ploča, kao Knauf H2 13, debljine 1,25 cm.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4.2.2.
Obračun po m2.</t>
  </si>
  <si>
    <t>4.2.2.2.a.</t>
  </si>
  <si>
    <t>Obračun po m2.</t>
  </si>
  <si>
    <t>4.2.2.3.</t>
  </si>
  <si>
    <t>Unutarnji pregradni zid (UZ2), između garderoba, hodnika i prostora za odmor</t>
  </si>
  <si>
    <t>Dobava materijala i izrada pregradnog zida suhomontažnim sustavom od gipskartonskih ploča na metalnoj potkonstrukciji, kao Knauf W112 ili jednakovrijedno, debljine 15,0 cm, vis. 300 cm.
Pregradni se zid sastoji od:
_ završne obloge od standardnih gipskartonskih ploča, kao Knauf A 13, debljine 1,25 cm;
_ obloge od standardnih gipskartonskih ploča, kao Knauf A 13, debljine 1,25 cm;
_ jednostruke potkonstrukcije od pocinčanih čeličnih CW 100 i UW 100 profila, pričvršćenih u armirano betonsku konstrukciju tipskim pričvrsnim priborom, kao Knauf, postavljenih na razmaku ne većem od 400 mm;
_ potkonstrukcije za sanitarnu opremu, viseće elemente, vrata i/ili sl.;
_ toplinske izolacije od kamene vune, λD=0,038 W/mK, debljine 6,0 cm, između potkonstrukcije;
_ obloge od standardnih gipskartonskih ploča, kao Knauf A 13, debljine 1,25 cm;</t>
  </si>
  <si>
    <t>_ završne obloge od standardnih gipskartonskih ploča, kao Knauf A 13, debljine 1,25 cm.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4.2.2.
Obračun po m2.</t>
  </si>
  <si>
    <t>4.2.2.3.a.</t>
  </si>
  <si>
    <t>Unutarnji pregradni zid između pomoćnih prostora UKUPNO:</t>
  </si>
  <si>
    <t>4.2.3.</t>
  </si>
  <si>
    <t>Unutarnji pregradni zid između prostora za obradu i prodajnog prostora</t>
  </si>
  <si>
    <t>4.2.3.1.</t>
  </si>
  <si>
    <t>Unutarnji pregradni zid (UZ2c, UZ2e) između prostora za obradu  (mesnice i gastronomije-pekarnice), te između uslužnog odjela prodajnog prostora i prostora za obradu</t>
  </si>
  <si>
    <t>Dobava materijala i izrada pregradnog zida suhomontažnim sustavom od gipskartonskih ploča na metalnoj potkonstrukciji, kao Knauf W112 ili jednakovrijedno, debljine 15,0 cm, visine do 560 cm.
Pregradni se zid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400 mm;
_ zavarenog čeličnog cjevastog okvira za potporu vitrini i kuhinjskoj opremi, položenog u debljini zida;
_ potkonstrukcije za sanitarnu opremu, viseće elemente, vrata i/ili sl., te čeličnih cjevastih</t>
  </si>
  <si>
    <t>okvira za mimokretna vrata;
_ toplinske izolacije od kamene vune, λD=0,038 W/mK, debljine 6,0 cm, između potkonstrukcije;
_ obloge od vlagotpornih gipskartonskih ploča, kao Knauf H2 13, debljine 1,25 cm;
_ završne obloge od vlagotpornih gipskartonskih ploča, kao Knauf H2 13, debljine 1,25 cm.
U stavci uključena obrada rubova i spojeva ploča, te glava vijaka, papirnom bandažnom trakom i gletanjem u razini kvalitete Q2, PVC zaštitni kutni profili, fugiranje i obrada posebnim kitom za mjesta s visokom koncentracijom vlage, te sve što je potrebno za postizanje glatke površine spremne za bojenje i/ili oblaganje.
U stavci uključen sav potreban spojni i montažni pribor.
Ukoliko okvir prozora nije predviđen, po obodu otvora postaviti opšav od ravnog pocinčanog i obojanog čeličnog lima debljine 20/10 mm, razvijene širine 30 cm, s preklopljenim rubovima,</t>
  </si>
  <si>
    <t>boje RAL 7035.
Izvedba u svemu prema standardnoj tehničkoj specifikaciji prodajnog mjesta Eurospin - točka 4.2.3.</t>
  </si>
  <si>
    <t>4.2.3.1.a.</t>
  </si>
  <si>
    <t>4.2.3.2.</t>
  </si>
  <si>
    <t>Unutarnji pregradni zid (UZ2d) između uslužnog odjela prodajnog prostora i prostora za obradu mesa</t>
  </si>
  <si>
    <t>Dobava materijala i izrada pregradnog zida suhomontažnim sustavom od gipskartonskih ploča na metalnoj potkonstrukciji, kao Knauf W115 ili jednakovrijedno, debljine 20,0 cm, visine do 560 cm.
Pregradni se zid sastoji od:
_ završne obloge od vlagotpornih gipskartonskih ploča, kao Knauf H2 13, debljine 1,25 cm;
_ obloge od vlagotpornih gipskartonskih ploča, kao Knauf H2 13, debljine 1,25 cm;
_ dvostruke potkonstrukcije od pocinčanih čeličnih CW 100 + CW 50 i UW 100 +UW 50 profila, pričvršćenih u armiranobetonsku konstrukciju tipskim pričvrsnim priborom, kao Knauf, postavljenih na razmaku ne većem od 400 mm;
_ zavarenog čeličnog cjevastog okvira za potporu vitrini i kuhinjskoj opremi, položenog u debljini zida;
_ potkonstrukcije za sanitarnu opremu, viseće elemente, vrata i/ili sl.;</t>
  </si>
  <si>
    <t>_ toplinske izolacije od kamene vune, λD=0,038 W/mK, debljine 6,0 cm, između potkonstrukcije;
_ obloge od vlagotpornih gipskartonskih ploča, kao Knauf H2 13, debljine 1,25 cm;
_ završne obloge od vlagotpornih gipskartonskih ploča, kao Knauf H2 13, debljine 1,25 cm.
U stavci uključena obrada rubova i spojeva ploča, te glava vijaka, papirnom bandažnom trakom i gletanjem u razini kvalitete Q2, PVC zaštitni kutni profili, fugiranje i obrada posebnim kitom za mjesta s visokom koncentracijom vlage, te sve što je potrebno za postizanje glatke površine spremne za bojenje i/ili oblaganje.
U stavci uključen sav potreban spojni i montažni pribor.
Ukoliko okvir prozora nije predviđen, po obodu otvora postaviti opšav od ravnog pocinčanog i obojanog čeličnog lima debljine 20/10 mm, razvijene širine 35 cm, s preklopljenim rubovima, boje RAL 7035.</t>
  </si>
  <si>
    <t>Izvedba u svemu prema standardnoj tehničkoj specifikaciji prodajnog mjesta Eurospin - točka 4.2.3.</t>
  </si>
  <si>
    <t>4.2.3.2.a.</t>
  </si>
  <si>
    <t>Unutarnji pregradni zid između prostora za obradu i prodajnog prostora UKUPNO:</t>
  </si>
  <si>
    <t>4.2.4.</t>
  </si>
  <si>
    <t>Unutarnja obloga zida mokrog prostora</t>
  </si>
  <si>
    <t>4.2.4.1.</t>
  </si>
  <si>
    <t>Unutarnja obloga zida sanitarnih prostora (obloga instalacijskih šahtova i ugradbenih vodokotilća i sl.) (UZ6b)</t>
  </si>
  <si>
    <t>Dobava materijala i izrada unutarnje obloge zida suhomontažnim sustavom od gipskartonskih ploča na metalnoj potkonstrukciji, kao Knauf W626 ili jednakovrijedno, debljine 12,5 cm, na maksimalnom odmaku 20,0 cm od površine zida, visine 300 cm (do spuštenog stropa).
Obloga se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600 mm;
_ potkonstrukcije za sanitarnu opremu, viseće elemente i/ili sl.
U stavci uključena obrada rubova i spojeva ploča, te glava vijaka, papirnom bandažnom trakom i</t>
  </si>
  <si>
    <t>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4.2.4.</t>
  </si>
  <si>
    <t>4.2.4.1.a.</t>
  </si>
  <si>
    <t>4.2.4.2.</t>
  </si>
  <si>
    <t>Unutarnja obloga zida sanitarnih prostora (UZ6a)</t>
  </si>
  <si>
    <t>Dobava materijala i izrada unutarnje obloge zida suhomontažnim sustavom od gipskartonskih ploča na metalnoj potkonstrukciji, kao Knauf W626 ili jednakovrijedno, debljine 10,0 cm, na maksimalnom odmaku 10,0 cm od površine zida, visine 280 i 400 cm (do spuštenog stropa).
Obloga se sastoji od:
_ završne obloge od vlagotpornih gipskartonskih ploča, kao Knauf H2 13, debljine 1,25 cm;
_ obloge od vlagotpornih gipskartonskih ploča, kao Knauf H2 13, debljine 1,25 cm;
_ jednostruke potkonstrukcije od pocinčanih čeličnih CW 75 i UW 75 profila, pričvršćenih u armirano betonsku konstrukciju tipskim pričvrsnim priborom, kao Knauf, postavljenih na razmaku ne većem od 600 mm;
_ potkonstrukcije za sanitarnu opremu, viseće elemente i/ili sl.
U stavci uključena obrada rubova i spojeva ploča, te glava vijaka, papirnom bandažnom trakom i</t>
  </si>
  <si>
    <t>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4.2.4.
Obračun po m2.</t>
  </si>
  <si>
    <t>4.2.4.2.a.</t>
  </si>
  <si>
    <t>4.2.4.3.</t>
  </si>
  <si>
    <t>Unutarnja obloga zida prostora za obradu (UZ6b)</t>
  </si>
  <si>
    <t>Dobava materijala i izrada unutarnje obloge zida suhomontažnim sustavom od gipskartonskih ploča na metalnoj potkonstrukciji, kao Knauf W626 ili jednakovrijedno, debljine 12,5 cm, na maksimalnom odmaku 15,0 cm od površine zida, visine 300 i 335 cm (do spuštenog stropa).
Obloga se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600 mm;
_ potkonstrukcije za sanitarnu opremu, viseće elemente i/ili sl.
U stavci uključena izrada špaleta, parapeta, klupčica, nadvoja, obrada oko prozora i vrata,</t>
  </si>
  <si>
    <t>obrada rubova i spojeva ploča, te glava vijaka, papirnom bandažnom trakom i gletanjem u razini kvalitete Q2, PVC zaštitni kutni profili, fugiranje i obrada posebnim kitom za mjesta s visokom koncentracijom vlage, te sve što je potrebno za postizanje glatke površine spremne za završnu obradu.
U stavci uključen sav potreban spojni i montažni pribor.
Izvedba u svemu prema standardnoj tehničkoj specifikaciji prodajnog mjesta Eurospin - točka 4.2.4.
Obračun po m2.</t>
  </si>
  <si>
    <t>4.2.4.3.a.</t>
  </si>
  <si>
    <t>4.2.4.4.</t>
  </si>
  <si>
    <t>Unutarnja obloga zida prostora za odmor (UZ5a)</t>
  </si>
  <si>
    <t>Dobava materijala i izrada unutarnje samostojeće obloge zida i/ili sl. suhomontažnim sustavom od gipskartonskih ploča na metalnoj potkonstrukciji, kao Knauf W628, tip B ili jednakovrijedno, debljine 10 cm, neposredno uz površinu zida, visine do 300 cm. Vatrootpornost obloge EI 90.
Obloga se sastoji od:
_ završne obloge od tvrdih gipsanih ploča, kao Knauf Diamant DFH2IR 13, debljine 1,25 cm;
_ obloge od tvrdih gipsanih ploča, kao Knauf Diamant DFH2IR 13, debljine 1,25 cm;
_ jednostruke potkonstrukcije od pocinčanih čeličnih CW 75 i UW 75 profila, pričvršćenih u armirano betonsku konstrukciju tipskim pričvrsnim priborom, kao Knauf, postavljenih na razmaku ne većem od 600 mm;
_ potkonstrukcije za sanitarnu opremu, viseće elemente i/ili sl.
U stavci uključena obrada rubova i spojeva ploča, te glava vijaka, papirnom bandažnom trakom i</t>
  </si>
  <si>
    <t>4.2.4.4.a.</t>
  </si>
  <si>
    <t>4.2.4.5.</t>
  </si>
  <si>
    <t>Unutarnja samostojeća obloga hidranta, instalacijskog okna, stupova i sl.</t>
  </si>
  <si>
    <t>Dobava materijala i izrada unutarnje samostojeće obloge inst. okna i/ili sl. suhomontažnim sustavom od gipskartonskih ploča na metalnoj potkonstrukciji, kao Knauf W626 ili jednakovrijedno, debljine 12,5 cm, na maksimalnom odmaku 80 cm od površine zida, visine do 500 cm.
Obloga se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600 mm;
_ potkonstrukcije za sanitarnu opremu, viseće elemente i/ili sl.
U stavci uključena obrada rubova i spojeva ploča, te glava vijaka, papirnom bandažnom trakom i</t>
  </si>
  <si>
    <t>4.2.4.5.a.</t>
  </si>
  <si>
    <t>4.2.4.6.</t>
  </si>
  <si>
    <t>Unutarnja samostojeća obloga - produžetak zidova u području stupova (UZ6c)</t>
  </si>
  <si>
    <t>Dobava materijala i izrada unutarnje obloge zida, stupa i/ili sl. suhomontažnim sustavom od gipskartonskih ploča na metalnoj potkonstrukciji, kao Knauf W626 ili jednakovrijedno, debljine 12,5 cm, u produžetku suhomontažnog zida u području stupova, visine 310 cm (do spuštenog stropa).
Obloga se sastoji od:
_ završne obloge od vlagotpornih gipskartonskih ploča, kao Knauf H2 13, debljine 1,25 cm;
_ obloge od vlagotpornih gipskartonskih ploča, kao Knauf H2 13, debljine 1,25 cm;
_ jednostruke potkonstrukcije od pocinčanih čeličnih CW 100 i UW 100 profila, pričvršćenih u armirano betonsku konstrukciju tipskim pričvrsnim priborom, kao Knauf, postavljenih na razmaku ne većem od 600 mm;
_ potkonstrukcije za sanitarnu opremu, viseće elemente i/ili sl.
_ toplinske izolacije od kamene vune, λD=0,038 W/mK, debljine 6,0 cm, između potkonstrukcije;</t>
  </si>
  <si>
    <t>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4.2.4.
Obračun po m2.</t>
  </si>
  <si>
    <t>4.2.4.6.a.</t>
  </si>
  <si>
    <t>Unutarnja obloga zida mokrog prostora UKUPNO:</t>
  </si>
  <si>
    <t>4.2.5.</t>
  </si>
  <si>
    <t>Unutarnji protupožarni pregradni zid (UZ1, UZ1a), između elektro sobe i hodnika i između podruma koji se ne koristi i pomoćnih prostorija za zaposlene</t>
  </si>
  <si>
    <t>Dobava materijala i izrada protupožarnog pregradnog zida suhomontažnim sustavom od gipskartonskih ploča tipa Diamant na metalnoj potkonstrukciji, kao Knauf W112 ili jednakovrijedno, debljine 15,0 cm, visine do 300 cm. Vatrootpornost zida EI 90.
Pregradni se zid sastoji od:
_ završne obloge od tvrdih gipsanih ploča, kao Knauf Diamant DFH2IR 13, debljine 1,25 cm;
_ obloge od tvrdih gipsanih ploča, kao Knauf Diamant DFH2IR 13, debljine 1,25 cm;
_ jednostruke potkonstrukcije od pocinčanih čeličnih CW 100/ MW 100 profila, pričvršćenih u armirano betonsku konstrukciju tipskim pričvrsnim priborom, kao Knauf, postavljenih na razmaku ne većem od 300 mm;
_ potkonstrukcije za sanitarnu opremu, viseće elemente, vrata i/ili sl., te čeličnih cjevastih okvira protupožarna vrata, u debljini zida;
_ toplinske izolacije od kamene vune, kao Knauf</t>
  </si>
  <si>
    <t>Mineral Wool 35 (l=0,035 W/mK), debljine 10,0 cm, između potkonstrukcije;
_ obloge od tvrdih gipsanih ploča, kao Knauf Diamant DFH2IR 13, debljine 1,25 cm;
_ završne obloge od tvrdih gipsanih ploča, kao Knauf Diamant DFH2IR 13, debljine 1,25 cm;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te dilatacijski spoj po potrebi.
Izvedba u svemu prema standardnoj tehničkoj specifikaciji prodajnog mjesta Eurospin - točka 4.2.5.
Obračun po m2.</t>
  </si>
  <si>
    <t>4.2.5.a.</t>
  </si>
  <si>
    <t>podrum, visina do 3,00 m</t>
  </si>
  <si>
    <t>4.2.6.</t>
  </si>
  <si>
    <t>Unutarnja obloga zida suhog prostora</t>
  </si>
  <si>
    <t>4.2.6.1.</t>
  </si>
  <si>
    <t xml:space="preserve">Unutarnja obloga zida prodajnog prostora </t>
  </si>
  <si>
    <t>Dobava materijala i izrada unutarnje obloge zida suhomontažnim sustavom od gipskartonskih ploča na metalnoj potkonstrukciji, kao Knauf W626 ili jednakovrijedno, debljine 12,5 cm, visine 335 cm (do spuštenog stropa)
Obloga se sastoji od:
_ završne obloge od standardnih gipskartonskih ploča, kao Knauf A 13, debljine 1,25 cm;
_ obloge od standardnih gipskartonskih ploča, kao Knauf A 13, debljine 1,25 cm;
_ jednostruke potkonstrukcije od pocinčanih čeličnih CW 100 i UW 100 profila, pričvršćenih u armirano betonsku konstrukciju tipskim pričvrsnim priborom, kao Knauf, postavljenih na razmaku ne većem od 400 mm;
_ potkonstrukcije za hidrante, eventualne niše i/ili sl.
U stavci uključena obrada rubova i spojeva ploča, te glava vijaka, papirnom bandažnom trakom i gletanjem u razini kvalitete Q2, PVC zaštitni</t>
  </si>
  <si>
    <t>kutni profili, fugiranje, te sve što je potrebno za postizanje glatke površine spremne za završnu obradu.
U stavci uključen sav potreban spojni i montažni pribor.
Izvedba u svemu prema standardnoj tehničkoj specifikaciji prodajnog mjesta Eurospin - točka 4.2.6.
Obračun po m2.</t>
  </si>
  <si>
    <t>4.2.6.1.a.</t>
  </si>
  <si>
    <t>4.2.6.2.</t>
  </si>
  <si>
    <t>Unutarnja obloga zidnog hidranta i/ili sl.</t>
  </si>
  <si>
    <t>Dobava materijala i izrada unutarnje obloge zidnog hidranta i/ili sl. suhomontažnim sustavom od gipskartonskih ploča na metalnoj potkonstrukciji, kao Knauf W626 ili jednakovrijedno, debljine 12,5 cm, na maksimalnom odmaku 20-30 cm od površine zida, visine 160 cm.
Obloga se sastoji od:
_ završne obloge od standardnih gipskartonskih ploča, kao Knauf A 13, debljine 1,25 cm;
_ obloge od standardnih gipskartonskih ploča, kao Knauf A 13, debljine 1,25 cm;
_ jednostruke potkonstrukcije od pocinčanih čeličnih CW 100 i UW 100 profila, pričvršćenih u armirano betonsku konstrukciju tipskim pričvrsnim priborom, kao Knauf, postavljenih na razmaku ne većem od 400 mm;
_ potkonstrukcije hidrant, viseće elemente i/ili sl.
U stavci uključena obrada rubova i spojeva ploča, te glava vijaka, papirnom bandažnom trakom i</t>
  </si>
  <si>
    <t>gletanjem u razini kvalitete Q2, PVC zaštitni kutni profili, fugiranje, te sve što je potrebno za postizanje glatke površine spremne za završnu obradu.
U stavci uključen sav potreban spojni i montažni pribor.4Izvedba u svemu prema standardnoj tehničkoj specifikaciji prodajnog mjesta Eurospin - točka 4.2.4.
Obračun po m2.</t>
  </si>
  <si>
    <t>4.2.6.2.a.</t>
  </si>
  <si>
    <t>4.2.6.3.</t>
  </si>
  <si>
    <t xml:space="preserve">Unutarnja protupožarna samostojeća obloga  instalacijskog okna i/ili sl. </t>
  </si>
  <si>
    <t>Dobava materijala i izrada unutarnje samostojeće obloge inst. okna i/ili sl. suhomontažnim sustavom od gipskartonskih ploča na metalnoj potkonstrukciji, kao Knauf W628, tip B ili jednakovrijedno, debljine 11,5 cm, na maksimalnom odmaku 25-80 cm od površine zida, visine do 370 cm. Vatrootpornost obloge EI 90.
Obloga se sastoji od:
_ završne obloge od gipskartonskih ploča, kao Knauf masivna ploča DF, debljine 2,0 cm;
_ obloge od gipskartonskih ploča, kao Knauf masivna ploča DF, debljine 2,0 cm;
_ jednostruke potkonstrukcije od pocinčanih čeličnih CW 75 i UW 75 profila, pričvršćenih u armirano betonsku konstrukciju tipskim pričvrsnim priborom, kao Knauf, postavljenih na razmaku ne većem od 400 mm;
_ potkonstrukcije za viseće elemente i/ili sl.
U stavci uključena obrada rubova i spojeva ploča, te glava vijaka, papirnom bandažnom trakom i</t>
  </si>
  <si>
    <t>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 točka 4.2.5.
Obračun po m2.</t>
  </si>
  <si>
    <t>4.2.6.3.a.</t>
  </si>
  <si>
    <t>4.2.6.4.</t>
  </si>
  <si>
    <t>Unutarnja protupožarna trostrana obloga horizontalnog instalacijskog kanala i/ili sl.</t>
  </si>
  <si>
    <t>Dobava materijala i izrada unutarnje trostrane obloge koja formira horizontalni instalacijski kanal i/ili sl., suhomontažnim sustavom od gipskartonskih ploča na metalnoj potkonstrukciji, kao Knauf W628, tip B ili jednakovrijedno, debljine 9,0 cm, na maksimalnom odmaku 20 cm od površine stropa.
Vatrootpornost obloge EI 90.
Obloga se sastoji od:
_ završne obloge od gipskartonskih ploča, kao Knauf masivna ploča DF, debljine 2,0 cm;
_ obloge od gipskartonskih ploča, kao Knauf masivna ploča DF, debljine 2,0 cm;
_ jednostruke potkonstrukcije od pocinčanih čeličnih CW 50 i UW 50 profila, pričvršćenih u armirano betonsku konstrukciju tipskim pričvrsnim priborom, kao Knauf, postavljenih na razmaku ne većem od 400 mm;
U stavci uključena obrada rubova i spojeva ploča, te glava vijaka, papirnom bandažnom trakom i</t>
  </si>
  <si>
    <t>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NS03.
Obračun po m2.</t>
  </si>
  <si>
    <t>4.2.6.4.a.</t>
  </si>
  <si>
    <t>4.2.6.5.</t>
  </si>
  <si>
    <t>Unutarnja trostrana obloga instalacijskog kanala</t>
  </si>
  <si>
    <t>Dobava materijala i izrada unutarnje obloge instalacijskog kanala i/ili sl. suhomontažnim sustavom od gipskartonskih ploča na metalnoj potkonstrukciji, kao Knauf W626 ili jednakovrijedno, debljine 12,5 cm, na maksimalnom odmaku 20-30 cm od površine zida, visine 365 cm.
Obloga se sastoji od:
_ završne obloge od standardnih gipskartonskih ploča, kao Knauf A 13, debljine 1,25 cm;
_ obloge od standardnih gipskartonskih ploča, kao Knauf A 13, debljine 1,25 cm;
_ jednostruke potkonstrukcije od pocinčanih čeličnih CW 75 i UW 75 profila, pričvršćenih u armirano betonsku konstrukciju tipskim pričvrsnim priborom, kao Knauf, postavljenih na razmaku ne većem od 400 mm;
U stavci uključena obrada rubova i spojeva ploča, te glava vijaka, papirnom bandažnom trakom i gletanjem u razini kvalitete Q2, PVC zaštitni kutni profili, fugiranje, te sve što je potrebno</t>
  </si>
  <si>
    <t>za postizanje glatke površine spremne za završnu obradu.
U stavci uključen sav potreban spojni i montažni pribor.4Izvedba u svemu prema standardnoj tehničkoj specifikaciji prodajnog mjesta Eurospin - točka 4.2.4.
Obračun po m2.</t>
  </si>
  <si>
    <t>4.2.6.5.a.</t>
  </si>
  <si>
    <t>4.2.6.6.</t>
  </si>
  <si>
    <t>Unutarnja obloga zida ureda od betonskih blokova sa strane prema prodajnom prostoru - "suha žbuka"</t>
  </si>
  <si>
    <t>Dobava materijala i izrada obloge unutarnjeg zida od betonskih blokova suhomontažnim sustavom od gipskartonskih ploča debljine 12,5 mm, fiksirane vijcima i podmetačima po potrebi, tretirane na rubovima, spojevima i glavama vijaka papirnatom trakom, rubnim zaštitnim profilima, brtvilom za fugiranje i svim ostalim što je potrebno za glatku vertikalnu površinu spremnu za soboslikarsku obradu. Razina završne obrade Q2.
U stavci uključena obrada rubova i spojeva ploča, te glava vijaka, papirnom bandažnom trakom i gletanjem u razini kvalitete Q2, PVC zaštitni kutni profili, fugiranje, te sve što je potrebno za postizanje glatke površine spremne za završnu obradu.
U stavci uključen sav potreban spojni i montažni pribor.
Izvedba u svemu prema standardnoj tehničkoj specifikaciji prodajnog mjesta Eurospin NS03.
Obračun po m2.</t>
  </si>
  <si>
    <t>4.2.6.6.a.</t>
  </si>
  <si>
    <t>4.2.6.8.</t>
  </si>
  <si>
    <t>Unutarnja protupožarna samostojeća obloga zida i/ili sl.</t>
  </si>
  <si>
    <t>Dobava materijala i izrada unutarnje samostojeće obloge zida i/ili sl. suhomontažnim sustavom od gipskartonskih ploča na metalnoj potkonstrukciji, kao Knauf W628, tip B ili jednakovrijedno, debljine 10 cm, visine do 300 cm.
Obloga se sastoji od:
_ završne obloge od gipskartonskih ploča, kao Knauf Diamant ploča DFH, debljine 1,25 cm;
_ obloge od gipskartonskih ploča, kao Knauf Diamant ploča DFH, debljine 1,25 cm;
_ jednostruke potkonstrukcije od pocinčanih čeličnih CW 75 i UW 75 profila, pričvršćenih u armirano betonsku konstrukciju tipskim pričvrsnim priborom, kao Knauf, postavljenih na razmaku ne većem od 400 mm;
_ potkonstrukcije za viseće elemente i/ili sl.
U stavci uključena obrada rubova i spojeva ploča, te glava vijaka, papirnom bandažnom trakom i gletanjem u razini kvalitete Q2, PVC zaštitni kutni profili, fugiranje, te sve što je potrebno</t>
  </si>
  <si>
    <t>za postizanje glatke površine spremne za završnu obradu.
U stavci uključen sav potreban spojni i montažni pribor.
Izvedba u svemu prema standardnoj tehničkoj specifikaciji prodajnog mjesta Eurospin - točka 4.2.5.
Obračun po m2.</t>
  </si>
  <si>
    <t>4.2.6.8.a.</t>
  </si>
  <si>
    <t>Unutarnja obloga zida suhog prostora UKUPNO:</t>
  </si>
  <si>
    <t>4.2.7.</t>
  </si>
  <si>
    <t>Unutarnja samostojeća zidna obloga iznad komore za zamrzavanje / rashlad i iznad ulaza u odjel do spuštenog stropa</t>
  </si>
  <si>
    <t>Dobava materijala i izrada unutarnje samostojeće zidne obloge suhomontažnim sustavom od gipskartonskih ploča na metalnoj potkonstrukciji, kao Knauf W626 ili jednakovrijedno, debljine 12,5 cm, visine 60-80 cm (od komora do spuštenog stropa).
Obloga se sastoji od:
_ završne obloge od vlagotpornih gipskartonskih ploča, kao Knauf H2 13, debljine 1,25 cm;
_ obloge od vlagotpornih gipskartonskih ploča, kao Knauf H2 13, debljine 1,25 cm;
_ revizijskih otvora dim. 60x60, 80x80 cm, usisnih rešetki i/ili sl., broja i položaja prema odluci investitora;
_ jednostruke potkonstrukcije od pocinčanih čeličnih CW 75 i UW 75 profila, pričvršćenih u konstrukciju tipskim pričvrsnim priborom, kao Knauf, postavljenih na razmaku ne većem od 400 mm;
_ konstrukcije za ukrućenje, od pocinčanih</t>
  </si>
  <si>
    <t>čeličnih C profila presjeka 50x75x50, sp. 6/10 mm, postavljenih iznad spuštenog stropa.
_ obloge od vlagotpornih gipskartonskih ploča, kao Knauf H2 13, debljine 1,25 cm;
_ završne obloge od vlagotpornih gipskartonskih ploča, kao Knauf H2 13, debljine 1,25 cm;
U stavci uključena obrada rubova i spojeva ploča, te glava vijaka, papirnom bandažnom trakom i gletanjem u razini kvalitete Q2, PVC zaštitni kutni profili, fugiranje i obrada posebnim kitom za mjesta s visokom koncentracijom vlage, te sve što je potrebno za postizanje glatke površine spremne za završnu obradu.
U stavci uključen sav potreban spojni i montažni pribor.
Izvedba u svemu prema standardnoj tehničkoj specifikaciji prodajnog mjesta Eurospin - točka 4.2.7.
Obračun po m2.</t>
  </si>
  <si>
    <t>4.2.7.a.</t>
  </si>
  <si>
    <t>UKUPNO:</t>
  </si>
  <si>
    <t>4.2.10.</t>
  </si>
  <si>
    <t>Ostali suhomontažni radovi</t>
  </si>
  <si>
    <t>4.2.10.1.</t>
  </si>
  <si>
    <t>Unutarnja obloga klupčica bravarije s vlastitim okvirom u prostorima za obradu</t>
  </si>
  <si>
    <t>Dobava materijala i izrada unutarnje obloge klupčica bravarije suhomontažnim sustavom od gipskarton. ploča, kao Knauf ili jednakovrijedno, širine do 18.cm
Obloga se sastoji od:
_ završne obloge od vlagootpornih gipskartonskih ploča, kao Knauf A 10, debljine 0,95 cm.
Obloga je pričvršćena na armiranobeton. konstrukciju tipskim pričvrsnim sidrima, kao Knauf.
U stavci uključena obrada rubova i spojeva ploča, te glava vijaka, papirnom bandažnom trakom i gletanjem u razini kvalitete Q2, PVC zaštitni kutni profili, fugiranje i obrada posebnim kitom za mjesta s visokom koncentracijom vlage, te sve što je potrebno za postizanje glatke površine spremne za završnu obradu.
U stavci uključen sav potreban spojni i montažni pribor.
Obračun po m1.</t>
  </si>
  <si>
    <t>4.2.10.1.a.</t>
  </si>
  <si>
    <t>m</t>
  </si>
  <si>
    <t>4.2.10.2.</t>
  </si>
  <si>
    <t>Zatvaranje dijela postojećeg otvora iznad trakastog prozora P6</t>
  </si>
  <si>
    <t>Dobava materijala i izrada vanjske obloge na fasadi za postavljanje ETICS fasade i/ili sl. suhomontažnim sustavom od vodootpornih laganih cementnih ploča za vanjsku primjenu debljine 12,5 mm, kao Aquapanel Outdoor cementna ploča ili jednakovrijedno, na metalnoj potkonstrukciji.
Obloga se sastoji od:
_ završne obloge od vodootpornih laganih cementnih ploča za vanjsku primjenu, kao Aquapanel Outdoor cementna ploča, debljine 1,25 cm;
_ obloge od vodootpornih laganih cementnih ploča za vanjsku primjenu, kao Aquapanel Outdoor cementna ploča, debljine 1,25 cm;
_ jednostruke potkonstrukcije od pocinčanih čeličnih CW 75 i UW 75 profila debljine 0,6 mm, pričvršćenih u armiranobetonsku i čeličnu konstrukciju tipskim pričvrsnim priborom, postavljenih na razmaku ne većem od 400 mm. Upotrijebiti tvornički pripremljenu</t>
  </si>
  <si>
    <t>potkonstrukciju dodatno antikorozivno štićene, za vlažne prostore, klase min. C3.
U stavci uključena obrada rubova i spojeva ploča, te glava vijaka, bandažnom trakom od staklene mrežice, gletanjem u razini kvalitete Q1 cijele površine u dva sloja s postavljanjem staklene mrežice po cijeloj površini, impregnacijski premaz te sve što je potrebno za postizanje glatke površine spremne za završnu obradu.
U stavci uključen sav potreban spojni i montažni pribor.
Izvedba u svemu prema standardnoj tehničkoj specifikaciji prodajnog mjesta Eurospin. Sve prema detalju D17.
Obračun po m2.</t>
  </si>
  <si>
    <t>4.2.10.2.a.</t>
  </si>
  <si>
    <t>4.2.10.3.</t>
  </si>
  <si>
    <t>Razni suhomontažni radovi</t>
  </si>
  <si>
    <t>4.2.10.3.1.</t>
  </si>
  <si>
    <t xml:space="preserve">UA profil </t>
  </si>
  <si>
    <t>Dobava materijala i ugradnja tipskog UA profila debljine stijenke 3 mm za ojačanje slijepih dovratnika na pozicijama metalnih vrata odnosno težih vrata.
Obračun po m1.</t>
  </si>
  <si>
    <t>4.2.10.3.1.a.</t>
  </si>
  <si>
    <t>4.2.10.3.2.</t>
  </si>
  <si>
    <t>Pojačanje konstrukcije gipskartonskih zidova</t>
  </si>
  <si>
    <t>Dobava materijala, transporti i izrada pojačanja nosive potkonstrukcije gipskartonskih zidova i obloga na pozicijama ugradnje ugradbene opreme, ovjesa namještaja, opreme i/ili sl., od tipskih profila potkonstrukcije, kao Knauf, s pričvršćenjem pomoću vijčanog spoja.
Obračun po m1.</t>
  </si>
  <si>
    <t>4.2.10.3.2.a.</t>
  </si>
  <si>
    <t>4.2.10.3.3.</t>
  </si>
  <si>
    <t>Nosač za ovjes visećih umivaonika</t>
  </si>
  <si>
    <t>Dobava materijala, transporti i izrada pojačanja nosive potkonstrukcije gipskartonskih zidova i obloga na pozicijama ugradnje visećih umivaonika, od tipskih profila potkonstrukcije, kao Knauf, s pričvršćenjem pomoću vijčanog spoja.
Obračun po komadu.</t>
  </si>
  <si>
    <t>4.2.10.3.3.a.</t>
  </si>
  <si>
    <t>komad</t>
  </si>
  <si>
    <t>4.2.10.3.4.</t>
  </si>
  <si>
    <t>Nosač za ovjes viseće WC školjke</t>
  </si>
  <si>
    <t>Dobava materijala, transporti i izrada pojačanja nosive potkonstrukcije gipskartonskih zidova i obloga na pozicijama ugradnje viseće WC školjke, od tipskih profila potkonstrukcije, kao Knauf, s pričvršćenjem pomoću vijčanog spoja.
Obračun po komadu.</t>
  </si>
  <si>
    <t>4.2.10.3.4.a.</t>
  </si>
  <si>
    <t>4.2.10.3.5.</t>
  </si>
  <si>
    <t>Nosač za ovjes visećeg pisoara</t>
  </si>
  <si>
    <t>Dobava materijala, transporti i izrada pojačanja nosive potkonstrukcije gipskartonskih zidova i obloga na pozicijama ugradnje visećeg pisoara, od tipskih profila potkonstrukcije, kao Knauf, s pričvršćenjem pomoću vijčanog spoja.
Obračun po komadu.</t>
  </si>
  <si>
    <t>4.2.10.3.5.a.</t>
  </si>
  <si>
    <t>Razni suhomontažni radovi UKUPNO:</t>
  </si>
  <si>
    <t>Ostali suhomontažni radovi UKUPNO:</t>
  </si>
  <si>
    <t>7.</t>
  </si>
  <si>
    <t>SPUŠTENI STROPOVI</t>
  </si>
  <si>
    <t>Izvedba u svemu prema standardnoj tehničkoj specifikaciji prodajnog mjesta Eurospin - točka 7 (Standardni detalj PNS03-25/26)
NAPOMENA: Radovi se izvode prema opisu u troškovniku, prema podacima iz projektne dokumentacije, uz rješavanje svih eventualnih pitanja u suradnji s projektantom i u skladu s važećim standardima. Sav upotrijebljeni materijal mora odgovarati postojećim propisima i standardima. Sve su dimenzije konstruktivnih elemenata date okvirno. Prije izvedbe obavezno uzeti točne mjere na građevini.
Svi su elementi, obloge i materijali veličine, boje, uzorka i načina oblaganja prema izboru projektanta. Sve su eventualne fuge veličine i boje prema izboru projektanta. Uključivo svu potrebnu antikorozivnu zaštitu svih elemenata i potkonstrukcija (osnovnih, dodatnih i/ili sl.), sve tipske kutne, spojne, razdjelne, završne</t>
  </si>
  <si>
    <t>i/ili sl. elemente, u svemu prema izboru / zahtjevu projektanta i u tehnologiji proizvođača. Upotrijebiti međusobno usklađene proizvode, kao sistemska rješenja jednog proizvođača, te ih ugraditi prema propisima, opisima i tehnologiji proizvođača odabranih materijala.
Prije početka izvedbe radova, izvoditelj je obvezan predočiti projektantu detaljnu radioničku dokumentaciju izvedbe kao i uzorke materijala koji će se ugraditi. Tek po izboru i odobrenju projektanta može se ugraditi odabrani uzorak. Ukoliko se ugrade materijali koje projektant nije odobrio i (ili) u neodgovarajućoj kvaliteti i (ili) različito s obzirom na odobreni projekt oblaganja i detalje, radovi će se morati ponoviti u traženoj kvaliteti, izboru i po projektu uz prethodno uklanjanje neispravnih radova. Izrada detalja neće se posebno platiti već predstavlja trošak i obvezu izvoditelja.
Izvoditelj je dužan izvršiti dimenzioniranje</t>
  </si>
  <si>
    <t>nosivih elemenata i eventualno potrebnih pojačanja ovjesne konstrukcije glede odabranog uzorka i rastera opreme odnosno eventualno potrebnih pregradnih zidova. Nosiva konstrukcija mora obvezno biti izvedena od nerđajućih materijala za što izvoditelj treba osigurati certifikat.
Izvoditelj stropa mora biti u toku izrade radioničke dokumentacije kao i montažer kod montaže u uskom kontaktu s isporučiteljima i izvoditeljima elektroinstalacija jake i slabe struje, instalacije klime, vatrodojave i ostalih sistema koji se ugrađuju iznad i u sklopu stropa, jer svi ti elementi čine sastavni dio čija rješenja koordinira i kontrolira montažer stropa, a što je sve uključeno u jediničnu cijenu izvedbe stropa.
Izvoditelj stropa mora biti tijekom izrade radioničke dokumentacije kao i montažer kod montaže upoznat s izvedbom eventualno potrebnih</t>
  </si>
  <si>
    <t>slojeva toplinske i zvučne koji se ugrađuju iznad stropa, jer se potkonstrukcija i detalji moraju tome prilagoditi.
Potkonstrukcija ovješenog stropa mora biti izvedena isključivo od nerđajućih materijala materijala (za što izvoditelj treba osigurati certifikat), pravilno dimenzionirana i izvedena. Kod projektiranja radioničke dokumentacije i izvedbe treba voditi računa ukoliko će strop tijekom uporabe biti izložen uvjetima povećane vlage i korozivnog djelovanja raznih plinova i isparenja, kako bi se predvidjeli odgovarajući materijali i načini zaštite.
Kod ugradbe u potresno aktivnim područjima treba konstrukciju ovješenog stropa prilagoditi odgovarajućim propisima.
Posebitu pažnju treba posvetiti izvedbi ovješenog stropa na otvorenom, gdje treba voditi računa i o niskim temperaturama (smrzavanje) i zaštititi konstrukciju stropa od istog.</t>
  </si>
  <si>
    <t>Jediničnom cijenom izvedbe treba obuhvatiti dobavu i ugradbu elemenata stropa (s završnom obradom ploha po izboru projektanta), slaganje elemenata u cjelinu, kompletnu nosivu konstrukciju i sve pripadne sidrene elemente i detalje, izvedbu rubnih detalja uz zidove, stupove, pregrade ili prodore kroz plohu stropa, kao i obradu stropa oko ugrađenih elemenata instalacija. Sve navedeno treba izvesti isključivo u skladu s tehnologijom proizvoditelja stropa, rabeći samo materijale i alate koji su tehnologijom predviđeni.
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t>
  </si>
  <si>
    <t>sve drugo predviđeno mjerama zaštite na radu i pravilima struke.
Uključivo sva potrebna brtvljenja (brtve na spoju zidova sa podom, stropom, obodnim zidovima /ili sl.), kitanja, obrada spojeva ploča, bandažiranja, ukrute, sidra, profile za zaštitu kuteva i/ili sl. Prema potrebi ovjesnu konstrukciju spuštenih stropova dimenzionirati za nošenje rasvjetnih tijela, dijelove komunikacijske i ventilacijske opreme, visećih reklamnih panoa i/ili sl.
Obračun gipskartonskih radova prema ÖNORM B-2206 ili jednakovrijedno.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t>
  </si>
  <si>
    <t>dovršenje građevine, odnosno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</si>
  <si>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7.1.</t>
  </si>
  <si>
    <t>Spušteni strop prodajnog prostora i prostora za obradu</t>
  </si>
  <si>
    <t>Dobava materijala i izrada spuštenog stropa prodajnog prostora, odjela i prostora za obradu suhomontažnim sustavom od ploča kamene vune razine zapaljivosti A1 prema standardu HRN EN 13501-1:2019 ili jednakovrijedno, na metalnoj potkonstrukciji.
Strop na visini 335 cm. Visina ovjesa 90-230 cm.
Sustav se sastoji od:
- ploča kamene vune klase reakcije na požar A1, λD ≤ 0,035W/mK, postojane na vlagu, obložene s vidljive strane glatkim, mat, super bijelo obojenim staklenim flisom boje RAL 9003, refleksije svjetla &gt;86%, apsorpcije zvuka aw = 1.00 i obložen sa stražnje strane prirodnim staklenim flisom. Veličina ploča 600x600 mm, debljina 20 mm, rubovi s pravokutnim presjekom prikladni za vrstu konstrukcije koja je predviđena, uzorak slaganja mreža bez izmicanja.
- potkonstrukcija od bojanog pocinčanog čeličnog lima i obojen bijelom mat bojom RAL 9003 - nosivi</t>
  </si>
  <si>
    <t>obodni L profili i uzdužni i poprečni T profili s bazom od 24 mm. Nosivi profil fiksiran na krov pomoću odgovarajućih čeličnih ankera, žica za vješanje minimalnog promjera D4 mm i čeličnih pocinčanih opruga, postavljen u rasponu 600x600 mm.
Metode ugradnje obavezno u skladu sa zahtjevima proizvođača. Pričvršćivanje na krov odgovarajućim nosačima za pričvršćivanje na valoviti metalni lim. Glavni profil postavljen okomito na prolaze sa središnjim razmakom 60 cm i maksimalnim rasponom žica za vješanje 60 cm (oka 60x60 cm). Okvir mora moći podnijeti točkasto opterećenje ≥7 kg u središnjem položaju između dvije točke ovjesa glavnog/sporednog profila.
U stavci uključen sav potreban spojni i montažni pribor, te pokretna radna skela.
Napomena: na pozicijama užadi brzopoteznih vrata i oko nape izvesti inox rozetu.
Obračun po m2.</t>
  </si>
  <si>
    <t>7.1.a.</t>
  </si>
  <si>
    <t>7.2.</t>
  </si>
  <si>
    <t xml:space="preserve">Spušteni strop sanitarnog prostora za kupce </t>
  </si>
  <si>
    <t>Dobava materijala i izrada spuštenog stropa sanitarnog prostora za kupce suhomontažnim sustavom od gipskartonskih ploča na metalnoj potkonstrukciji, kao Knauf D112.
Visina stropa 300 cm. Konstrukcijska visina stropa 120-230 cm.
Sustav se sastoji od:
_ potkonstrukcija, dvostruka, od pocinčanih čeličnih U i C profila.
- Obodni “U” profili 30x27x30 mm izolirani od obodnih konstrukcija.
- “C” profili 27x50x27 mm za primarnu strukturu s maksimalnim rasponom od 1000 mm pričvršćeni na ploču s podesivim opružnim kukama i žicama za vješanje ugrađeni s maksimalnim rasponom od 900 mm, a za sekundarnu strukturu pričvršćeni na primarnu s odgovarajućim spojnim kukama i ugrađeni s maksimalnim rasponom od 500 mm ako su poprečne, 400 mm ako su uzdužne.
- Potkonstrukcija se prekriva jednoslojnim</t>
  </si>
  <si>
    <t>obloženim gips pločama debljine 15 mm, certificiranim za sigurno i higijensko okruženje, klase reakcije na požar A2-s1-d0, pričvršćenim na metalni okvir samobušećim fosfatiranim vijcima. Vodoodbojne ploče za predprostor i wc-e.
- Zaštita rubova ljepljivom mrežicom, fugiranje fuga, rubova i glava vijaka kako bi se dobila površina spremna za završni nanos. Specifično brtvilo za fugiranje u slučaju vodoodbojnih ploča.
- Otvori za održavanje cm 80x80, broj i položaj po dogovoru sa Eurospinom.
U stavci uključeno bandažiranje i gletanje spojeva ploča u razini kvalitete Q2, sav potreban spojni i montažni pribor, te pokretna radna skela.
Obračun po m2.</t>
  </si>
  <si>
    <t>7.2.a.</t>
  </si>
  <si>
    <t>sanitarije - vlagootporne gips-kartonske ploče GKI</t>
  </si>
  <si>
    <t>7.3.</t>
  </si>
  <si>
    <t>Spušteni strop ulaznog vjetrobrana</t>
  </si>
  <si>
    <t>Dobava materijala i izrada protupožarnog spuštenog stropa ulaznog vjetrobrana suhomontažnim sustavom od gipsanih ploča na metalnoj potkonstrukciji. Visina stropa 335 cm. Konstrukcijska visina stropa 5-34 cm.
Izrada od masivnih gipsanih ploča za protupožarne sustave suhe gradnje kao Knauf masivnih ploča ili jednakovrijedno, postavljenih na potkonstrukciju u istoj razini koja se sastoji od CD 60/27 profila postavljenih na odgovarajućem rasponu i fiksirani na konstrukciju nadstrešnice.
- Obloga dvostrukim slojem DF masivnih gipsanih ploča za protupožarne sustave suhe gradnje, debljine 20 mm, klasa vatrootpornosti A2-s1-d0.
- Zaštita rubova ljepljivom mrežicom, fugiranje fuga, rubova i glava vijaka kako bi se dobila površina spremna za završni nanos. Specifično brtvilo za fugiranje u slučaju vodoodbojnih ploča.
NAPOMENA: paneli će biti unaprijed oblikovani za</t>
  </si>
  <si>
    <t>ugradnju rasvjetnih i ventilacijskih rešetki te spremni za bojanje.
U stavci uključeno bandažiranje i gletanje spojeva ploča u razini kvalitete Q2, sav potreban spojni i montažni pribor, te pokretna radna skela.
Obračun po m2.</t>
  </si>
  <si>
    <t>7.3.a.</t>
  </si>
  <si>
    <t>7.4.</t>
  </si>
  <si>
    <t>Protupožarna konzola za krov u sustavu s trapeznim limom</t>
  </si>
  <si>
    <t>Dobava materijala i izrada protupožarne konzole za krov u sustavu s trapeznim limom.
- Direktna obloga sa Knauf Fireboard-om
Obloga krova, visina ugradnje 4,80 - 5,50 m
Otpornost na požar HRN EN 13501-2: REI 90,
s postojećim krovnim trapeznim limom debljine 1,0 i 1,5 mm.
Podloga za pričvršćenje obloge: Trapezni lim, t = 1,0 mm, 1,5 mm.
Izvedba bez potkonstrukcije,
pričvršćeno direktno sa odgovarajućim pričvrsnim sredstvima.
Krovna/stropna obloga iz gipsanih ploča GM-F prema HRN EN 15283-1,
Razred reakcije na požar A1 prema HRN EN 13501-1,
ne gorivo, gipsana ploča sa staklenim voalom: Knauf Fireboard,
dvoslojno,
Debljina obloge 2×20 mm.
Obrada površine: Kvaliteta K2, standardna</t>
  </si>
  <si>
    <t>kvaliteta obrade
Duljina protupožarne konzole prema projektu i prikazu mjera zaštite od požara.
Izvedba prema tehničkom uputstvu K217.hr, ili jednakovrijedno
Sustav: Knauf sustav s trapeznim limom K217.hr, ili jednakovrijedno
U stavci uključen sav potreban spojni i montažni pribor, te pokretna radna skela.
Obračun po m2.</t>
  </si>
  <si>
    <t>7.4.a.</t>
  </si>
  <si>
    <t>duljina protupožarne konzole 1, 0 m
ugradnja duž protupožarnog zida između prodajnog prostora i skladišta</t>
  </si>
  <si>
    <t>7.4.b.</t>
  </si>
  <si>
    <t>duljina protupožarne konzole 5, 0 m
ugradnja na spoju krova novog dijela zgrade sa višim zidom postojećeg dijela zgrade</t>
  </si>
  <si>
    <t>7.5.</t>
  </si>
  <si>
    <t>Revizijski otvori u spuštenim stropovima</t>
  </si>
  <si>
    <t>7.5.a.</t>
  </si>
  <si>
    <t>Dobava materijala, transporti, izrada i ugradnja tipskih revizijskih otvora za ugradnju u gips-kartonske spuštene stropove. Revizijski otvori izrađeni od aluminijskih profila sa ispunom od adekvatnih GK ploča s obzirom na poziciju revizije i potrebni ovjesnim priborom odnosno okovom za otvaranje.
Revizijski otvori dimenzija 80x80 cm.
Obračun po komadu kompletno ugrađene revizije do pune gotovosti i  funkcionalnosti.</t>
  </si>
  <si>
    <t>SPUŠTENI STROPOVI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</si>
</sst>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4"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b/>
      <sz val="9"/>
      <color rgb="FFFF0000"/>
      <name val="Calibri"/>
      <family val="2"/>
      <charset val="238"/>
    </font>
    <font>
      <sz val="10"/>
      <color theme="1"/>
      <name val="Arial"/>
      <family val="2"/>
    </font>
    <font>
      <sz val="10"/>
      <name val="Arial"/>
      <family val="2"/>
    </font>
    <font>
      <sz val="10"/>
      <name val="Arial"/>
      <family val="2"/>
      <charset val="238"/>
    </font>
    <font>
      <sz val="9"/>
      <color rgb="FFFF0000"/>
      <name val="Calibri"/>
      <family val="2"/>
    </font>
    <font>
      <b/>
      <sz val="9"/>
      <color rgb="FF000000"/>
      <name val="Calibri"/>
      <family val="2"/>
      <charset val="238"/>
    </font>
    <font>
      <sz val="9"/>
      <color theme="9" tint="-0.249977111117893"/>
      <name val="Calibri"/>
      <family val="2"/>
    </font>
    <font>
      <b/>
      <sz val="10"/>
      <color rgb="FF000000"/>
      <name val="Calibri"/>
      <family val="2"/>
    </font>
  </fonts>
  <fills count="9">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rgb="FFF0F0F0"/>
      </patternFill>
    </fill>
    <fill>
      <patternFill patternType="solid">
        <fgColor theme="2" tint="-9.9978637043366805E-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applyBorder="0"/>
    <xf numFmtId="0" fontId="8" fillId="0" borderId="0"/>
  </cellStyleXfs>
  <cellXfs count="52">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2" fillId="0" borderId="0" xfId="0" applyFont="1" applyAlignment="1">
      <alignment wrapText="1"/>
    </xf>
    <xf numFmtId="0" fontId="2" fillId="0" borderId="0" xfId="0" applyFont="1" applyAlignment="1">
      <alignment vertical="top"/>
    </xf>
    <xf numFmtId="0" fontId="5" fillId="0" borderId="0" xfId="0" applyFont="1" applyAlignment="1">
      <alignment wrapText="1"/>
    </xf>
    <xf numFmtId="0" fontId="6" fillId="0" borderId="0" xfId="0" applyFont="1" applyAlignment="1">
      <alignment horizontal="center" vertical="center" wrapText="1"/>
    </xf>
    <xf numFmtId="0" fontId="2" fillId="0" borderId="0" xfId="0" applyFont="1" applyAlignment="1">
      <alignment horizontal="justify" wrapText="1"/>
    </xf>
    <xf numFmtId="4" fontId="2" fillId="0" borderId="0" xfId="0" applyNumberFormat="1" applyFont="1"/>
    <xf numFmtId="4" fontId="7" fillId="0" borderId="0" xfId="0" applyNumberFormat="1" applyFont="1" applyAlignment="1">
      <alignment horizontal="center"/>
    </xf>
    <xf numFmtId="4" fontId="9" fillId="0" borderId="0" xfId="1" applyNumberFormat="1" applyFont="1" applyProtection="1">
      <protection locked="0"/>
    </xf>
    <xf numFmtId="0" fontId="5" fillId="6" borderId="0" xfId="0" applyFont="1" applyFill="1"/>
    <xf numFmtId="0" fontId="10" fillId="0" borderId="0" xfId="0" applyFont="1" applyAlignment="1">
      <alignment wrapText="1"/>
    </xf>
    <xf numFmtId="164" fontId="5" fillId="6" borderId="0" xfId="0" applyNumberFormat="1" applyFont="1" applyFill="1"/>
    <xf numFmtId="0" fontId="2" fillId="0" borderId="0" xfId="0" applyFont="1" applyAlignment="1">
      <alignment horizontal="right"/>
    </xf>
    <xf numFmtId="164" fontId="2" fillId="0" borderId="0" xfId="0" applyNumberFormat="1" applyFont="1"/>
    <xf numFmtId="0" fontId="5" fillId="7" borderId="0" xfId="0" applyFont="1" applyFill="1"/>
    <xf numFmtId="164" fontId="5" fillId="7" borderId="0" xfId="0" applyNumberFormat="1" applyFont="1" applyFill="1"/>
    <xf numFmtId="4" fontId="5" fillId="3" borderId="0" xfId="0" applyNumberFormat="1" applyFont="1" applyFill="1"/>
    <xf numFmtId="4" fontId="5" fillId="4" borderId="0" xfId="0" applyNumberFormat="1" applyFont="1" applyFill="1" applyAlignment="1">
      <alignment horizontal="center" vertical="center" wrapText="1"/>
    </xf>
    <xf numFmtId="4" fontId="5" fillId="5" borderId="0" xfId="0" applyNumberFormat="1" applyFont="1" applyFill="1"/>
    <xf numFmtId="0" fontId="11" fillId="8" borderId="0" xfId="0" applyFont="1" applyFill="1" applyAlignment="1">
      <alignment wrapText="1"/>
    </xf>
    <xf numFmtId="4" fontId="11" fillId="8" borderId="1" xfId="0" applyNumberFormat="1" applyFont="1" applyFill="1" applyBorder="1"/>
    <xf numFmtId="0" fontId="12" fillId="0" borderId="0" xfId="0" applyFont="1" applyAlignment="1">
      <alignment wrapText="1"/>
    </xf>
    <xf numFmtId="164" fontId="5" fillId="3" borderId="0" xfId="0" applyNumberFormat="1" applyFont="1" applyFill="1"/>
    <xf numFmtId="164" fontId="13" fillId="8" borderId="1" xfId="0" applyNumberFormat="1" applyFont="1" applyFill="1" applyBorder="1"/>
    <xf numFmtId="0" fontId="1" fillId="0" borderId="0" xfId="0" applyFont="1"/>
    <xf numFmtId="0" fontId="2" fillId="0" borderId="0" xfId="0" applyFont="1"/>
    <xf numFmtId="0" fontId="5" fillId="6" borderId="0" xfId="0" applyFont="1" applyFill="1" applyAlignment="1">
      <alignment wrapText="1"/>
    </xf>
    <xf numFmtId="0" fontId="5" fillId="6" borderId="0" xfId="0" applyFont="1" applyFill="1" applyAlignment="1">
      <alignment horizontal="center"/>
    </xf>
    <xf numFmtId="0" fontId="5" fillId="6" borderId="0" xfId="0" applyFont="1" applyFill="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0" fontId="5" fillId="7" borderId="0" xfId="0" applyFont="1" applyFill="1" applyAlignment="1">
      <alignment wrapText="1"/>
    </xf>
    <xf numFmtId="0" fontId="5" fillId="7" borderId="0" xfId="0" applyFont="1" applyFill="1" applyAlignment="1">
      <alignment horizontal="center"/>
    </xf>
    <xf numFmtId="0" fontId="5" fillId="7" borderId="0" xfId="0" applyFont="1" applyFill="1"/>
  </cellXfs>
  <cellStyles count="2">
    <cellStyle name="Normal" xfId="0" builtinId="0"/>
    <cellStyle name="Normal 127" xfId="1" xr:uid="{FFA2B1FD-3F76-40F0-88B4-9C04B3E9D3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F40CD-211D-4E5C-87A4-677E7BAD9523}">
  <dimension ref="A2:B16"/>
  <sheetViews>
    <sheetView showZeros="0" view="pageBreakPreview" zoomScaleNormal="100" zoomScaleSheetLayoutView="100" workbookViewId="0">
      <selection activeCell="B35" sqref="B35"/>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38" t="s">
        <v>0</v>
      </c>
      <c r="B2" s="39"/>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F3E5-D552-4197-9217-C85145DF4822}">
  <sheetPr>
    <pageSetUpPr fitToPage="1"/>
  </sheetPr>
  <dimension ref="A2:C58"/>
  <sheetViews>
    <sheetView showZeros="0" view="pageBreakPreview" topLeftCell="A5" zoomScale="60" zoomScaleNormal="100" workbookViewId="0">
      <selection activeCell="B35" sqref="B35"/>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5" t="s">
        <v>0</v>
      </c>
      <c r="C2" s="5"/>
    </row>
    <row r="4" spans="1:3" ht="18.75" x14ac:dyDescent="0.3">
      <c r="A4" s="5"/>
      <c r="B4" s="5" t="s">
        <v>27</v>
      </c>
      <c r="C4" s="5"/>
    </row>
    <row r="6" spans="1:3" ht="324" x14ac:dyDescent="0.2">
      <c r="B6" s="6" t="s">
        <v>28</v>
      </c>
    </row>
    <row r="7" spans="1:3" ht="312" x14ac:dyDescent="0.2">
      <c r="B7" s="6" t="s">
        <v>29</v>
      </c>
    </row>
    <row r="8" spans="1:3" ht="300.75" customHeight="1" x14ac:dyDescent="0.2">
      <c r="B8" s="6" t="s">
        <v>30</v>
      </c>
    </row>
    <row r="9" spans="1:3" ht="312" x14ac:dyDescent="0.2">
      <c r="B9" s="6" t="s">
        <v>31</v>
      </c>
    </row>
    <row r="10" spans="1:3" ht="280.5" customHeight="1" x14ac:dyDescent="0.2">
      <c r="B10" s="6" t="s">
        <v>32</v>
      </c>
    </row>
    <row r="11" spans="1:3" ht="276" x14ac:dyDescent="0.2">
      <c r="B11" s="6" t="s">
        <v>33</v>
      </c>
    </row>
    <row r="12" spans="1:3" ht="288" x14ac:dyDescent="0.2">
      <c r="B12" s="6" t="s">
        <v>34</v>
      </c>
    </row>
    <row r="13" spans="1:3" ht="264" x14ac:dyDescent="0.2">
      <c r="B13" s="6" t="s">
        <v>35</v>
      </c>
    </row>
    <row r="14" spans="1:3" ht="276" x14ac:dyDescent="0.2">
      <c r="B14" s="6" t="s">
        <v>36</v>
      </c>
    </row>
    <row r="15" spans="1:3" ht="288" x14ac:dyDescent="0.2">
      <c r="B15" s="6" t="s">
        <v>37</v>
      </c>
    </row>
    <row r="16" spans="1:3" ht="252" x14ac:dyDescent="0.2">
      <c r="B16" s="6" t="s">
        <v>38</v>
      </c>
    </row>
    <row r="17" spans="2:2" ht="228" x14ac:dyDescent="0.2">
      <c r="B17" s="6" t="s">
        <v>39</v>
      </c>
    </row>
    <row r="18" spans="2:2" ht="348" x14ac:dyDescent="0.2">
      <c r="B18" s="6" t="s">
        <v>40</v>
      </c>
    </row>
    <row r="19" spans="2:2" ht="237" customHeight="1" x14ac:dyDescent="0.2">
      <c r="B19" s="6" t="s">
        <v>41</v>
      </c>
    </row>
    <row r="20" spans="2:2" ht="240.75" customHeight="1" x14ac:dyDescent="0.2">
      <c r="B20" s="6" t="s">
        <v>42</v>
      </c>
    </row>
    <row r="21" spans="2:2" ht="276" x14ac:dyDescent="0.2">
      <c r="B21" s="6" t="s">
        <v>43</v>
      </c>
    </row>
    <row r="22" spans="2:2" ht="264" x14ac:dyDescent="0.2">
      <c r="B22" s="6" t="s">
        <v>44</v>
      </c>
    </row>
    <row r="23" spans="2:2" ht="264.75" customHeight="1" x14ac:dyDescent="0.2">
      <c r="B23" s="6" t="s">
        <v>45</v>
      </c>
    </row>
    <row r="24" spans="2:2" ht="276" x14ac:dyDescent="0.2">
      <c r="B24" s="6" t="s">
        <v>46</v>
      </c>
    </row>
    <row r="25" spans="2:2" ht="288" x14ac:dyDescent="0.2">
      <c r="B25" s="6" t="s">
        <v>47</v>
      </c>
    </row>
    <row r="26" spans="2:2" ht="253.5" customHeight="1" x14ac:dyDescent="0.2">
      <c r="B26" s="6" t="s">
        <v>48</v>
      </c>
    </row>
    <row r="27" spans="2:2" ht="270.75" customHeight="1" x14ac:dyDescent="0.2">
      <c r="B27" s="6" t="s">
        <v>49</v>
      </c>
    </row>
    <row r="28" spans="2:2" ht="276" x14ac:dyDescent="0.2">
      <c r="B28" s="6" t="s">
        <v>50</v>
      </c>
    </row>
    <row r="29" spans="2:2" ht="300" x14ac:dyDescent="0.2">
      <c r="B29" s="6" t="s">
        <v>51</v>
      </c>
    </row>
    <row r="30" spans="2:2" ht="276" x14ac:dyDescent="0.2">
      <c r="B30" s="6" t="s">
        <v>52</v>
      </c>
    </row>
    <row r="31" spans="2:2" ht="255.75" customHeight="1" x14ac:dyDescent="0.2">
      <c r="B31" s="6" t="s">
        <v>53</v>
      </c>
    </row>
    <row r="32" spans="2:2" ht="264" x14ac:dyDescent="0.2">
      <c r="B32" s="6" t="s">
        <v>54</v>
      </c>
    </row>
    <row r="33" spans="2:2" ht="259.5" customHeight="1" x14ac:dyDescent="0.2">
      <c r="B33" s="6" t="s">
        <v>55</v>
      </c>
    </row>
    <row r="34" spans="2:2" ht="264.75" customHeight="1" x14ac:dyDescent="0.2">
      <c r="B34" s="6" t="s">
        <v>56</v>
      </c>
    </row>
    <row r="35" spans="2:2" ht="245.25" customHeight="1" x14ac:dyDescent="0.2">
      <c r="B35" s="6" t="s">
        <v>57</v>
      </c>
    </row>
    <row r="36" spans="2:2" ht="252" x14ac:dyDescent="0.2">
      <c r="B36" s="6" t="s">
        <v>58</v>
      </c>
    </row>
    <row r="37" spans="2:2" ht="252" x14ac:dyDescent="0.2">
      <c r="B37" s="6" t="s">
        <v>59</v>
      </c>
    </row>
    <row r="38" spans="2:2" ht="252" customHeight="1" x14ac:dyDescent="0.2">
      <c r="B38" s="6" t="s">
        <v>60</v>
      </c>
    </row>
    <row r="39" spans="2:2" ht="252" x14ac:dyDescent="0.2">
      <c r="B39" s="6" t="s">
        <v>61</v>
      </c>
    </row>
    <row r="40" spans="2:2" ht="273.75" customHeight="1" x14ac:dyDescent="0.2">
      <c r="B40" s="6" t="s">
        <v>62</v>
      </c>
    </row>
    <row r="41" spans="2:2" ht="324" x14ac:dyDescent="0.2">
      <c r="B41" s="6" t="s">
        <v>63</v>
      </c>
    </row>
    <row r="42" spans="2:2" ht="264" x14ac:dyDescent="0.2">
      <c r="B42" s="6" t="s">
        <v>64</v>
      </c>
    </row>
    <row r="43" spans="2:2" ht="252" x14ac:dyDescent="0.2">
      <c r="B43" s="6" t="s">
        <v>65</v>
      </c>
    </row>
    <row r="44" spans="2:2" ht="264" x14ac:dyDescent="0.2">
      <c r="B44" s="6" t="s">
        <v>66</v>
      </c>
    </row>
    <row r="45" spans="2:2" ht="240" x14ac:dyDescent="0.2">
      <c r="B45" s="6" t="s">
        <v>67</v>
      </c>
    </row>
    <row r="46" spans="2:2" ht="264" x14ac:dyDescent="0.2">
      <c r="B46" s="6" t="s">
        <v>68</v>
      </c>
    </row>
    <row r="47" spans="2:2" ht="252" x14ac:dyDescent="0.2">
      <c r="B47" s="6" t="s">
        <v>69</v>
      </c>
    </row>
    <row r="48" spans="2:2" ht="288" x14ac:dyDescent="0.2">
      <c r="B48" s="6" t="s">
        <v>70</v>
      </c>
    </row>
    <row r="49" spans="2:2" ht="276" x14ac:dyDescent="0.2">
      <c r="B49" s="6" t="s">
        <v>71</v>
      </c>
    </row>
    <row r="50" spans="2:2" ht="288" x14ac:dyDescent="0.2">
      <c r="B50" s="6" t="s">
        <v>72</v>
      </c>
    </row>
    <row r="51" spans="2:2" ht="252" x14ac:dyDescent="0.2">
      <c r="B51" s="6" t="s">
        <v>73</v>
      </c>
    </row>
    <row r="52" spans="2:2" ht="288" x14ac:dyDescent="0.2">
      <c r="B52" s="6" t="s">
        <v>74</v>
      </c>
    </row>
    <row r="53" spans="2:2" ht="288" x14ac:dyDescent="0.2">
      <c r="B53" s="6" t="s">
        <v>75</v>
      </c>
    </row>
    <row r="54" spans="2:2" ht="324" x14ac:dyDescent="0.2">
      <c r="B54" s="6" t="s">
        <v>76</v>
      </c>
    </row>
    <row r="55" spans="2:2" ht="288" x14ac:dyDescent="0.2">
      <c r="B55" s="6" t="s">
        <v>77</v>
      </c>
    </row>
    <row r="56" spans="2:2" ht="256.5" customHeight="1" x14ac:dyDescent="0.2">
      <c r="B56" s="6" t="s">
        <v>78</v>
      </c>
    </row>
    <row r="57" spans="2:2" ht="252.75" customHeight="1" x14ac:dyDescent="0.2">
      <c r="B57" s="6" t="s">
        <v>79</v>
      </c>
    </row>
    <row r="58" spans="2:2" ht="96" x14ac:dyDescent="0.2">
      <c r="B58" s="6" t="s">
        <v>80</v>
      </c>
    </row>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C489-A167-4A81-A200-CCC41A7C37CC}">
  <sheetPr>
    <pageSetUpPr fitToPage="1"/>
  </sheetPr>
  <dimension ref="A4:G197"/>
  <sheetViews>
    <sheetView view="pageBreakPreview" topLeftCell="A175" zoomScaleNormal="100" zoomScaleSheetLayoutView="100" workbookViewId="0">
      <selection activeCell="F223" sqref="F223"/>
    </sheetView>
  </sheetViews>
  <sheetFormatPr defaultColWidth="9.140625" defaultRowHeight="12" x14ac:dyDescent="0.2"/>
  <cols>
    <col min="1" max="1" width="9.7109375" style="1" customWidth="1"/>
    <col min="2" max="2" width="37.7109375" style="15" customWidth="1"/>
    <col min="3" max="3" width="7.7109375" style="10" customWidth="1"/>
    <col min="4" max="4" width="10.7109375" style="1" customWidth="1"/>
    <col min="5" max="5" width="10.7109375" style="20" customWidth="1"/>
    <col min="6" max="6" width="12.7109375" style="1" customWidth="1"/>
    <col min="7" max="7" width="18.28515625" style="1" customWidth="1"/>
    <col min="8" max="16384" width="9.140625" style="1"/>
  </cols>
  <sheetData>
    <row r="4" spans="1:6" x14ac:dyDescent="0.2">
      <c r="A4" s="7" t="s">
        <v>81</v>
      </c>
      <c r="B4" s="43" t="s">
        <v>82</v>
      </c>
      <c r="C4" s="44"/>
      <c r="D4" s="45"/>
      <c r="E4" s="45"/>
      <c r="F4" s="45"/>
    </row>
    <row r="6" spans="1:6" x14ac:dyDescent="0.2">
      <c r="A6" s="7"/>
      <c r="B6" s="8" t="s">
        <v>27</v>
      </c>
      <c r="C6" s="9"/>
      <c r="D6" s="7"/>
      <c r="E6" s="30"/>
      <c r="F6" s="7"/>
    </row>
    <row r="8" spans="1:6" ht="264" x14ac:dyDescent="0.2">
      <c r="B8" s="6" t="s">
        <v>83</v>
      </c>
    </row>
    <row r="9" spans="1:6" ht="264" x14ac:dyDescent="0.2">
      <c r="B9" s="6" t="s">
        <v>84</v>
      </c>
    </row>
    <row r="10" spans="1:6" ht="252" x14ac:dyDescent="0.2">
      <c r="B10" s="6" t="s">
        <v>85</v>
      </c>
    </row>
    <row r="11" spans="1:6" ht="276" x14ac:dyDescent="0.2">
      <c r="B11" s="6" t="s">
        <v>86</v>
      </c>
    </row>
    <row r="12" spans="1:6" ht="252" x14ac:dyDescent="0.2">
      <c r="B12" s="6" t="s">
        <v>87</v>
      </c>
    </row>
    <row r="13" spans="1:6" ht="264" x14ac:dyDescent="0.2">
      <c r="B13" s="6" t="s">
        <v>88</v>
      </c>
    </row>
    <row r="14" spans="1:6" ht="276" x14ac:dyDescent="0.2">
      <c r="B14" s="6" t="s">
        <v>89</v>
      </c>
    </row>
    <row r="15" spans="1:6" ht="252" x14ac:dyDescent="0.2">
      <c r="B15" s="6" t="s">
        <v>90</v>
      </c>
    </row>
    <row r="16" spans="1:6" ht="96" x14ac:dyDescent="0.2">
      <c r="B16" s="6" t="s">
        <v>91</v>
      </c>
    </row>
    <row r="18" spans="1:6" ht="24" x14ac:dyDescent="0.2">
      <c r="A18" s="11" t="s">
        <v>92</v>
      </c>
      <c r="B18" s="11" t="s">
        <v>93</v>
      </c>
      <c r="C18" s="11" t="s">
        <v>94</v>
      </c>
      <c r="D18" s="11" t="s">
        <v>95</v>
      </c>
      <c r="E18" s="31" t="s">
        <v>96</v>
      </c>
      <c r="F18" s="11" t="s">
        <v>97</v>
      </c>
    </row>
    <row r="20" spans="1:6" x14ac:dyDescent="0.2">
      <c r="A20" s="12" t="s">
        <v>98</v>
      </c>
      <c r="B20" s="46" t="s">
        <v>99</v>
      </c>
      <c r="C20" s="47"/>
      <c r="D20" s="48"/>
      <c r="E20" s="48"/>
      <c r="F20" s="48"/>
    </row>
    <row r="22" spans="1:6" x14ac:dyDescent="0.2">
      <c r="A22" s="12"/>
      <c r="B22" s="13" t="s">
        <v>27</v>
      </c>
      <c r="C22" s="14"/>
      <c r="D22" s="12"/>
      <c r="E22" s="32"/>
      <c r="F22" s="12"/>
    </row>
    <row r="24" spans="1:6" ht="36" x14ac:dyDescent="0.2">
      <c r="B24" s="6" t="s">
        <v>100</v>
      </c>
    </row>
    <row r="28" spans="1:6" x14ac:dyDescent="0.2">
      <c r="A28" s="12" t="s">
        <v>101</v>
      </c>
      <c r="B28" s="46" t="s">
        <v>102</v>
      </c>
      <c r="C28" s="47"/>
      <c r="D28" s="48"/>
      <c r="E28" s="48"/>
      <c r="F28" s="48"/>
    </row>
    <row r="30" spans="1:6" x14ac:dyDescent="0.2">
      <c r="A30" s="12"/>
      <c r="B30" s="13" t="s">
        <v>27</v>
      </c>
      <c r="C30" s="14"/>
      <c r="D30" s="12"/>
      <c r="E30" s="32"/>
      <c r="F30" s="12"/>
    </row>
    <row r="32" spans="1:6" ht="72" x14ac:dyDescent="0.2">
      <c r="B32" s="6" t="s">
        <v>103</v>
      </c>
    </row>
    <row r="34" spans="1:7" ht="24" x14ac:dyDescent="0.2">
      <c r="A34" s="16" t="s">
        <v>104</v>
      </c>
      <c r="B34" s="17" t="s">
        <v>105</v>
      </c>
    </row>
    <row r="35" spans="1:7" ht="252" x14ac:dyDescent="0.2">
      <c r="B35" s="6" t="s">
        <v>106</v>
      </c>
    </row>
    <row r="36" spans="1:7" ht="252" x14ac:dyDescent="0.2">
      <c r="B36" s="6" t="s">
        <v>107</v>
      </c>
      <c r="G36" s="18"/>
    </row>
    <row r="37" spans="1:7" ht="12.75" x14ac:dyDescent="0.2">
      <c r="A37" s="1" t="s">
        <v>108</v>
      </c>
      <c r="B37" s="19" t="s">
        <v>109</v>
      </c>
      <c r="C37" s="10" t="s">
        <v>110</v>
      </c>
      <c r="D37" s="20">
        <v>185.33</v>
      </c>
      <c r="E37" s="21">
        <v>53</v>
      </c>
      <c r="F37" s="21">
        <f>IF(OR(OR(E37=0,E37=""),OR(D37=0,D37="")),"",$D37*E37)</f>
        <v>9822.49</v>
      </c>
      <c r="G37" s="22"/>
    </row>
    <row r="39" spans="1:7" x14ac:dyDescent="0.2">
      <c r="A39" s="23" t="s">
        <v>111</v>
      </c>
      <c r="B39" s="40" t="s">
        <v>112</v>
      </c>
      <c r="C39" s="41"/>
      <c r="D39" s="42"/>
      <c r="E39" s="42"/>
      <c r="F39" s="42"/>
    </row>
    <row r="41" spans="1:7" ht="24" x14ac:dyDescent="0.2">
      <c r="A41" s="16" t="s">
        <v>113</v>
      </c>
      <c r="B41" s="17" t="s">
        <v>114</v>
      </c>
    </row>
    <row r="42" spans="1:7" ht="288" x14ac:dyDescent="0.2">
      <c r="B42" s="6" t="s">
        <v>115</v>
      </c>
    </row>
    <row r="43" spans="1:7" ht="192" x14ac:dyDescent="0.2">
      <c r="B43" s="6" t="s">
        <v>116</v>
      </c>
      <c r="G43" s="24"/>
    </row>
    <row r="44" spans="1:7" ht="12.75" x14ac:dyDescent="0.2">
      <c r="A44" s="1" t="s">
        <v>117</v>
      </c>
      <c r="B44" s="19" t="s">
        <v>118</v>
      </c>
      <c r="C44" s="10" t="s">
        <v>110</v>
      </c>
      <c r="D44" s="20">
        <v>73.23</v>
      </c>
      <c r="E44" s="21">
        <v>45</v>
      </c>
      <c r="F44" s="21">
        <f>IF(OR(OR(E44=0,E44=""),OR(D44=0,D44="")),"",$D44*E44)</f>
        <v>3295.3500000000004</v>
      </c>
      <c r="G44" s="22"/>
    </row>
    <row r="46" spans="1:7" ht="24" x14ac:dyDescent="0.2">
      <c r="A46" s="16" t="s">
        <v>119</v>
      </c>
      <c r="B46" s="17" t="s">
        <v>120</v>
      </c>
    </row>
    <row r="47" spans="1:7" ht="276" x14ac:dyDescent="0.2">
      <c r="B47" s="6" t="s">
        <v>121</v>
      </c>
    </row>
    <row r="48" spans="1:7" ht="192" x14ac:dyDescent="0.2">
      <c r="B48" s="6" t="s">
        <v>122</v>
      </c>
      <c r="G48" s="24"/>
    </row>
    <row r="49" spans="1:7" ht="12.75" x14ac:dyDescent="0.2">
      <c r="A49" s="1" t="s">
        <v>123</v>
      </c>
      <c r="B49" s="19" t="s">
        <v>124</v>
      </c>
      <c r="C49" s="10" t="s">
        <v>110</v>
      </c>
      <c r="D49" s="20">
        <v>63.11</v>
      </c>
      <c r="E49" s="21">
        <v>41</v>
      </c>
      <c r="F49" s="21">
        <f>IF(OR(OR(E49=0,E49=""),OR(D49=0,D49="")),"",$D49*E49)</f>
        <v>2587.5099999999998</v>
      </c>
      <c r="G49" s="22"/>
    </row>
    <row r="51" spans="1:7" ht="24" x14ac:dyDescent="0.2">
      <c r="A51" s="16" t="s">
        <v>125</v>
      </c>
      <c r="B51" s="17" t="s">
        <v>126</v>
      </c>
    </row>
    <row r="52" spans="1:7" ht="276" x14ac:dyDescent="0.2">
      <c r="B52" s="6" t="s">
        <v>127</v>
      </c>
      <c r="G52" s="24"/>
    </row>
    <row r="53" spans="1:7" ht="180" x14ac:dyDescent="0.2">
      <c r="B53" s="6" t="s">
        <v>128</v>
      </c>
    </row>
    <row r="54" spans="1:7" ht="12.75" x14ac:dyDescent="0.2">
      <c r="A54" s="1" t="s">
        <v>129</v>
      </c>
      <c r="B54" s="19" t="s">
        <v>118</v>
      </c>
      <c r="C54" s="10" t="s">
        <v>110</v>
      </c>
      <c r="D54" s="20">
        <v>33.159999999999997</v>
      </c>
      <c r="E54" s="21">
        <v>41</v>
      </c>
      <c r="F54" s="21">
        <f>IF(OR(OR(E54=0,E54=""),OR(D54=0,D54="")),"",$D54*E54)</f>
        <v>1359.56</v>
      </c>
      <c r="G54" s="22"/>
    </row>
    <row r="56" spans="1:7" x14ac:dyDescent="0.2">
      <c r="A56" s="23" t="s">
        <v>111</v>
      </c>
      <c r="B56" s="40" t="s">
        <v>130</v>
      </c>
      <c r="C56" s="41"/>
      <c r="D56" s="42"/>
      <c r="E56" s="42"/>
      <c r="F56" s="25">
        <f>SUM(F44,F49,F54)</f>
        <v>7242.42</v>
      </c>
      <c r="G56" s="25"/>
    </row>
    <row r="58" spans="1:7" x14ac:dyDescent="0.2">
      <c r="A58" s="23" t="s">
        <v>131</v>
      </c>
      <c r="B58" s="40" t="s">
        <v>132</v>
      </c>
      <c r="C58" s="41"/>
      <c r="D58" s="42"/>
      <c r="E58" s="42"/>
      <c r="F58" s="42"/>
    </row>
    <row r="60" spans="1:7" ht="48" x14ac:dyDescent="0.2">
      <c r="A60" s="16" t="s">
        <v>133</v>
      </c>
      <c r="B60" s="17" t="s">
        <v>134</v>
      </c>
    </row>
    <row r="61" spans="1:7" ht="252" x14ac:dyDescent="0.2">
      <c r="B61" s="6" t="s">
        <v>135</v>
      </c>
    </row>
    <row r="62" spans="1:7" ht="288" x14ac:dyDescent="0.2">
      <c r="B62" s="6" t="s">
        <v>136</v>
      </c>
      <c r="G62" s="24"/>
    </row>
    <row r="63" spans="1:7" ht="48" x14ac:dyDescent="0.2">
      <c r="B63" s="6" t="s">
        <v>137</v>
      </c>
    </row>
    <row r="64" spans="1:7" ht="12.75" x14ac:dyDescent="0.2">
      <c r="A64" s="1" t="s">
        <v>138</v>
      </c>
      <c r="B64" s="19" t="s">
        <v>124</v>
      </c>
      <c r="C64" s="10" t="s">
        <v>110</v>
      </c>
      <c r="D64" s="20">
        <v>51.62</v>
      </c>
      <c r="E64" s="21">
        <v>42</v>
      </c>
      <c r="F64" s="21">
        <f>IF(OR(OR(E64=0,E64=""),OR(D64=0,D64="")),"",$D64*E64)</f>
        <v>2168.04</v>
      </c>
      <c r="G64" s="22"/>
    </row>
    <row r="66" spans="1:7" ht="36" x14ac:dyDescent="0.2">
      <c r="A66" s="16" t="s">
        <v>139</v>
      </c>
      <c r="B66" s="17" t="s">
        <v>140</v>
      </c>
    </row>
    <row r="67" spans="1:7" ht="264" x14ac:dyDescent="0.2">
      <c r="B67" s="6" t="s">
        <v>141</v>
      </c>
    </row>
    <row r="68" spans="1:7" ht="276" x14ac:dyDescent="0.2">
      <c r="B68" s="6" t="s">
        <v>142</v>
      </c>
      <c r="G68" s="24"/>
    </row>
    <row r="69" spans="1:7" ht="36" x14ac:dyDescent="0.2">
      <c r="B69" s="6" t="s">
        <v>143</v>
      </c>
    </row>
    <row r="70" spans="1:7" ht="12.75" x14ac:dyDescent="0.2">
      <c r="A70" s="1" t="s">
        <v>144</v>
      </c>
      <c r="B70" s="19" t="s">
        <v>124</v>
      </c>
      <c r="C70" s="10" t="s">
        <v>110</v>
      </c>
      <c r="D70" s="20">
        <v>27.97</v>
      </c>
      <c r="E70" s="21">
        <v>42</v>
      </c>
      <c r="F70" s="21">
        <f>IF(OR(OR(E70=0,E70=""),OR(D70=0,D70="")),"",$D70*E70)</f>
        <v>1174.74</v>
      </c>
      <c r="G70" s="22"/>
    </row>
    <row r="72" spans="1:7" x14ac:dyDescent="0.2">
      <c r="A72" s="23" t="s">
        <v>131</v>
      </c>
      <c r="B72" s="40" t="s">
        <v>145</v>
      </c>
      <c r="C72" s="41"/>
      <c r="D72" s="42"/>
      <c r="E72" s="42"/>
      <c r="F72" s="25">
        <f>SUM(F64,F70)</f>
        <v>3342.7799999999997</v>
      </c>
      <c r="G72" s="25"/>
    </row>
    <row r="74" spans="1:7" x14ac:dyDescent="0.2">
      <c r="A74" s="23" t="s">
        <v>146</v>
      </c>
      <c r="B74" s="40" t="s">
        <v>147</v>
      </c>
      <c r="C74" s="41"/>
      <c r="D74" s="42"/>
      <c r="E74" s="42"/>
      <c r="F74" s="42"/>
    </row>
    <row r="76" spans="1:7" ht="36" x14ac:dyDescent="0.2">
      <c r="A76" s="16" t="s">
        <v>148</v>
      </c>
      <c r="B76" s="17" t="s">
        <v>149</v>
      </c>
    </row>
    <row r="77" spans="1:7" ht="276" x14ac:dyDescent="0.2">
      <c r="B77" s="6" t="s">
        <v>150</v>
      </c>
    </row>
    <row r="78" spans="1:7" ht="108" x14ac:dyDescent="0.2">
      <c r="B78" s="6" t="s">
        <v>151</v>
      </c>
      <c r="G78" s="24"/>
    </row>
    <row r="79" spans="1:7" ht="12.75" x14ac:dyDescent="0.2">
      <c r="A79" s="1" t="s">
        <v>152</v>
      </c>
      <c r="B79" s="19" t="s">
        <v>124</v>
      </c>
      <c r="C79" s="10" t="s">
        <v>110</v>
      </c>
      <c r="D79" s="20">
        <v>24.84</v>
      </c>
      <c r="E79" s="21">
        <v>38</v>
      </c>
      <c r="F79" s="21">
        <f>IF(OR(OR(E79=0,E79=""),OR(D79=0,D79="")),"",$D79*E79)</f>
        <v>943.92</v>
      </c>
      <c r="G79" s="22"/>
    </row>
    <row r="81" spans="1:7" x14ac:dyDescent="0.2">
      <c r="A81" s="16" t="s">
        <v>153</v>
      </c>
      <c r="B81" s="17" t="s">
        <v>154</v>
      </c>
    </row>
    <row r="82" spans="1:7" ht="288" x14ac:dyDescent="0.2">
      <c r="B82" s="6" t="s">
        <v>155</v>
      </c>
    </row>
    <row r="83" spans="1:7" ht="120" x14ac:dyDescent="0.2">
      <c r="B83" s="6" t="s">
        <v>156</v>
      </c>
      <c r="G83" s="24"/>
    </row>
    <row r="84" spans="1:7" ht="12.75" x14ac:dyDescent="0.2">
      <c r="A84" s="1" t="s">
        <v>157</v>
      </c>
      <c r="B84" s="19" t="s">
        <v>118</v>
      </c>
      <c r="C84" s="10" t="s">
        <v>110</v>
      </c>
      <c r="D84" s="20">
        <v>24.2</v>
      </c>
      <c r="E84" s="21">
        <v>38</v>
      </c>
      <c r="F84" s="21">
        <f>IF(OR(OR(E84=0,E84=""),OR(D84=0,D84="")),"",$D84*E84)</f>
        <v>919.6</v>
      </c>
      <c r="G84" s="22"/>
    </row>
    <row r="86" spans="1:7" x14ac:dyDescent="0.2">
      <c r="A86" s="16" t="s">
        <v>158</v>
      </c>
      <c r="B86" s="17" t="s">
        <v>159</v>
      </c>
    </row>
    <row r="87" spans="1:7" ht="276" x14ac:dyDescent="0.2">
      <c r="B87" s="6" t="s">
        <v>160</v>
      </c>
    </row>
    <row r="88" spans="1:7" ht="156" x14ac:dyDescent="0.2">
      <c r="B88" s="6" t="s">
        <v>161</v>
      </c>
      <c r="G88" s="24"/>
    </row>
    <row r="89" spans="1:7" ht="12.75" x14ac:dyDescent="0.2">
      <c r="A89" s="1" t="s">
        <v>162</v>
      </c>
      <c r="B89" s="19" t="s">
        <v>118</v>
      </c>
      <c r="C89" s="10" t="s">
        <v>110</v>
      </c>
      <c r="D89" s="20">
        <v>47.72</v>
      </c>
      <c r="E89" s="21">
        <v>36</v>
      </c>
      <c r="F89" s="21">
        <f>IF(OR(OR(E89=0,E89=""),OR(D89=0,D89="")),"",$D89*E89)</f>
        <v>1717.92</v>
      </c>
      <c r="G89" s="22"/>
    </row>
    <row r="91" spans="1:7" x14ac:dyDescent="0.2">
      <c r="A91" s="16" t="s">
        <v>163</v>
      </c>
      <c r="B91" s="17" t="s">
        <v>164</v>
      </c>
    </row>
    <row r="92" spans="1:7" ht="276" x14ac:dyDescent="0.2">
      <c r="B92" s="6" t="s">
        <v>165</v>
      </c>
    </row>
    <row r="93" spans="1:7" ht="120" x14ac:dyDescent="0.2">
      <c r="B93" s="6" t="s">
        <v>156</v>
      </c>
      <c r="G93" s="24"/>
    </row>
    <row r="94" spans="1:7" ht="12.75" x14ac:dyDescent="0.2">
      <c r="A94" s="1" t="s">
        <v>166</v>
      </c>
      <c r="B94" s="19" t="s">
        <v>118</v>
      </c>
      <c r="C94" s="10" t="s">
        <v>110</v>
      </c>
      <c r="D94" s="20">
        <v>15.21</v>
      </c>
      <c r="E94" s="21">
        <v>38</v>
      </c>
      <c r="F94" s="21">
        <f>IF(OR(OR(E94=0,E94=""),OR(D94=0,D94="")),"",$D94*E94)</f>
        <v>577.98</v>
      </c>
      <c r="G94" s="22"/>
    </row>
    <row r="96" spans="1:7" ht="24" x14ac:dyDescent="0.2">
      <c r="A96" s="16" t="s">
        <v>167</v>
      </c>
      <c r="B96" s="17" t="s">
        <v>168</v>
      </c>
    </row>
    <row r="97" spans="1:7" ht="276" x14ac:dyDescent="0.2">
      <c r="B97" s="6" t="s">
        <v>169</v>
      </c>
    </row>
    <row r="98" spans="1:7" ht="120" x14ac:dyDescent="0.2">
      <c r="B98" s="6" t="s">
        <v>156</v>
      </c>
      <c r="G98" s="24"/>
    </row>
    <row r="99" spans="1:7" ht="12.75" x14ac:dyDescent="0.2">
      <c r="A99" s="1" t="s">
        <v>170</v>
      </c>
      <c r="B99" s="19" t="s">
        <v>118</v>
      </c>
      <c r="C99" s="10" t="s">
        <v>110</v>
      </c>
      <c r="D99" s="20">
        <v>24</v>
      </c>
      <c r="E99" s="21">
        <v>38</v>
      </c>
      <c r="F99" s="21">
        <f>IF(OR(OR(E99=0,E99=""),OR(D99=0,D99="")),"",$D99*E99)</f>
        <v>912</v>
      </c>
      <c r="G99" s="22"/>
    </row>
    <row r="101" spans="1:7" ht="24" x14ac:dyDescent="0.2">
      <c r="A101" s="16" t="s">
        <v>171</v>
      </c>
      <c r="B101" s="17" t="s">
        <v>172</v>
      </c>
    </row>
    <row r="102" spans="1:7" ht="276" x14ac:dyDescent="0.2">
      <c r="B102" s="6" t="s">
        <v>173</v>
      </c>
    </row>
    <row r="103" spans="1:7" ht="144" x14ac:dyDescent="0.2">
      <c r="B103" s="6" t="s">
        <v>174</v>
      </c>
      <c r="G103" s="24"/>
    </row>
    <row r="104" spans="1:7" ht="12.75" x14ac:dyDescent="0.2">
      <c r="A104" s="1" t="s">
        <v>175</v>
      </c>
      <c r="B104" s="19" t="s">
        <v>118</v>
      </c>
      <c r="C104" s="10" t="s">
        <v>110</v>
      </c>
      <c r="D104" s="20">
        <v>10.92</v>
      </c>
      <c r="E104" s="21">
        <v>38</v>
      </c>
      <c r="F104" s="21">
        <f>IF(OR(OR(E104=0,E104=""),OR(D104=0,D104="")),"",$D104*E104)</f>
        <v>414.96</v>
      </c>
      <c r="G104" s="22"/>
    </row>
    <row r="106" spans="1:7" x14ac:dyDescent="0.2">
      <c r="A106" s="23" t="s">
        <v>146</v>
      </c>
      <c r="B106" s="40" t="s">
        <v>176</v>
      </c>
      <c r="C106" s="41"/>
      <c r="D106" s="42"/>
      <c r="E106" s="42"/>
      <c r="F106" s="25">
        <f>SUM(F79,F84,F89,F94,F99,F104)</f>
        <v>5486.38</v>
      </c>
      <c r="G106" s="25"/>
    </row>
    <row r="108" spans="1:7" ht="48" x14ac:dyDescent="0.2">
      <c r="A108" s="16" t="s">
        <v>177</v>
      </c>
      <c r="B108" s="17" t="s">
        <v>178</v>
      </c>
    </row>
    <row r="109" spans="1:7" ht="264" x14ac:dyDescent="0.2">
      <c r="B109" s="6" t="s">
        <v>179</v>
      </c>
    </row>
    <row r="110" spans="1:7" ht="240" x14ac:dyDescent="0.2">
      <c r="B110" s="6" t="s">
        <v>180</v>
      </c>
    </row>
    <row r="111" spans="1:7" ht="12.75" x14ac:dyDescent="0.2">
      <c r="A111" s="1" t="s">
        <v>181</v>
      </c>
      <c r="B111" s="19" t="s">
        <v>182</v>
      </c>
      <c r="C111" s="10" t="s">
        <v>110</v>
      </c>
      <c r="D111" s="20">
        <v>44.71</v>
      </c>
      <c r="E111" s="21">
        <v>52</v>
      </c>
      <c r="F111" s="21">
        <f>IF(OR(OR(E111=0,E111=""),OR(D111=0,D111="")),"",$D111*E111)</f>
        <v>2324.92</v>
      </c>
      <c r="G111" s="22"/>
    </row>
    <row r="113" spans="1:7" x14ac:dyDescent="0.2">
      <c r="A113" s="23" t="s">
        <v>183</v>
      </c>
      <c r="B113" s="40" t="s">
        <v>184</v>
      </c>
      <c r="C113" s="41"/>
      <c r="D113" s="42"/>
      <c r="E113" s="42"/>
      <c r="F113" s="42"/>
    </row>
    <row r="115" spans="1:7" x14ac:dyDescent="0.2">
      <c r="A115" s="16" t="s">
        <v>185</v>
      </c>
      <c r="B115" s="17" t="s">
        <v>186</v>
      </c>
    </row>
    <row r="116" spans="1:7" ht="276" x14ac:dyDescent="0.2">
      <c r="B116" s="6" t="s">
        <v>187</v>
      </c>
    </row>
    <row r="117" spans="1:7" ht="108" x14ac:dyDescent="0.2">
      <c r="B117" s="6" t="s">
        <v>188</v>
      </c>
      <c r="G117" s="24"/>
    </row>
    <row r="118" spans="1:7" ht="12.75" x14ac:dyDescent="0.2">
      <c r="A118" s="1" t="s">
        <v>189</v>
      </c>
      <c r="B118" s="19" t="s">
        <v>118</v>
      </c>
      <c r="C118" s="10" t="s">
        <v>110</v>
      </c>
      <c r="D118" s="20">
        <v>7.82</v>
      </c>
      <c r="E118" s="21">
        <v>36</v>
      </c>
      <c r="F118" s="21">
        <f>IF(OR(OR(E118=0,E118=""),OR(D118=0,D118="")),"",$D118*E118)</f>
        <v>281.52</v>
      </c>
      <c r="G118" s="22"/>
    </row>
    <row r="120" spans="1:7" x14ac:dyDescent="0.2">
      <c r="A120" s="16" t="s">
        <v>190</v>
      </c>
      <c r="B120" s="17" t="s">
        <v>191</v>
      </c>
    </row>
    <row r="121" spans="1:7" ht="276" x14ac:dyDescent="0.2">
      <c r="B121" s="6" t="s">
        <v>192</v>
      </c>
    </row>
    <row r="122" spans="1:7" ht="108" x14ac:dyDescent="0.2">
      <c r="B122" s="6" t="s">
        <v>193</v>
      </c>
      <c r="G122" s="24"/>
    </row>
    <row r="123" spans="1:7" ht="12.75" x14ac:dyDescent="0.2">
      <c r="A123" s="1" t="s">
        <v>194</v>
      </c>
      <c r="B123" s="19" t="s">
        <v>118</v>
      </c>
      <c r="C123" s="10" t="s">
        <v>110</v>
      </c>
      <c r="D123" s="20">
        <v>4.78</v>
      </c>
      <c r="E123" s="21">
        <v>39</v>
      </c>
      <c r="F123" s="21">
        <f>IF(OR(OR(E123=0,E123=""),OR(D123=0,D123="")),"",$D123*E123)</f>
        <v>186.42000000000002</v>
      </c>
      <c r="G123" s="22"/>
    </row>
    <row r="125" spans="1:7" ht="24" x14ac:dyDescent="0.2">
      <c r="A125" s="16" t="s">
        <v>195</v>
      </c>
      <c r="B125" s="17" t="s">
        <v>196</v>
      </c>
    </row>
    <row r="126" spans="1:7" ht="264" x14ac:dyDescent="0.2">
      <c r="B126" s="6" t="s">
        <v>197</v>
      </c>
    </row>
    <row r="127" spans="1:7" ht="120" x14ac:dyDescent="0.2">
      <c r="B127" s="6" t="s">
        <v>198</v>
      </c>
      <c r="G127" s="24"/>
    </row>
    <row r="128" spans="1:7" ht="12.75" x14ac:dyDescent="0.2">
      <c r="A128" s="1" t="s">
        <v>199</v>
      </c>
      <c r="B128" s="19" t="s">
        <v>118</v>
      </c>
      <c r="C128" s="10" t="s">
        <v>110</v>
      </c>
      <c r="D128" s="20">
        <v>13.23</v>
      </c>
      <c r="E128" s="21">
        <v>42</v>
      </c>
      <c r="F128" s="21">
        <f>IF(OR(OR(E128=0,E128=""),OR(D128=0,D128="")),"",$D128*E128)</f>
        <v>555.66</v>
      </c>
      <c r="G128" s="22"/>
    </row>
    <row r="130" spans="1:7" ht="24" x14ac:dyDescent="0.2">
      <c r="A130" s="16" t="s">
        <v>200</v>
      </c>
      <c r="B130" s="17" t="s">
        <v>201</v>
      </c>
    </row>
    <row r="131" spans="1:7" ht="264" x14ac:dyDescent="0.2">
      <c r="B131" s="6" t="s">
        <v>202</v>
      </c>
    </row>
    <row r="132" spans="1:7" ht="120" x14ac:dyDescent="0.2">
      <c r="B132" s="6" t="s">
        <v>203</v>
      </c>
    </row>
    <row r="133" spans="1:7" ht="12.75" x14ac:dyDescent="0.2">
      <c r="A133" s="1" t="s">
        <v>204</v>
      </c>
      <c r="B133" s="19" t="s">
        <v>118</v>
      </c>
      <c r="C133" s="10" t="s">
        <v>110</v>
      </c>
      <c r="D133" s="20">
        <v>7.77</v>
      </c>
      <c r="E133" s="21">
        <v>42</v>
      </c>
      <c r="F133" s="21">
        <f>IF(OR(OR(E133=0,E133=""),OR(D133=0,D133="")),"",$D133*E133)</f>
        <v>326.33999999999997</v>
      </c>
      <c r="G133" s="22"/>
    </row>
    <row r="135" spans="1:7" x14ac:dyDescent="0.2">
      <c r="A135" s="16" t="s">
        <v>205</v>
      </c>
      <c r="B135" s="17" t="s">
        <v>206</v>
      </c>
    </row>
    <row r="136" spans="1:7" ht="276" x14ac:dyDescent="0.2">
      <c r="B136" s="6" t="s">
        <v>207</v>
      </c>
    </row>
    <row r="137" spans="1:7" ht="84" x14ac:dyDescent="0.2">
      <c r="B137" s="6" t="s">
        <v>208</v>
      </c>
    </row>
    <row r="138" spans="1:7" ht="12.75" x14ac:dyDescent="0.2">
      <c r="A138" s="1" t="s">
        <v>209</v>
      </c>
      <c r="B138" s="19" t="s">
        <v>118</v>
      </c>
      <c r="C138" s="10" t="s">
        <v>110</v>
      </c>
      <c r="D138" s="20">
        <v>6.39</v>
      </c>
      <c r="E138" s="21">
        <v>42</v>
      </c>
      <c r="F138" s="21">
        <f>IF(OR(OR(E138=0,E138=""),OR(D138=0,D138="")),"",$D138*E138)</f>
        <v>268.38</v>
      </c>
      <c r="G138" s="22"/>
    </row>
    <row r="140" spans="1:7" ht="36" x14ac:dyDescent="0.2">
      <c r="A140" s="16" t="s">
        <v>210</v>
      </c>
      <c r="B140" s="17" t="s">
        <v>211</v>
      </c>
    </row>
    <row r="141" spans="1:7" ht="276" x14ac:dyDescent="0.2">
      <c r="B141" s="6" t="s">
        <v>212</v>
      </c>
    </row>
    <row r="142" spans="1:7" ht="12.75" x14ac:dyDescent="0.2">
      <c r="A142" s="1" t="s">
        <v>213</v>
      </c>
      <c r="B142" s="19" t="s">
        <v>118</v>
      </c>
      <c r="C142" s="10" t="s">
        <v>110</v>
      </c>
      <c r="D142" s="20">
        <v>25.94</v>
      </c>
      <c r="E142" s="21">
        <v>20</v>
      </c>
      <c r="F142" s="21">
        <f>IF(OR(OR(E142=0,E142=""),OR(D142=0,D142="")),"",$D142*E142)</f>
        <v>518.80000000000007</v>
      </c>
      <c r="G142" s="22"/>
    </row>
    <row r="145" spans="1:7" ht="24" x14ac:dyDescent="0.2">
      <c r="A145" s="16" t="s">
        <v>214</v>
      </c>
      <c r="B145" s="17" t="s">
        <v>215</v>
      </c>
    </row>
    <row r="146" spans="1:7" ht="276" x14ac:dyDescent="0.2">
      <c r="B146" s="6" t="s">
        <v>216</v>
      </c>
    </row>
    <row r="147" spans="1:7" ht="96" x14ac:dyDescent="0.2">
      <c r="B147" s="6" t="s">
        <v>217</v>
      </c>
      <c r="G147" s="24"/>
    </row>
    <row r="148" spans="1:7" ht="12.75" x14ac:dyDescent="0.2">
      <c r="A148" s="1" t="s">
        <v>218</v>
      </c>
      <c r="B148" s="19" t="s">
        <v>118</v>
      </c>
      <c r="C148" s="10" t="s">
        <v>110</v>
      </c>
      <c r="D148" s="20">
        <v>9.89</v>
      </c>
      <c r="E148" s="21">
        <v>42</v>
      </c>
      <c r="F148" s="21">
        <f>IF(OR(OR(E148=0,E148=""),OR(D148=0,D148="")),"",$D148*E148)</f>
        <v>415.38</v>
      </c>
      <c r="G148" s="22"/>
    </row>
    <row r="150" spans="1:7" x14ac:dyDescent="0.2">
      <c r="A150" s="23" t="s">
        <v>183</v>
      </c>
      <c r="B150" s="40" t="s">
        <v>219</v>
      </c>
      <c r="C150" s="41"/>
      <c r="D150" s="42"/>
      <c r="E150" s="42"/>
      <c r="F150" s="25">
        <f>SUM(F118,F123,F128,F133,F138,F142,F148)</f>
        <v>2552.5</v>
      </c>
      <c r="G150" s="25"/>
    </row>
    <row r="152" spans="1:7" ht="36" x14ac:dyDescent="0.2">
      <c r="A152" s="16" t="s">
        <v>220</v>
      </c>
      <c r="B152" s="17" t="s">
        <v>221</v>
      </c>
    </row>
    <row r="153" spans="1:7" ht="252" x14ac:dyDescent="0.2">
      <c r="B153" s="6" t="s">
        <v>222</v>
      </c>
    </row>
    <row r="154" spans="1:7" ht="252" x14ac:dyDescent="0.2">
      <c r="B154" s="6" t="s">
        <v>223</v>
      </c>
    </row>
    <row r="155" spans="1:7" ht="12.75" x14ac:dyDescent="0.2">
      <c r="A155" s="1" t="s">
        <v>224</v>
      </c>
      <c r="B155" s="19" t="s">
        <v>118</v>
      </c>
      <c r="C155" s="10" t="s">
        <v>110</v>
      </c>
      <c r="D155" s="20">
        <v>11.01</v>
      </c>
      <c r="E155" s="21">
        <v>38</v>
      </c>
      <c r="F155" s="21">
        <f>IF(OR(OR(E155=0,E155=""),OR(D155=0,D155="")),"",$D155*E155)</f>
        <v>418.38</v>
      </c>
      <c r="G155" s="22"/>
    </row>
    <row r="158" spans="1:7" x14ac:dyDescent="0.2">
      <c r="A158" s="16"/>
      <c r="B158" s="17"/>
    </row>
    <row r="160" spans="1:7" x14ac:dyDescent="0.2">
      <c r="A160" s="23" t="s">
        <v>226</v>
      </c>
      <c r="B160" s="40" t="s">
        <v>227</v>
      </c>
      <c r="C160" s="41"/>
      <c r="D160" s="42"/>
      <c r="E160" s="42"/>
      <c r="F160" s="42"/>
    </row>
    <row r="162" spans="1:7" ht="24" x14ac:dyDescent="0.2">
      <c r="A162" s="16" t="s">
        <v>228</v>
      </c>
      <c r="B162" s="17" t="s">
        <v>229</v>
      </c>
    </row>
    <row r="163" spans="1:7" ht="264" x14ac:dyDescent="0.2">
      <c r="B163" s="6" t="s">
        <v>230</v>
      </c>
    </row>
    <row r="164" spans="1:7" ht="12.75" x14ac:dyDescent="0.2">
      <c r="A164" s="1" t="s">
        <v>231</v>
      </c>
      <c r="B164" s="19" t="s">
        <v>118</v>
      </c>
      <c r="C164" s="10" t="s">
        <v>232</v>
      </c>
      <c r="D164" s="20">
        <v>45.32</v>
      </c>
      <c r="E164" s="20">
        <v>26</v>
      </c>
      <c r="F164" s="21">
        <f>IF(OR(OR(E164=0,E164=""),OR(D164=0,D164="")),"",$D164*E164)</f>
        <v>1178.32</v>
      </c>
      <c r="G164" s="22"/>
    </row>
    <row r="166" spans="1:7" ht="24" x14ac:dyDescent="0.2">
      <c r="A166" s="16" t="s">
        <v>233</v>
      </c>
      <c r="B166" s="17" t="s">
        <v>234</v>
      </c>
    </row>
    <row r="167" spans="1:7" ht="264" x14ac:dyDescent="0.2">
      <c r="B167" s="6" t="s">
        <v>235</v>
      </c>
    </row>
    <row r="168" spans="1:7" ht="192" x14ac:dyDescent="0.2">
      <c r="B168" s="6" t="s">
        <v>236</v>
      </c>
    </row>
    <row r="169" spans="1:7" ht="12.75" x14ac:dyDescent="0.2">
      <c r="A169" s="1" t="s">
        <v>237</v>
      </c>
      <c r="B169" s="19" t="s">
        <v>118</v>
      </c>
      <c r="C169" s="10" t="s">
        <v>110</v>
      </c>
      <c r="D169" s="20">
        <v>3.46</v>
      </c>
      <c r="E169" s="20">
        <v>99</v>
      </c>
      <c r="F169" s="21">
        <f>IF(OR(OR(E169=0,E169=""),OR(D169=0,D169="")),"",$D169*E169)</f>
        <v>342.54</v>
      </c>
      <c r="G169" s="22"/>
    </row>
    <row r="171" spans="1:7" x14ac:dyDescent="0.2">
      <c r="A171" s="28" t="s">
        <v>238</v>
      </c>
      <c r="B171" s="49" t="s">
        <v>239</v>
      </c>
      <c r="C171" s="50"/>
      <c r="D171" s="51"/>
      <c r="E171" s="51"/>
      <c r="F171" s="51"/>
    </row>
    <row r="173" spans="1:7" x14ac:dyDescent="0.2">
      <c r="A173" s="16" t="s">
        <v>240</v>
      </c>
      <c r="B173" s="17" t="s">
        <v>241</v>
      </c>
    </row>
    <row r="174" spans="1:7" ht="60" x14ac:dyDescent="0.2">
      <c r="B174" s="6" t="s">
        <v>242</v>
      </c>
    </row>
    <row r="175" spans="1:7" ht="12.75" x14ac:dyDescent="0.2">
      <c r="A175" s="1" t="s">
        <v>243</v>
      </c>
      <c r="B175" s="19" t="s">
        <v>118</v>
      </c>
      <c r="C175" s="10" t="s">
        <v>232</v>
      </c>
      <c r="D175" s="20">
        <v>112.69</v>
      </c>
      <c r="E175" s="20">
        <v>10</v>
      </c>
      <c r="F175" s="21">
        <f>IF(OR(OR(E175=0,E175=""),OR(D175=0,D175="")),"",$D175*E175)</f>
        <v>1126.9000000000001</v>
      </c>
      <c r="G175" s="22"/>
    </row>
    <row r="177" spans="1:7" x14ac:dyDescent="0.2">
      <c r="A177" s="16" t="s">
        <v>244</v>
      </c>
      <c r="B177" s="17" t="s">
        <v>245</v>
      </c>
    </row>
    <row r="178" spans="1:7" ht="96" x14ac:dyDescent="0.2">
      <c r="B178" s="6" t="s">
        <v>246</v>
      </c>
    </row>
    <row r="179" spans="1:7" ht="12.75" x14ac:dyDescent="0.2">
      <c r="A179" s="1" t="s">
        <v>247</v>
      </c>
      <c r="B179" s="19" t="s">
        <v>118</v>
      </c>
      <c r="C179" s="10" t="s">
        <v>232</v>
      </c>
      <c r="D179" s="20">
        <v>50</v>
      </c>
      <c r="E179" s="20">
        <v>15</v>
      </c>
      <c r="F179" s="21">
        <f>IF(OR(OR(E179=0,E179=""),OR(D179=0,D179="")),"",$D179*E179)</f>
        <v>750</v>
      </c>
      <c r="G179" s="22"/>
    </row>
    <row r="181" spans="1:7" x14ac:dyDescent="0.2">
      <c r="A181" s="16" t="s">
        <v>248</v>
      </c>
      <c r="B181" s="17" t="s">
        <v>249</v>
      </c>
    </row>
    <row r="182" spans="1:7" ht="84" x14ac:dyDescent="0.2">
      <c r="B182" s="6" t="s">
        <v>250</v>
      </c>
    </row>
    <row r="183" spans="1:7" ht="12.75" x14ac:dyDescent="0.2">
      <c r="A183" s="1" t="s">
        <v>251</v>
      </c>
      <c r="B183" s="19" t="s">
        <v>118</v>
      </c>
      <c r="C183" s="10" t="s">
        <v>252</v>
      </c>
      <c r="D183" s="20">
        <v>5</v>
      </c>
      <c r="E183" s="20">
        <v>55</v>
      </c>
      <c r="F183" s="21">
        <f>IF(OR(OR(E183=0,E183=""),OR(D183=0,D183="")),"",$D183*E183)</f>
        <v>275</v>
      </c>
      <c r="G183" s="22"/>
    </row>
    <row r="185" spans="1:7" x14ac:dyDescent="0.2">
      <c r="A185" s="16" t="s">
        <v>253</v>
      </c>
      <c r="B185" s="17" t="s">
        <v>254</v>
      </c>
    </row>
    <row r="186" spans="1:7" ht="84" x14ac:dyDescent="0.2">
      <c r="B186" s="6" t="s">
        <v>255</v>
      </c>
    </row>
    <row r="187" spans="1:7" ht="12.75" x14ac:dyDescent="0.2">
      <c r="A187" s="1" t="s">
        <v>256</v>
      </c>
      <c r="B187" s="19" t="s">
        <v>118</v>
      </c>
      <c r="C187" s="10" t="s">
        <v>252</v>
      </c>
      <c r="D187" s="20">
        <v>5</v>
      </c>
      <c r="E187" s="20">
        <v>55</v>
      </c>
      <c r="F187" s="21">
        <f>IF(OR(OR(E187=0,E187=""),OR(D187=0,D187="")),"",$D187*E187)</f>
        <v>275</v>
      </c>
      <c r="G187" s="22"/>
    </row>
    <row r="189" spans="1:7" x14ac:dyDescent="0.2">
      <c r="A189" s="16" t="s">
        <v>257</v>
      </c>
      <c r="B189" s="17" t="s">
        <v>258</v>
      </c>
    </row>
    <row r="190" spans="1:7" ht="84" x14ac:dyDescent="0.2">
      <c r="B190" s="6" t="s">
        <v>259</v>
      </c>
    </row>
    <row r="191" spans="1:7" ht="12.75" x14ac:dyDescent="0.2">
      <c r="A191" s="1" t="s">
        <v>260</v>
      </c>
      <c r="B191" s="19" t="s">
        <v>118</v>
      </c>
      <c r="C191" s="10" t="s">
        <v>252</v>
      </c>
      <c r="D191" s="20">
        <v>2</v>
      </c>
      <c r="E191" s="20">
        <v>55</v>
      </c>
      <c r="F191" s="21">
        <f>IF(OR(OR(E191=0,E191=""),OR(D191=0,D191="")),"",$D191*E191)</f>
        <v>110</v>
      </c>
      <c r="G191" s="22"/>
    </row>
    <row r="193" spans="1:7" x14ac:dyDescent="0.2">
      <c r="A193" s="28" t="s">
        <v>238</v>
      </c>
      <c r="B193" s="49" t="s">
        <v>261</v>
      </c>
      <c r="C193" s="50"/>
      <c r="D193" s="51"/>
      <c r="E193" s="51"/>
      <c r="F193" s="29">
        <f>SUM(F175,F179,F183,F187,F191)</f>
        <v>2536.9</v>
      </c>
      <c r="G193" s="29"/>
    </row>
    <row r="195" spans="1:7" x14ac:dyDescent="0.2">
      <c r="A195" s="23" t="s">
        <v>226</v>
      </c>
      <c r="B195" s="40" t="s">
        <v>262</v>
      </c>
      <c r="C195" s="41"/>
      <c r="D195" s="42"/>
      <c r="E195" s="42"/>
      <c r="F195" s="25">
        <f>SUM(F164,F169,F193)</f>
        <v>4057.76</v>
      </c>
      <c r="G195" s="25"/>
    </row>
    <row r="196" spans="1:7" ht="12.75" thickBot="1" x14ac:dyDescent="0.25"/>
    <row r="197" spans="1:7" ht="12.75" thickBot="1" x14ac:dyDescent="0.25">
      <c r="B197" s="33" t="s">
        <v>225</v>
      </c>
      <c r="F197" s="34">
        <f>F37+F44+F49+F54+F64+F70+F79+F84+F89+F94+F99+F104+F111+F118+F123+F128+F133+F138+F142+F148+F155+F164+F169+F175+F179+F183+F187+F191</f>
        <v>35247.629999999997</v>
      </c>
    </row>
  </sheetData>
  <autoFilter ref="D4:D196" xr:uid="{31CEA112-26E7-4AE2-857E-5F5A57BC5E4D}"/>
  <mergeCells count="15">
    <mergeCell ref="B171:F171"/>
    <mergeCell ref="B193:E193"/>
    <mergeCell ref="B195:E195"/>
    <mergeCell ref="B72:E72"/>
    <mergeCell ref="B74:F74"/>
    <mergeCell ref="B106:E106"/>
    <mergeCell ref="B113:F113"/>
    <mergeCell ref="B150:E150"/>
    <mergeCell ref="B160:F160"/>
    <mergeCell ref="B58:F58"/>
    <mergeCell ref="B4:F4"/>
    <mergeCell ref="B20:F20"/>
    <mergeCell ref="B28:F28"/>
    <mergeCell ref="B39:F39"/>
    <mergeCell ref="B56:E56"/>
  </mergeCells>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12" manualBreakCount="12">
    <brk id="27" max="5" man="1"/>
    <brk id="38" max="5" man="1"/>
    <brk id="47" max="5" man="1"/>
    <brk id="57" max="5" man="1"/>
    <brk id="65" max="5" man="1"/>
    <brk id="73" max="5" man="1"/>
    <brk id="90" max="5" man="1"/>
    <brk id="107" max="5" man="1"/>
    <brk id="144" max="5" man="1"/>
    <brk id="157" max="5" man="1"/>
    <brk id="165" max="5" man="1"/>
    <brk id="184"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06C6-ADF7-40AC-9B39-29700FD69080}">
  <dimension ref="A4:G43"/>
  <sheetViews>
    <sheetView tabSelected="1" view="pageBreakPreview" topLeftCell="A19" zoomScale="80" zoomScaleNormal="100" zoomScaleSheetLayoutView="80" workbookViewId="0">
      <selection activeCell="J25" sqref="J25"/>
    </sheetView>
  </sheetViews>
  <sheetFormatPr defaultColWidth="9.140625" defaultRowHeight="12" x14ac:dyDescent="0.2"/>
  <cols>
    <col min="1" max="1" width="9.7109375" style="1" customWidth="1"/>
    <col min="2" max="2" width="37.7109375" style="15" customWidth="1"/>
    <col min="3" max="3" width="7.7109375" style="10" customWidth="1"/>
    <col min="4" max="5" width="10.7109375" style="1" customWidth="1"/>
    <col min="6" max="6" width="12.7109375" style="1" customWidth="1"/>
    <col min="7" max="16384" width="9.140625" style="1"/>
  </cols>
  <sheetData>
    <row r="4" spans="1:6" x14ac:dyDescent="0.2">
      <c r="A4" s="7" t="s">
        <v>263</v>
      </c>
      <c r="B4" s="43" t="s">
        <v>264</v>
      </c>
      <c r="C4" s="44"/>
      <c r="D4" s="45"/>
      <c r="E4" s="45"/>
      <c r="F4" s="45"/>
    </row>
    <row r="6" spans="1:6" x14ac:dyDescent="0.2">
      <c r="A6" s="7"/>
      <c r="B6" s="8" t="s">
        <v>27</v>
      </c>
      <c r="C6" s="9"/>
      <c r="D6" s="7"/>
      <c r="E6" s="7"/>
      <c r="F6" s="7"/>
    </row>
    <row r="8" spans="1:6" ht="276" x14ac:dyDescent="0.2">
      <c r="B8" s="6" t="s">
        <v>265</v>
      </c>
    </row>
    <row r="9" spans="1:6" ht="264" x14ac:dyDescent="0.2">
      <c r="B9" s="6" t="s">
        <v>266</v>
      </c>
    </row>
    <row r="10" spans="1:6" ht="252" x14ac:dyDescent="0.2">
      <c r="B10" s="6" t="s">
        <v>267</v>
      </c>
    </row>
    <row r="11" spans="1:6" ht="264" x14ac:dyDescent="0.2">
      <c r="B11" s="6" t="s">
        <v>268</v>
      </c>
    </row>
    <row r="12" spans="1:6" ht="276" x14ac:dyDescent="0.2">
      <c r="B12" s="6" t="s">
        <v>269</v>
      </c>
    </row>
    <row r="13" spans="1:6" ht="252" x14ac:dyDescent="0.2">
      <c r="B13" s="6" t="s">
        <v>270</v>
      </c>
    </row>
    <row r="14" spans="1:6" ht="144" x14ac:dyDescent="0.2">
      <c r="B14" s="6" t="s">
        <v>271</v>
      </c>
    </row>
    <row r="16" spans="1:6" ht="24" x14ac:dyDescent="0.2">
      <c r="A16" s="11" t="s">
        <v>92</v>
      </c>
      <c r="B16" s="11" t="s">
        <v>93</v>
      </c>
      <c r="C16" s="11" t="s">
        <v>94</v>
      </c>
      <c r="D16" s="11" t="s">
        <v>95</v>
      </c>
      <c r="E16" s="11" t="s">
        <v>96</v>
      </c>
      <c r="F16" s="11" t="s">
        <v>97</v>
      </c>
    </row>
    <row r="18" spans="1:7" ht="24" x14ac:dyDescent="0.2">
      <c r="A18" s="16" t="s">
        <v>272</v>
      </c>
      <c r="B18" s="17" t="s">
        <v>273</v>
      </c>
    </row>
    <row r="19" spans="1:7" ht="276" x14ac:dyDescent="0.2">
      <c r="B19" s="6" t="s">
        <v>274</v>
      </c>
    </row>
    <row r="20" spans="1:7" ht="252" x14ac:dyDescent="0.2">
      <c r="B20" s="6" t="s">
        <v>275</v>
      </c>
      <c r="G20" s="35"/>
    </row>
    <row r="21" spans="1:7" ht="12.75" x14ac:dyDescent="0.2">
      <c r="A21" s="1" t="s">
        <v>276</v>
      </c>
      <c r="B21" s="19" t="s">
        <v>118</v>
      </c>
      <c r="C21" s="10" t="s">
        <v>110</v>
      </c>
      <c r="D21" s="20">
        <v>990.99</v>
      </c>
      <c r="E21" s="21">
        <v>38</v>
      </c>
      <c r="F21" s="21">
        <f>IF(OR(OR(E21=0,E21=""),OR(D21=0,D21="")),"",$D21*E21)</f>
        <v>37657.620000000003</v>
      </c>
      <c r="G21" s="22"/>
    </row>
    <row r="23" spans="1:7" x14ac:dyDescent="0.2">
      <c r="A23" s="16" t="s">
        <v>277</v>
      </c>
      <c r="B23" s="17" t="s">
        <v>278</v>
      </c>
    </row>
    <row r="24" spans="1:7" ht="264" x14ac:dyDescent="0.2">
      <c r="B24" s="6" t="s">
        <v>279</v>
      </c>
    </row>
    <row r="25" spans="1:7" ht="228" x14ac:dyDescent="0.2">
      <c r="B25" s="6" t="s">
        <v>280</v>
      </c>
    </row>
    <row r="26" spans="1:7" ht="24" x14ac:dyDescent="0.2">
      <c r="A26" s="1" t="s">
        <v>281</v>
      </c>
      <c r="B26" s="19" t="s">
        <v>282</v>
      </c>
      <c r="C26" s="10" t="s">
        <v>110</v>
      </c>
      <c r="D26" s="20">
        <v>21.63</v>
      </c>
      <c r="E26" s="21">
        <v>29</v>
      </c>
      <c r="F26" s="21">
        <f>IF(OR(OR(E26=0,E26=""),OR(D26=0,D26="")),"",$D26*E26)</f>
        <v>627.27</v>
      </c>
      <c r="G26" s="22"/>
    </row>
    <row r="28" spans="1:7" x14ac:dyDescent="0.2">
      <c r="A28" s="16" t="s">
        <v>283</v>
      </c>
      <c r="B28" s="17" t="s">
        <v>284</v>
      </c>
    </row>
    <row r="29" spans="1:7" ht="276" x14ac:dyDescent="0.2">
      <c r="B29" s="6" t="s">
        <v>285</v>
      </c>
    </row>
    <row r="30" spans="1:7" ht="84" x14ac:dyDescent="0.2">
      <c r="B30" s="6" t="s">
        <v>286</v>
      </c>
    </row>
    <row r="31" spans="1:7" ht="12.75" x14ac:dyDescent="0.2">
      <c r="A31" s="1" t="s">
        <v>287</v>
      </c>
      <c r="B31" s="19" t="s">
        <v>118</v>
      </c>
      <c r="C31" s="10" t="s">
        <v>110</v>
      </c>
      <c r="D31" s="20">
        <v>10</v>
      </c>
      <c r="E31" s="21">
        <v>56</v>
      </c>
      <c r="F31" s="21">
        <f>IF(OR(OR(E31=0,E31=""),OR(D31=0,D31="")),"",$D31*E31)</f>
        <v>560</v>
      </c>
      <c r="G31" s="22"/>
    </row>
    <row r="33" spans="1:7" ht="24" x14ac:dyDescent="0.2">
      <c r="A33" s="16" t="s">
        <v>288</v>
      </c>
      <c r="B33" s="17" t="s">
        <v>289</v>
      </c>
    </row>
    <row r="34" spans="1:7" ht="252" x14ac:dyDescent="0.2">
      <c r="B34" s="6" t="s">
        <v>290</v>
      </c>
    </row>
    <row r="35" spans="1:7" ht="120" x14ac:dyDescent="0.2">
      <c r="B35" s="6" t="s">
        <v>291</v>
      </c>
    </row>
    <row r="36" spans="1:7" ht="36" x14ac:dyDescent="0.2">
      <c r="A36" s="1" t="s">
        <v>292</v>
      </c>
      <c r="B36" s="19" t="s">
        <v>293</v>
      </c>
      <c r="C36" s="10" t="s">
        <v>110</v>
      </c>
      <c r="D36" s="20">
        <v>36.340000000000003</v>
      </c>
      <c r="E36" s="1">
        <v>48</v>
      </c>
      <c r="F36" s="21">
        <f t="shared" ref="F36:F37" si="0">IF(OR(OR(E36=0,E36=""),OR(D36=0,D36="")),"",$D36*E36)</f>
        <v>1744.3200000000002</v>
      </c>
      <c r="G36" s="22"/>
    </row>
    <row r="37" spans="1:7" ht="36" x14ac:dyDescent="0.2">
      <c r="A37" s="1" t="s">
        <v>294</v>
      </c>
      <c r="B37" s="19" t="s">
        <v>295</v>
      </c>
      <c r="C37" s="10" t="s">
        <v>110</v>
      </c>
      <c r="D37" s="20">
        <v>133.9</v>
      </c>
      <c r="E37" s="1">
        <v>48</v>
      </c>
      <c r="F37" s="21">
        <f t="shared" si="0"/>
        <v>6427.2000000000007</v>
      </c>
      <c r="G37" s="22"/>
    </row>
    <row r="38" spans="1:7" x14ac:dyDescent="0.2">
      <c r="E38" s="26" t="s">
        <v>225</v>
      </c>
      <c r="F38" s="27">
        <f>SUM(F36:F37)</f>
        <v>8171.52</v>
      </c>
    </row>
    <row r="40" spans="1:7" x14ac:dyDescent="0.2">
      <c r="A40" s="16" t="s">
        <v>296</v>
      </c>
      <c r="B40" s="17" t="s">
        <v>297</v>
      </c>
    </row>
    <row r="41" spans="1:7" ht="132" x14ac:dyDescent="0.2">
      <c r="A41" s="1" t="s">
        <v>298</v>
      </c>
      <c r="B41" s="19" t="s">
        <v>299</v>
      </c>
      <c r="C41" s="10" t="s">
        <v>252</v>
      </c>
      <c r="D41" s="20">
        <v>4</v>
      </c>
      <c r="E41" s="21">
        <v>80</v>
      </c>
      <c r="F41" s="21">
        <f>IF(OR(OR(E41=0,E41=""),OR(D41=0,D41="")),"",$D41*E41)</f>
        <v>320</v>
      </c>
      <c r="G41" s="22"/>
    </row>
    <row r="42" spans="1:7" ht="12.75" thickBot="1" x14ac:dyDescent="0.25"/>
    <row r="43" spans="1:7" ht="13.5" thickBot="1" x14ac:dyDescent="0.25">
      <c r="A43" s="7" t="s">
        <v>263</v>
      </c>
      <c r="B43" s="43" t="s">
        <v>300</v>
      </c>
      <c r="C43" s="44"/>
      <c r="D43" s="45"/>
      <c r="E43" s="45"/>
      <c r="F43" s="37">
        <f>SUM(F21,F26,F31,F38,F41)</f>
        <v>47336.41</v>
      </c>
      <c r="G43" s="36"/>
    </row>
  </sheetData>
  <mergeCells count="2">
    <mergeCell ref="B4:F4"/>
    <mergeCell ref="B43:E43"/>
  </mergeCells>
  <pageMargins left="0.7" right="0.7" top="0.75" bottom="0.75" header="0.3" footer="0.3"/>
  <pageSetup paperSize="9" scale="8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f6cccbc4df799be886314aa582b14acf">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ea945c4d7d0ae4f3c560aa17fcfe243b"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758B4C-A6CE-4F5B-85D7-4048432F501C}">
  <ds:schemaRefs>
    <ds:schemaRef ds:uri="http://schemas.microsoft.com/sharepoint/v3/contenttype/forms"/>
  </ds:schemaRefs>
</ds:datastoreItem>
</file>

<file path=customXml/itemProps2.xml><?xml version="1.0" encoding="utf-8"?>
<ds:datastoreItem xmlns:ds="http://schemas.openxmlformats.org/officeDocument/2006/customXml" ds:itemID="{21D9C9A5-93C4-41AD-99E8-6ABA6083E7DD}">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3.xml><?xml version="1.0" encoding="utf-8"?>
<ds:datastoreItem xmlns:ds="http://schemas.openxmlformats.org/officeDocument/2006/customXml" ds:itemID="{D9021FB7-A85F-455F-AA2D-56E5061E0B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NASLOVNICA</vt:lpstr>
      <vt:lpstr>OPĆI UVJETI</vt:lpstr>
      <vt:lpstr>4. GRAĐEVINSKO - OBRTNIČKI RADO</vt:lpstr>
      <vt:lpstr>7.SPUŠTENI STROPOVI</vt:lpstr>
      <vt:lpstr>'4. GRAĐEVINSKO - OBRTNIČKI RADO'!Print_Area</vt:lpstr>
      <vt:lpstr>'7.SPUŠTENI STROPOVI'!Print_Area</vt:lpstr>
      <vt:lpstr>'4. GRAĐEVINSKO - OBRTNIČKI RADO'!Print_Titles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Ivana Radovac</cp:lastModifiedBy>
  <dcterms:created xsi:type="dcterms:W3CDTF">2025-10-23T07:58:28Z</dcterms:created>
  <dcterms:modified xsi:type="dcterms:W3CDTF">2025-11-03T12:44:53Z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
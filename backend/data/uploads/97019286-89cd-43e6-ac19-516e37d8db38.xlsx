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3bengineering.sharepoint.com/sites/3B--Share/Shared Documents/3B-Share/AKTIVNI PROJEKTI/2025/08-25 EUROSPIN - SAVSKA OPATOVINA/3. TROŠKOVNICI/03 UPITI I PONUDE/0_Ivana Radno/Prijedlog cijena/13_Fasada - paneli/"/>
    </mc:Choice>
  </mc:AlternateContent>
  <xr:revisionPtr revIDLastSave="4" documentId="8_{343B4B20-9074-4168-825F-DB4DC1846A71}" xr6:coauthVersionLast="47" xr6:coauthVersionMax="47" xr10:uidLastSave="{2395837A-85B7-4C54-ACFB-A20A1BE38543}"/>
  <bookViews>
    <workbookView xWindow="-120" yWindow="-120" windowWidth="29040" windowHeight="15720" activeTab="2" xr2:uid="{55BB788E-5B58-4D00-A765-FB4C1361183B}"/>
  </bookViews>
  <sheets>
    <sheet name="NASLOVNICA" sheetId="1" r:id="rId1"/>
    <sheet name="OPĆI UVJETI" sheetId="2" r:id="rId2"/>
    <sheet name="4. GRAĐEVINSKO - OBRTNIČKI RADO" sheetId="3" r:id="rId3"/>
  </sheets>
  <definedNames>
    <definedName name="_xlnm._FilterDatabase" localSheetId="2" hidden="1">'4. GRAĐEVINSKO - OBRTNIČKI RADO'!$D$4:$D$99</definedName>
    <definedName name="_xlnm.Print_Area" localSheetId="2">'4. GRAĐEVINSKO - OBRTNIČKI RADO'!$A$4:$G$99</definedName>
    <definedName name="_xlnm.Print_Titles" localSheetId="2">'4. GRAĐEVINSKO - OBRTNIČKI RADO'!$18:$18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6" i="3" l="1"/>
  <c r="F92" i="3"/>
  <c r="F87" i="3"/>
  <c r="F86" i="3"/>
  <c r="F85" i="3"/>
  <c r="F84" i="3"/>
  <c r="F83" i="3"/>
  <c r="F82" i="3"/>
  <c r="F81" i="3"/>
  <c r="F80" i="3"/>
  <c r="F79" i="3"/>
  <c r="F78" i="3"/>
  <c r="F77" i="3"/>
  <c r="F76" i="3"/>
  <c r="F75" i="3"/>
  <c r="F74" i="3"/>
  <c r="F73" i="3"/>
  <c r="F72" i="3"/>
  <c r="F71" i="3"/>
  <c r="F70" i="3"/>
  <c r="F69" i="3"/>
  <c r="F68" i="3"/>
  <c r="F67" i="3"/>
  <c r="F61" i="3"/>
  <c r="F60" i="3"/>
  <c r="F59" i="3"/>
  <c r="F58" i="3"/>
  <c r="F47" i="3"/>
  <c r="F46" i="3"/>
  <c r="F45" i="3"/>
  <c r="F62" i="3" l="1"/>
  <c r="F88" i="3"/>
  <c r="F48" i="3"/>
  <c r="F98" i="3" l="1"/>
</calcChain>
</file>

<file path=xl/sharedStrings.xml><?xml version="1.0" encoding="utf-8"?>
<sst xmlns="http://schemas.openxmlformats.org/spreadsheetml/2006/main" count="208" uniqueCount="171">
  <si>
    <t>ESSO - troškovnik GO</t>
  </si>
  <si>
    <t>Razina razrade:</t>
  </si>
  <si>
    <t xml:space="preserve">IZVEDBENI ARHITEKTONSKI PROJEKT </t>
  </si>
  <si>
    <t>Projektirani dio građevine:</t>
  </si>
  <si>
    <t xml:space="preserve">TROŠKOVNIK GRAĐEVINSKO-OBRTNIČKIH RADOVA
</t>
  </si>
  <si>
    <t>ZOP:</t>
  </si>
  <si>
    <t>PBV-1/25</t>
  </si>
  <si>
    <t>Mapa:</t>
  </si>
  <si>
    <t xml:space="preserve">1/7 - DIO 2
</t>
  </si>
  <si>
    <t>Građevina:</t>
  </si>
  <si>
    <t xml:space="preserve">REKONSTRUKCIJA POSTOJEĆE POSLOVNE GRAĐEVINE TRGOVAČKE I UREDSKE NAMJENE – TRGOVAČKI CENTAR EUROSPIN
</t>
  </si>
  <si>
    <t>Lokacija građevine:</t>
  </si>
  <si>
    <t xml:space="preserve">Ulica Savska Opatovina, Zagreb
k.č. 3015/3 k.o. Stenjevec jug
</t>
  </si>
  <si>
    <t>Investitor:</t>
  </si>
  <si>
    <t xml:space="preserve">EUROSPIN HRVATSKA d.o.o.
Rijeka, Jelačićev trg 7
OIB 62357811032
</t>
  </si>
  <si>
    <t>Projektantski ured:</t>
  </si>
  <si>
    <t xml:space="preserve">Projektni biro Vinski d.o.o.
Ulica Ljudevita Šestića 4, 47000 Karlovac
OIB 02717113070
</t>
  </si>
  <si>
    <t>Broj tehničkog dnevnika:</t>
  </si>
  <si>
    <t xml:space="preserve">1/25
</t>
  </si>
  <si>
    <t>Glavni projektant:</t>
  </si>
  <si>
    <t xml:space="preserve">Silva Grubešić Horvat, dipl.ing.arh., A 2191
</t>
  </si>
  <si>
    <t>Projektrant arhitektonskog projekta:</t>
  </si>
  <si>
    <t xml:space="preserve">Ruža Salopek, dipl.ing.arh., A 274
</t>
  </si>
  <si>
    <t>Direktor:</t>
  </si>
  <si>
    <t xml:space="preserve">Mladen Vinski, dipl.ing.geod.
</t>
  </si>
  <si>
    <t>Mjesto i datum izrade:</t>
  </si>
  <si>
    <t>Karlovac, 5.5.2025.</t>
  </si>
  <si>
    <t>OPĆI UVJETI</t>
  </si>
  <si>
    <t>OPĆI OPIS UZ TROŠKOVNIK
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
Izvođač i njegovi kooperanti dužni su svaki dio investiciono tehničke dokumentacije pregledati, te dati primjedbe na eventualne tehničke probleme koji bi mogli prouzročiti slabiju kvalitetu, postojanost ugrađenih elemenata ili druge štete. U protivnom biti će dužan ovakve štete sanirati o svom trošku. Naročitu pažnju kod toga treba posvetiti usuglašavanju građevinskih i instalaterskih nacrta. Ako ustanovi neke razlike u mjerama, nedostatke ili pogreške u podlogama, dužan je pravovremeno obavijestiti nadzornog inženjera i odgovornog projektanta, te zatražiti rješenja.
Prije davanja ponude ponuditelj može obići i detaljno pregledati lokaciju i zgradu koja je predmet nabave. Neovisno o tome je li ponuditelj obišao lokaciju i zgradu, Naručitelj će smatrati da je ponuditelj obišao i detaljno pregledao istu (zonu obuhvata) i pripadajuće područje te da je dobro upoznat sa svim uvjetima, faktorima i resursima u odnosu i u svezi s lokacijom ili s onim što može utjecati na izvršenje radova, te da je na temelju navedenoga ponudio svoju ponudu. Stoga, odabrani ponuditelj kasnije nema pravo zahtijevati povećanje cijene ili drugu naknadu, pozivajući se da u vrijeme davanja ponude nije bio upoznat sa svim okolnostima vezanim uz lokaciju i predmetnu zgradu.
Ako tijekom gradnje dođe do promjena, treba prije početka rada tražiti suglasnost nadzornog inženjera, projektanta konstrukcije, i predstavnika nadležnog Konzervatorskog odjela te sve to unijeti u građevinski dnevnik uz ovjeru nadzornog inženjera. Odnosno, sve izmjene trebaju biti ugovorene u skladu sa Zakonom o javnoj nabavi (NN 120/16, 114/22). Sve više radnje do kojih dođe uslijed promjene načina ili</t>
  </si>
  <si>
    <t>opsega izvedbe, a nisu na spomenuti način utvrđene, upisane i ovjerene, neće se priznati u obračunu.
Prilikom uvođenja u posao izvođač je dužan dostaviti detaljni operativni plan izvođenja radova i shemu organizacije gradilišta.
Sve radove izvesti od materijala propisane kvalitete prema nacrtima, opisu, detaljima, pismenim i usmenim dogovorima, ali sve u okviru ponuđene jedinične cijene. Sve štete učinjene prigodom rada na vlastitim ili tuđim radovima i materijalima imaju se ukloniti na račun počinitelja.
Svi nekvalitetni radovi i materijali imaju se otkloniti i zamijeniti ispravnima bez bilokakve obveze za odštetu od strane investitora.
Ako opis koje stavke dovodi izvođača u sumnju o načinu izvedbe treba pravovremeno prije predaje ponude tražiti objašnjenje: naknadni se prigovori neće uvažiti. Eventualne izmjene materijala, te načina izvedbe tokom gradnje, moraju se izvršiti isključivo pismenim dogovorom s projektantom i nadzornim inženjerom.
Pri eventualnim razlikama u opisima radova i materijala između troškovnika i projekta, projekt ima mjerodavnost, uz obaveznu konzultaciju s projektantom.
Jedinična cijena sadrži sve nabrojeno kod opisa pojedine grupe radova, te se na taj način vrši i obračun istih. Jedinične cijene primjenjivat će se na izvedene količine bez obzira u kojem postotku iste odstupaju od količine u troškovniku.
Ukoliko investitor odluči da se neki rad ne izvodi, izvođač nema pravo na odštetu, ako mu je investitor pravovremeno o tome dao obavijest.</t>
  </si>
  <si>
    <t>Izvedeni radovi moraju u cijelosti odgovarati opisu u troškovniku, a u tu svrhu investitor traži prije početka radova uzorke, te izvedeni radovi moraju istima u cijelosti odgovarati.
Prije davanja ponude izvođač je dužan pregledati gradilište te se upoznati sa svim uvjetima koji utječu na davanje ponude i izvođenje. Sve mjere i kote iz projekta provjeriti u naravi. Izvođač radova dužan je prije početka radova kontrolirati kote postojećeg stanja građevine i okoliša. Ukoliko se ukažu eventualne nejednakosti između projekta i stanja na gradilištu, izvođač radova dužan je blagovremeno o tome obavijestiti investitora i projektanta i zatražiti pojedina objašnjenja.
Sva kontrola vrši se bez posebne naplate.
Uređenje gradilišta dužan je izvođač izvesti prema shemi organizacije gradilišta koju je obavezan dostaviti uz ponudu. U organizaciji gradilišta izvođač je dužan uz ostalo posebno predvidjeti:
- 	prostorije za svoje kancelarije,
- 	gradilište osigurati ogradom ili drugim posebnim elementima za sigurnost ljudi i zaštitu prometa i objekata,
- 	postaviti natpisnu ploču od cca 3,5 x 2,5 metra,
- 	postaviti potreban broj urednih skladišta, pomoćnih radnih prostorija, nadstrešnica, odrediti i urediti prometne i parkirne površine za radne i teretne automobile, opremu, građevinske strojeve i sl., te opremu i objekte za rastresiti i habasti građevinski materijal,
- 	Izvođač je dužan gradilište sa svim prostorijama i cijelim inventarom redovito održavati i čistiti,
- 	Sve materijale izvođač mora redovito i pravovremeno dobaviti da ne dođe do bilo kakvog zastoja gradnje,
- 	U kalkulacije izvođač mora prema ponuđenim radovima uračunati ili posebno ponuditi eventualne zaštite za zimski period građenja, kišu ili sl.</t>
  </si>
  <si>
    <t>- 	Izvođač je dužan svu površinsku vodu u granicama gradilišta na svim nižim nivoima redovito odstranjivati odnosno nasipavati,
- 	Na gradilištu mora postojati permanentna čuvarska služba za cijelo vrijeme trajanja gradnje također uračunata u faktor,
- 	Gradilište mora biti po noći dobro osvijetljeno,
- 	Sve otpadne materijale (šuta, lomovi, mort, ambalaža i sl.) treba odmah odvesti. Troškove treba ukalkulirati u režiju i faktor. Ukoliko se isti neće izvršavati investitor ima pravo čišćenja i odvoz otpada povjeriti drugome, a na teret izvođača radova,
- 	Izvođač je dužan uz shemu organizacije gradilišta dostaviti i spisak sve mehanizacije i opreme koja će biti na raspolaganju gradilišta, te satnice za rad i upotrebu svakog stroja,
- 	Izvođač je dužan bez posebne naplate osigurati investitoru i projektantu potrebnu pomoć kod obilaska gradilišta i nadzora, uzimanju uzoraka i sl., potrebnim pomagalima i ljudima,
- 	Na gradilištu moraju biti poduzete sve HTZ mjere prema postojećim propisima.
Izvođač je dužan po završetku radova gradilište kompletno očistiti, skinuti i odvesti sve nasipe, betonske podloge, temelje strojeva, radnih i pomoćnih prostorija i drugo do zdrave zemlje da se može pristupiti hortikulturnom uređenju.
Jediničnom cijenom treba obuhvatiti sve elemente navedene kako slijedi:
a) Materijal
Pod materijalom podrazumijevaju se svi materijali koji sudjeluju u radnom procesu: kako osnovni materijali, tako i materijali koji ne spadaju u finalni produkt već su samo kao pomoćni. U cijenu je uključena i cijena transportnih troškova bez obzira na prijevozno sredstvo, sa svim prijenosima, utovarima i istovarima, te posizanjima na mjesto ugradbe, kao i uskladištenje i čuvanje na gradilištu od uništenja</t>
  </si>
  <si>
    <t>(prebacivanje, zaštita i sl.). U cijenu je također uključeno i davanje potrebnih uzoraka kod materijala završne obrade (prema zahtjevu projektanta i/ili investitora), te svi potrebni certifikati (atesti).
b) Rad
U kalkulaciju treba uključiti sav rad, kako glavni, tako i pomoćni, te sav unutrašnji transport (kako horizontalni tako i vertikalni). Ujedno treba uključiti i rad oko zaštite gotovih konstrukcija i dijelova objekta od štetnog atmosferskog utjecaja vrućine, hladnoće i sličnog. Sva potrebna čišćenja, kod svih građevinskih i obrtničkih radova, u toku izvođenja, dnevno (nakon završetka rada) uključiti u jedinične cijene stavki, tj, neće se posebno plaćati.
c) Izmjere
Ukoliko nije u pojedinoj stavci dat način rada, ima se izvođač u svemu pridržavati propisa HRN-a za pojedinu vrstu rada, prosječnih normi u građevinarstvu (izdanje iz 1980. godine), uputa proizvođača materijala koji se upotrebljava ili ugrađuje, te uputa nadzorne službe naručitelja.
Građevinska knjiga, za sve izvedene radove, treba prilikom izrade situacija biti priložena.
Građevinska knjiga sadrži sve nacrte, skice i dokaznice za izvedene radove, koji su ujedno i prilog situaciji. Samo potpisana građevinska knjiga, ovjerena od strane nadzorne službe naručitelja, bit će podloga za izradu situacije.
d) Zimski i ljetni rad</t>
  </si>
  <si>
    <t>Ukoliko je u ugovoreni termin izvršenja radova uključen i zimski, odnosno ljetni period, to se neće izvođaču priznati nikakve naknade za rad pri niskoj, odnosno visokoj temperaturi, te zaštita konstrukcija od smrzavanja, vrućine i atmosferskih nepogoda: sve to mora biti uključeno u jediničnu cijenu.
Za vrijeme zimskih, odnosno ljetnih razdoblja izvođač ima štititi objekt od smrzavanja, odnosno od prebrzog sušenja uslijed visokih ljetnih temperatura.
U slučaju eventualno nastalih šteta (smrzavanja dijelova) izvođač ih ima otkloniti bez bilo kakve naplate. Ukoliko je temperatura niža od temperature pri kojoj je dozvoljen dotični rad, izvođač snosi punu odgovornost za ispravnost i kvalitetu rada.
Analogno vrijedi i za zaštitu radova tokom ljeta od prebrzog sušenja uslijed visoke temperature.
e) Cijene
U jediničnu cijenu rada izvođač treba obuhvatiti i slijedeće radove, koji se neće zasebno platiti kao naknadni rad, i to:
- kompletnu režiju gradilišta uključujući dizalice, mostove, mehanizaciju i/ili sl;
- organizaciju prostorija i uvjeta zaštite na radu, zaštite od požara, te komfora i higijene zaposlenih;
- najamne troškove za posuđenu mehanizaciju, koju izvođač sam ne posjeduje, a potrebna je pri izvođenju radova;
- sve troškove utroška vode, električne energije i svih drugih energenata;
- nalaganje temelja prije iskopa;
- čišćenje ugrađenih elemenata od žbuke i/ili sl;</t>
  </si>
  <si>
    <t>- sva ispitivanja materijala i ishođenje atesta (certifikata);
- ispitivanja dimnjaka i ventilacija u svrhu dobivanja potvrde od dimnjačara o ispravnosti istih;
- čuvanje radilišta i gradilišta;
- uređenje gradilišta po završetku rada, s otklanjanjem i odvozom otpadaka, šute, ostataka građevinskog materijala, inventara, pomoćnih objekata i/ili sl, s planiranjem terena na relativnu točnost od  3 cm;
- uskladištenje materijala i elemenata za obrtničke i instalaterske radove do njihove ugradbe;
- osiguranje radova kod osiguravajućeg društva.
Nikakvi režijski sati niti posebne naplate po navedenim radovima neće se posebno priznati, jer sve ovo ima biti uključeno u jediničnu cijenu. Prema ovom uvodu, opisu stavaka i grupi radova treba sastaviti jediničnu cijenu za svaku stavku troškovnika.
f) Skele
Sve vrste radnih skela, bez obzira na visinu, ulaze u jediničnu cijenu dotičnog rada (osim gdje je posebno specificirana).
g) Ponude
Pod dobavom se podrazumijeva sav glavni (osnovni) materijal, sa svim transportima (fco gradilište, bez obzira na prijevozno sredstvo, svi utovari i istovari) i zavisnim troškovima.
Pod ugradbom se podrazumijeva sav rad potreban za ugradbu, sa svim pomoćnim i veznim materijalima (ljepila, mortovi, vijci, kitovi i sl.),</t>
  </si>
  <si>
    <t>sav unutrašnji transport, te ostalo navedeno pod odrednicom b) Rad.
h) Ostalo
U jedinične cijene stavki imaju biti uračunati svi radovi i potrebni materijali (eventualno ne specificirani posebno u samom troškovniku), a koji su potrebni za potpuno dovršenje građevine, tj. dovođenje u stanje "potpuno spremno za uporabu". Svi takovi radovi imaju biti uračunati u jedinične cijene, tj. neće se posebno plaćati.
Prije početka izvođenja radova ponuđač/izvođač je dužan izvršiti sve potrebne konzultacije i dogovore s investitorom vezano za funkciju građevine, parcele i/ili sl.
Izvedba i obrada materijalima, tonovima i nijansama u svemu strogo prema zahtjevima i po uputama nadležne konzervatorske ustanove (Uprava za zaštitu kulturne baštine, Konzervatorski odjel u Karlovcu) i projektanta.
Obaveza je izvođača provjeriti količine potrebnih materijala (prema projektu, nacrtima, detaljima, izmjeri i stanju na gradilištu i sl.), te naručiti i dobaviti potreban materijal prema vlastitom izračunu, izmjeri, procjeni i stvarnom stanju na gradilištu (ne prema količinama iz ovog troškovnika).
Ovi "Opći uvjeti" i sve “Napomene” (obračunsko-tehnički uvjeti i specifikacije) uz pojedine radove sastavni su dio troškovnika.</t>
  </si>
  <si>
    <t>DEMONTAŽE I RUŠENJA
Prilikom rušenja postojeće konstrukcije izvođač se mora u potpunosti pridržavati pravilnika o zaštiti na radu u građevinarstvu. Posebnu pažnju posvetiti izradi i postavi podupirača, tako da se ne ugrožavaju dijelovi zidova koji će se sanirati i uključiti u konstruktivni sistem obnovljene građevine.
Rušenja i demontaže mogu započeti tek nakon što se izvrše sve potrebne pripreme.
Voditi računa da se rušenja izvrše tako da se podiže što manje prašine (npr. dijelove koji se ruše vlažiti vodom, odvajati pregradama [juta, umjetni materijali i/ili folije, OSB ploče i/ili sl.] od okolnog prostora i/ili slično).
Prije početka izvođenja radova ponuđač/izvođač je dužan izvršiti sve potrebne konzultacije i dogovore s investitorom vezano za funkciju građevine, te organizirati radove na način da zgrada i dijelovi zgrade na kojima se izvode radovi (prema potrebi i zahtjevima investitora i/ili sl.) bude djelomično ili u potpunosti u funkciji.
Obzirom da se radovi izvode na dijelovima konstrukcija, zidnih ispuna i/ili sl, u postojećem urbanistički organiziranom i definiranom ambijentu, na građevini koja je u funkciji, u jedinične cijene stavki uključiti sve potrebne materijale, radove i konstrukcije za zaštitu postojećih elemenata i dijelova zgrada i/ili okoliša, bez posebne napomene. Sva oštećenja građevinskih elemenata (konstrukcija, pod, zid, strop, vrata, prozori, fasada, krov, okoliš, oprema i sl.), materijala završne obrade i sl, koji nisu u zoni zahvata radova, padaju na teret izvođača radova koji ih je prouzročio.</t>
  </si>
  <si>
    <t>Sve radove rušenja i demontaža izvesti pažljivo, kako bi se izbjegla nepotrebna oštećenja obodnih konstrukcija i građevinskih elemenata, te kako bi se zdrave i neoštećene i/ili restaurirane dijelove eventualno ponovno ugradilo, a sve prema preporukama, uputama, zahtjevima i odlukama nadzorne službe, investitora, projektanta i/ili sl.
Opći uvjeti mijenjaju se ili nadopunjuju opisom pojedine stavke troškovnika.
ZEMLJANI RADOVI
Sve iskope za temelje i/ili sl. izvesti točno prema projektu.
Predviđenu kategoriju tla u troškovniku izvođač treba provjeriti na licu mjesta. Ukoliko kategorija u troškovniku ne odgovara, ustanoviti ispravnu i to unjeti u građevinski dnevnik, a što obostrano potpisuju nadzorni inženjer i rukovodilac gradnje te zajedno sa projektantom (statičarom) izvršiti korekciju dimenzija temelja. Za sve štete koje bi nastale uslijed pogrešnog temeljenja odgovoran je izvođač.
Kod zatrpavanja nakon iskopa temelja treba materijal (za zatrpavanje) polijevati, kako bi se mogao bolje nabiti i kako bi se dobila potrebnu zbijenost. Nabijanje izvesti u slojevima debljine do najviše 30 cm, s vibro-nabijačima ili „žabama“.
Po završetku gradnje izvršiti zatrpavanje depresija i jama, uklanjanje svega nepotrebnog sa gradilišta, planiranje terena i/ili sl. Sve ovo uključiti u faktor u okviru režije gradilišta, jer se neće plaćati posebno.
Višak materijala, koji ne treba za zatrpavanje uokolo objekta i sl, utovariti u prijevozno sredstvo i odvesti na gradilišnu planirku, odakle će se ponovno upotrijebiti za ugradbu.</t>
  </si>
  <si>
    <t>Prevoženi materijal računa se u sraslom stanju, dok se postotak za rastresitost ukalkulira u cijeni.
Za nasipni sloj ispod betonskih podloga upotrijebiti šljunak koji nema frakcije sitnije od 10 mm. Može se upotrijebiti i tucanik veličine 10-80 mm. Sloj podloge šljunka ili tucanika treba fino isplanirati i nabiti. Kod slučaja gdje je za nasipavanje potrebno dovesti materijal iz pozajmišta, jediničnom cijenom treba obuhvatiti i otvaranje pozajmišta.
Obračun se vrši prema normama GN-200 ili jednakovrijedno.
Jedinična cijena za pojedinu stavku treba sadržavati:
- sav rad za iskop;
- potrebne razupore za duboke rovove, podupore i mostove za prebacivanje;
- nalaganje podruma i temelja;
- kod izvedbe nasipa uključivo nabijanje laganim nabijačima i polijevanje vodom;
- vartikalno zasijecanje stijena kod iskopa temelja radi betoniranja istih;
- odvodnja oborinske vode iz građevne jame;
- kod dovoza zemlje iz pozajmišta uključivo iskop sa prevozom, utovarom i istovarom;
- sav potreban materijal za iskope viših kategorija terena (eksploziv, kapisle, korda i/ili sl.).
Obračun iskopanog materijala izvršiti po m3 u sraslom stanju, s time što količina iskopa mora biti jednaka zbroju količina ugradbe i odvoza, odnosno dovoza materijala.
Opći uvjeti mijenjaju se ili nadopunjuju opisom pojedine stavke troškovnika.</t>
  </si>
  <si>
    <t>BETONSKI I ARMIRANO-BETONSKI RADOVI
Betonske i armirano betonske radove izvesti prema opisu u troškovniku, te u skladu s važećim normama za armirane i nearmirane betone, prema Tehničkom propisu za građevinske konstrukcije (NN 17/17, 75/20, 7/22).
Sav materijal za izradu betona mora zadovoljavati odgovarajuće propise:
- portland cement HRN B.C1.011 ili jednakovrijedno;
- bijeli portland cement HRN B.C1.099 ili jednakovrijedno;
- sulfatnootporni cement HRN B.C1.014 ili jednakovrijedno;
- agregat HRN B.B3.100, B2.010 ili jednakovrijedno;
- voda HRN U.M1.058 ili jednakovrijedno;
- dodaci betonu HRN.U.M1.035, 037 ili jednakovrijedno ;
- lagani agregati za beton (termoizolacioni) HRN.U.M4.021, 023 ili jednakovrijedno;
- agregat za lagani beton za konstrukciju HRN U.M4.022 ili jednakovrijedno;
- betonske podloge za monolitne podove HRN U.F2.033 ili jednakovrijedno;
- bet. plivajuće podloge HRN U.F2.020 ili jednakovrijedno;
- ispitivanje vodonepropusnosti HRN U.M1.015 ili jednakovrijedno;
- ispitivanje utjecaja dodataka na koroziju armature HRN U.M1.044 ili jednakovrijedno;</t>
  </si>
  <si>
    <t>- ispitivanje utjecaja dodataka na osobine betona HRN U.M1.036 ili jednakovrijedno;
- transportirani beton HRN U.M1.045 ili jednakovrijedno.
Pri betoniranju jedne cjelovite betonske, odnosno arm. bet. konstrukcije upotrijebiti isključivo jednu vrstu cementa.
Izvođač je dužan dati na ispitivanje betonske uzorke, prema Pravilniku o tehničkim mjerama, bez posebne naplate.
Šljunak mora imati propisani granulometrijski sastav, bez organskih primjesa. Za nosive konstrukcije upotrebljava se agregat u granulacijama, osim iznimaka predviđenih u Pravilniku. Ovo se sve analogno odnosi na tucanik i na drobljenac.
Beton se mora miješati strojno (spravljati u automatskoj betonari) i to za sve betonske i arm. bet. konstrukcije. Ručno je dozvoljeno miješati jedino male količine nekonstruktivnih dijelova na objektu. Marke betona određuju se prema proračunu.
Nabijeni beton se betonira u slojevima od cca 15,0 cm (treba ga dobro nabijati), a prekide u slojevima vršiti stepenasto. Prekide betoniranja mora odobriti statičar, kao i način izvedbe prekida. Kod betoniranja konstrukcije nakon prekida, prvo treba spojeve očistiti, površinu ohrapaviti, isprati, premazati SN-vezom, a potom betonirati.
Beton treba njegovati i štititi, dok nije vezao (u prvih 7 dana), od djelovanja atmosferskih i temperaturnih utjecaja. Za vrijeme ljeta treba ga dobro polijevati vodom (kako ne bi na površini nastalo sušenje prije vezivanja), od djelovanja kiše treba ga pokriti, a u zimi od smrzavanja treba ga štititi slojem pijeska ili na koji drugi način (izolacija).
Sve eventualno ispucane, nepravilne i deformirane dijelove konstrukcije ukloniti i zamijeniti novima, bez prava naplate. Kod betoniranja kompliciranih i statički važnih konstrukcija, treba prethodno pozvati statičara da pregleda armaturu.
Odstupanja od dimenzija gotovih elemenata koji se ne žbukaju moraju biti unutar 1 0/00, u bilo kojem smjeru, za jednu etažu. Za žbukane dijelove odstupanja mogu biti maksimalno 0,5 % na etažu. Troškovi sanacije dijelova izvedenih van ovih kriterija padaju na teret izvođača. Nadzorni inženjer ima pravo izvršiti izvanredno ispitivanje betona, tj. uzeti seriju kocaka i dati ih na ispitivanje.</t>
  </si>
  <si>
    <t>U cijenu uračunati svu potrebnu skelu sa prilazima, mostovima i sl, za potrebe betoniranja.
Obračun se vrši prema normama GN 400-1 ili jednakovrijedno.
Jedinična cijena betonskih i armirano betonskih radova sadržava:
- dobavu sveg potrebnog materijala sa transportom na gradilište;
- sav potreban rad uključujući unutrašnji transport;
- zaštitu betonskih i arm. bet. konstrukcija od djelovanja atmosferilija i temperaturnih utjecaja;
- sve potrebne skele, uključujući podupiranje, učvršćenje, prilaze, mostove itd, te skidanje oplate (koje nisu obuhvaćene tesarskim radovima i/ili sl.);
- ubacivanje betona u oplatu;
- vlaženje i premazivanje oplate i mazanje kalupa;
- primjenu mjera zaštite na radu i korištenje osobne zaštitne opreme;
- dovođenje vode, plina i struje od priključaka na gradilištu do mjesta potrošnje;
- isporuka pogonskog materijala;
- čišćenje nakon završenih radova;
- popravak neravnina na elementima u glatkoj oplati;
- zatvaranje rupa, otvora , montažnih spojeva, šliceva oko instalacija i/ili sl.
Opći uvjeti mijenjaju se ili nadopunjuju opisom pojedine stavke troškovnika.</t>
  </si>
  <si>
    <t>ARMIRAČKI RADOVI
Armiračke radove izvesti prema Tehničkom propisu za građevinske konstrukcije (NN 17/17, 75/20, 7/22), te u skladu s važećim normama za armaturu:
- zavarene mreže HRN U.M1.091 ili jednakovrijedno;
- čelična žica za zavarene armature HRN C.B6.013 ili jednakovrijedno;
- vruće vučeni betonski čelici HRN C.K6.020 ili jednakovrijedno;
- hladno vučeni betonski čelici HRN C.K6.021 ili jednakovrijedno;
- BI armatura HRN U.M1.092 ili jednakovrijedno;
- čelici za prednaprezanje HRN C.K6.033, 034, 035, 036, 037 ili jednakovrijedno.
Željezo se upotrebljava sukladno slijedećim oznakama:
- rebrasti čelik 					B-400;
- armaturna mreža 				B-500.
Zbog lakšeg snalaženja navode se i stare oznake armaturnog željeza:
- glatki čelik 						240/360 GA;
- rebrasti čelik, tvrdi				400/500 RA;
- mreža od glatke hladno vučene žice		500/560 MAG;</t>
  </si>
  <si>
    <t>- mreža od rebraste hladno vučene žice	500/560 MAR;
- Bi-armatura 					680/80 BIA.
Sječenje i savijanje željeza vrši se točno po nacrtu savijanja. Prije početka betoniranja armaturu pregledava nadzorni inženjer investitora, a kod složenijih konstrukcija statičar. Željezo po planu savijanja mora biti iz jednog komada, ne smiju se spajati 2 ili 3 veća komada. Iznimno se mogu profili veći od  14 mm nastavljati na preklop od 50 cm, ili varenjem na sraz, prema odgovarajućim propisima, uz obaveznu kontrolu i ispitivanje vara od strane instituta za varenje. Prije betoniranja željezo dobro očistiti, povezati te podložiti. Upisom u građ. dnevnik od strane nadzornog inženjera ili statičara može se započeti sa betoniranjem.
Obračun se vrši prema normama GN-400 ili jednakovrijedno.
Jedinična cijena armiračkih radova sadrži:
- dobavu svog potrebnog materijala sa transportom na gradilište;
- sav potreban rad uključivo unutrašnji transport, te alat za ručnu ili strojnu obradu (sječenje, savijanje);
- postavljanje armature na mjesto ugradbe sa vezanjem, podmetačima, privremenim povezivanjem međusobno i za oplatu;
- čišćenje armature od hrđe, masnoće i ostalih nečistoća;
- primjenu mjera zaštite na radu i korištenje osobne zaštitne opreme;
- dovođenje vode, plina i struje od priključaka na gradilištu do mjesta potrošnje;
- isporuka pogonskog materijala;
- ugradba prefabriciranih nastavaka posebno se obračunava, ali se izvodi uz armiračke radove.</t>
  </si>
  <si>
    <t>Preciznost postave: s točnošću od 3 % u odnosu na projektirano stanje (razmaci i preklopi).
Opći uvjeti mijenjaju se ili nadopunjuju opisom pojedine stavke troškovnika.
TESARSKI RADOVI
Tesarske radove izvesti prema opisu u troškovniku i nacrtima, te u skladu s važećim normama za izvedbu i materijal:
- materijali za izradu drvenih konstrukcija HRN U.D0.001 ili jednakovrijedno;
- građa za skele HRN D.B1.025 ili jednakovrijedno;
- projektiranje i izvođenje konstrukcija od monolitnog drveta HRN U.O9.200 ili jednakovrijedno;
- projektiranje i izvođenje konstrukcija od lameliranih i ljepljenih elemenata HRN U.O9.300 ili jednakovrijedno;
- projektiranje i izvođenje drvenih skela i oplata HRN U.O9.400 ili jednakovrijedno;
- projektiranje i izvođenje zaštite drveta u konstrukcijama HRN U.O9.500 ili jednakovrijedno;
- tesana građa četinara HRN D.B7.020 ili jednakovrijedno;
- borova rezana građa HRN D.C1.040 ili jednakovrijedno;
- jelova rezana građa HRN D.C1.041 ili jednakovrijedno;
- kombinirane slojevite ploče HRN D.C5.042 ili jednakovrijedno;
- šper-ploče HRN D.C5.021 ili jednakovrijedno;
- iverice HRN D.C5.032 ili jednakovrijedno;</t>
  </si>
  <si>
    <t>- lesonit ploče HRN D.C5.022 ili jednakovrijedno;
- brodski pod HRN D.C1.042 ili jednakovrijedno;
- građevinski čavli HRN M.B4.020 ili jednakovrijedno;
- vijci za drvo HRN M.B1.024 ili jednakovrijedno;
- čavli za pištolj HRN G.E9.220 ili jednakovrijedno;
- građevinski čavli sa upuštenom nareckanom glavom HRN M.B4.021 ili jednakovrijedno;
- čavli za ljepenku HRN M.B4.090 ili jednakovrijedno;
- tehnički uvjeti zaštite od požara u građevinarstvu HRN U.J1.070, 110, 114 ili jednakovrijedno;
- zaštita građevinskog drveta HRN D.T4.027 ili jednakovrijedno;
- protupožarni premazi HRN D.T4.037, 039 ili jednakovrijedno.
Oplatu treba postaviti tako da se nakon betoniranja ne pojavi ni najmanja deformacija na konstrukciji. Skidanje oplate raditi pažljivo da ne dođe do oštećenja konstrukcije, naročito rubova, zubaca ili utora. Svu oplatu izvesti točno prema detaljima, nacrtima i uputama projektanta.
Odstupanja od dimenzija gotovih elemenata koji se ne žbukaju moraju biti unutar 1 0/00, u bilo kojem smjeru, za jednu etažu. Za žbukane dijelove odstupanja mogu biti maksimalno 0,5 % na etažu. Troškovi sanacije dijelova izvedenih van ovih kriterija padaju na teret izvođača.
Obračun se vrši prema normama GN-601 ili jednakovrijedno.
Jedinična cijena tesarskih radova sadrži:
- dobavu svog potrebnog materijala (s transportom na gradilište), glavnog i pomoćnog za ugradbu;</t>
  </si>
  <si>
    <t>- sav potreban rad na obilježavanju, izradi i ugradbi sa unutarnjim transportom do mjesta krojenja, te mjesta ugradnje;
- označavanje, uzimanje mjera na objektu;
- demontaža oplate, čišćenje, premazivanje oplatanom, vađenje čavala i prijenos na novo mjesto ugradbe;
- ugradbu blokova od pjenobetona na mjestima prodora instalacija ili izradu kutija na mjestima prodora;
- sve potrebne radne, lake i pokretne skele;
- primjenu mjera zaštite na radu i korištenje osobne zaštitne opreme;
- dovođenje vode, plina i struje od priključaka na gradilištu do mjesta potrošnje;
- isporuka pogonskog materijala;
- čišćenje radilišta nakon završetka radova.
Opći uvjeti mijenjaju se ili nadopunjuju opisom pojedine stavke troškovnika.
Sav upotrijebljeni materijal i finalni građevinski proizvodi moraju odgovarati postojećim tehničkim propisima i HRN ili jednakovrijednim normama.	
Prilikom izvedbe tesarskih radova treba se u svemu pridržavati svih važećih propisa i standarda za građevinske konstrukcije, koje prije početka izvođenja mora odobriti nadzorni inženjer.	
- Pravilnik o zaštiti na radu u građevinarstvu;	
- rezana građa, ispitivanje oplate i skele HRN D.C1.040.,041. i 042 ili jednakovrijedno. 	
(izvođenje drvenih skela i oplata) HRN U.C9.400 ili jednakovrijedno. 	
- ispitivanje ploča vlaknatica i iverica HRN D.D8.100.do 114 ili jednakovrijedno.</t>
  </si>
  <si>
    <t>- slojevito drvo, terminologija i definicije HRN D.10.060-1969 ili jednakovrijedno. 	
- ispitivanje drveta, opći dio HRN D.A1.020-1957 ili jednakovrijedno. 	
- ispitivanje drveta, održavanje sadržaja vlage HRN D.A1.043-1979 ili jednakovrijedno. 	
- ispitivanje drveta, određivanje zatezne čvrstoće u pravcu vlakana HRN D.A1.048-1979 ili jednakovrijedno . 	
- ispitivanje drveta, zatezna čvrstoća okomito na drvna vlakna HRN D.A1.052-1958 ili jednakovrijedno. 	
- zaštita drveta, ispitivanje otpornosti prema gljivama, usporedna otpornost različitih vrsta drveta HRN D.A1.058-1971 ili jednakovrijedno. 	
- furnirske i stolarske ploče, određivanje stupnja slijepljenosti HRN D.A1.072.1972 ili jednakovrijedno. 	
- tesana građa četinara HRN D.B7.020-1955 ili jednakovrijedno. 	
- ploče vlaknatice (lesonit ploče), tehnički uvjeti za izradu i isporuku HRN D.C5.022-1968 ili jednakovrijedno. 	
Norme za tesarske radove:
- HRN S.D.B7.020 ili jednakovrijedno – tesano crnogorično drvo
- HRN S.D.C1.040 i 041 ili jednakovrijedno – rezano crnogorično drvo	
ČELIČNE KONSTRUKCIJE
Izrada i montaža čeličnih konstrukcija mora se izvesti od strane za to ovlaštene i provjerene organizacije, a u skladu s postojećim propisima:
- Tehničkim propisima za zavarene nosive čelične konstrukcije;</t>
  </si>
  <si>
    <t>- Tehničkim propisima za nosive čelične konstrukcije spojene zakovicama i vijcima;
- Pravilnikom o tehničkim normativima za nosive čel. konstrukcije (Sl. list 61/86 -1772);
- Pravilnikom o teh. propisima o kvaliteti zavarenih spojeva (Sl. list 41/64 - 763);
- Pravilnikom o teh mjerama i uvjetima za montažu čel. konstr. (Sl. list 29/70 -788);
- Pravilnikom o teh. mjerama i uvjetima za zaštitu čel. konstrukcija od korozije (Sl. list 32/70).
Sav materijal mora zadovoljavati odgovarajuće propise:
- kutni istokraki profili HRN C.B3.101 ili jednakovrijedno;
- kutni raznokraki profili HRN.C.B3.111 ili jednakovrijedno;
- čelični lim: - debeli, srednji HRN.C.B4.111 ili jednakovrijedno;
- tanki HRN.C.B4.016, 112-113 ili jednakovrijedno;
- čel. I-nosači HRN C.B3.131 ili jednakovrijedno;
- čel. U-nosači HRN C.B3.141 ili jednakovrijedno;
- bešavne čel. cijevi HRN C.B5.021 ili jednakovrijedno;
- šavne čel. cijevi HRN C.B5.240 ili jednakovrijedno;
- nehrđajući čelici HRN C.B0.500 ili jednakovrijedno;
- čelične oplaštene elektrode za elektrolučno ručno zavarivanje HRN C.H3.011 ili jednakovrijedno;
- žice za plinsko varenje HRN C.H3.051 ili jednakovrijedno;
- plosnati vrući valjani čelici HRN C.B3.025 ili jednakovrijedno;
- trakasti (obručni) vruće valjani čelici HRN C.B3.550 ili jednakovrijedno;</t>
  </si>
  <si>
    <t>- osnovna premazna sredstva HRN C.T7.326, 327, 328, 329 ili jednakovrijedno.
Oblici i mjere vijaka i/ili sl. propisani su odgovarajućim normama. Eventualne izmjene materijala te načina izvedbe moraju se izvršiti isključivo pismenim dogovorom sa projektantom.
Nadzor nad svim fazama izrade čelične konstrukcije u radionici i nad montažom vrši nadzorni inženjer za konstrukciju. Kod izrade čelične konstrukcije u radionici izvođač je dužan nadzornom inženjeru staviti na uvid:
- certifikate materijala od kojih je izrađena čelična konstrukcija;
- certifikate za spojni materijal (vijke, elektrode, zakovice i/ili sl.);
- certifikate varioca koji izrađuju dotičnu konstrukciju;
- uvjerenja o kvalifikacijama drugih stručnih osoba angažiranih na izradi konstrukcija;
- planove slijeda zavarivanja s točnim odredbama rasporeda i slijeda zavarivanja svakog vara;
- zakonski propisano vođenje dnevnika (radionički dnevnik, dnevnik zavarivanja);
- skice sa ucrtanim brojevima certifikata osnovnog i spojnog materijala iz kojeg je izrađjena svaka pojedina pozicija, s označenim varovima, s brojem certifikata elektrode i oznakom varioca koji je izvršio zavarivanje.
Kod montaže čelične konstrukcije na gradilištu izvođač je dužan nadzornom inženjeru staviti na uvid:
- plan montaže konstrukcije u kojem će biti detaljno razrađen proračun i slijed montaže;
- radioničke nacrte sa svim izmjenama i dopunama;
- dokumente o prijemu konstrukcije u radionici;
- certifikat zavarivača koji vrši zavarivanje konstrukcije na montaži;</t>
  </si>
  <si>
    <t>- dokumente o kontroli i izvođenju montažnih spojeva;
- montažni dnevnik, dnevnik zavarivanja;
- podatke o geodetskim i drugim mjerenjima tokom montaže;
- fotodokumentaciju o građenju objekta.
Dužnosti i obaveze nadzornog inženjera (između ostalih) jesu:
- kontinuirana kontrola izrade i montaže čelične konstrukcije u svim fazama;
- ovjeravanje naprijed navedenih dokumenata, sudjelovanje kod prijema konstrukcije u radionici (u skladu s odredbama čl. 30 Pravilnika o tehničkim mjerama i uvjetima za montažu čelične konstrukcije);
- sudjelovanje kod prijema gotove montirane konstrukcije (u skladu s odredbama čl. 143-149 Pravilnika o tehničkim mjerama i uvjetima za montažu čelične konstrukcije).
Izvođač je dužan i zakonski obavezan upozoriti projektanta na uočene proturječnosti i nedostatke u tehničkoj dokumentaciji. Isto tako dužan je za sve nejasnoće tražiti objašnjenja od projektanta. Izvođač radova garantira za kvalitetu izrađene i montirane konstrukcije 2 godine nakon izvršene montaže. Početak garantnog roka utvrđuje se zapisnikom kod tehničkog prijema. Ugovorom se mogu utvrditi i drugi uvjeti garancije, ali u skladu s važećim propisima i uzancama. Izvođač može predanu mu tehničku dokumentaciju upotrebljavati isključivo za izradu konstrukcije obrađene u ovom elaboratu.
Jediničnom cijenom po kg konstrukcije treba obuhvatiti:
- sve troškove dobave, izrade i montaže konstrukcije;
- sav potreban pomoćni materijal, alat, mehanizaciju i uskladištenje;</t>
  </si>
  <si>
    <t>- pripremu površine, te kvalitetnu antikorozivnu zaštitu (prema posebnim uvjetima antikorozivne zaštite);
- sve horizontalne i vertikalne transporte do mjesta ugradbe, svu potrebnu radnu skelu, sve štete i troškove popravaka (posljedice eventualne nepažljive izvedbe);
- primjenu mjera zaštite na radu i korištenje osobne zaštitne opreme;
- troškove izdavanje i dobivanja certifikata;
- isporuku pogonskog materijala;
- dovođenje vode, plina i struje od priključaka na gradilištu do mjesta potrošnje;
- čišćenje nakon završenih radova.
Obračun izvršenih radova izvršit će se prema odredbi čl. 152. i 153. Pravilnika o tehničkim mjerama i uvjetima za montažu čelične konstrukcije (Sl. list 29/70 -788), osim ako ugovorom nije utvrđeno drugačije. Tijekom izvođenja radova se, po nahođenju nadzornog inženjera, može vršiti dopunsko certificiranje pojedinih zavarivača, ako se za to ukažu potrebe. Troškove certificiranja snosi izvođač. Certificiranje zavarivača vršit će se prema HRN C.T3.061 ili jednakovrijedno.
Preciznost izvedbe: odstupanja veća od 1 0/00 po etaži neće se tolerirati, već će se popravljati o trošku izvoditelja radova.
Dodatni materijal mora se uskladištiti u suhom prostoru tako da ne dođe do vlaženja. Uskladištenje dodatnog materijala, bilo elektroda, žica ili praha, vrši se u originalnoj ambalaži isporučioca elektroda.
Sav dodatni materijal koji se, u radionici ili na gradilištu, ostavlja, poslije izvršenog dnevnog rada, u otvorenoj ambalaži, mora se prije ponovne upotrebe podvrgnuti propisanom sušenju na peći, na temperaturi koja je u te svrhe propisana. To se odnosi na oploštene elektrode kao i na prah za automatska ili poluautomatska zavarivanja. Pojedine vrste elektroda (ukoliko zahtijevaju tehnički uvjeti) moraju biti sušene odmah nakon vađenja iz originalne ambalaže.</t>
  </si>
  <si>
    <t>Uvjetima antikorozivne zaštite i ugovorom propisat će se stupanj pripreme površine te debljine i kvalitete prvog temeljnog premaza. U slučaju da se to ne učini primjenjivat će se važeće zakonske norme, propisi i pravilnici.
ZIDARSKI RADOVI
Zidarske radove izvesti prema opisu u troškovniku, te u skladu s važećim standardima. Ako koja stavka nije izvođaču jasna treba pravovremeno prije predaje ponude tražiti objašnjenje. Eventualne izmjene materijala, te načina izvedbe tokom gradnje, moraju se izvršiti isključivo pismenim dogovorom sa projektantom i nadzornim inženjerom. Više radnje, koje neće biti na taj način utvrđene, neće se priznati u obračun. Ukoliko se stavkom troškovnika traži materijal koji nije obuhvaćen propisima, mora se u svemu izvesti prema uputama proizvođača, te s garancijom i certifikatima od za to ovlaštenih ustanova. Štete pri ugradbama i sl, nastale na vlastitim i tuđim radovima, moraju se popraviti na račun izvršioca štete.
Zamjenski materijal bolje kvalitete od tražene obračunava se po nabavnoj cijeni ako je ona manja od ugovorene, a po ugovorenoj cijeni ako je nabavna veća od ugovorene.
Pridržavati se Tehničkog propisa za dimnjake u građevinama (NN 03/07).
Obračun se vrši prema normama GN-301 ili jednakovrijedno.
A) GRUBI ZIDARSKI RADOVI
Sav materijal za izradu zidarskih radova mora zadovoljavati odgovarajuće propise:
- puna opeka od gline HRN B.D1.011 ili jednakovrijedno;</t>
  </si>
  <si>
    <t>- lagana šuplja opeka i blok od gline HRN B.D1.015 ili jednakovrijedno;
- fasadna puna opeka HRN B.D1.013 ili jednakovrijedno;
- fasadna šuplja opeka i blok od gline HRN B.D1.014 ili jednakovrijedno;
- puna radijalna opeka od gline HRN B.D1.012 ili jednakovrijedno;
- silikatno-vapnena opeka i blok (puna, šuplja) HRN U.N3.300 ili jednakovrijedno;
- betonski šuplji bloketi HRN U.N1.100 ili jednakovrijedno;
- bloketi od plino i pjeno betona HRN U.N1.308 ili jednakovrijedno;
- šljako-betonski bloket HRN U.N9.020 ili jednakovrijedno;
- puni bloket od laganog betona HRN U.N1.011 ili jednakovrijedno;
- šuplji bloket od laganog betona HRN U.N1.020 ili jednakovrijedno;
- mort za zidanje HRN U.M2.010 ili jednakovrijedno;
- vatrostalni mort HRN B.D6.430, 432, 434 ili jednakovrijedno;
- hidratantno vapno HRN.B.C1.02, 021 ili jednakovrijedno;
- gips HRN B.C1.030 ili jednakovrijedno;
- armirane zidne ploče od pjeno i plino betona HRN U.N1.304 ili jednakovrijedno;
- cement HRN B.C1.01, 012 ili jednakovrijedno;
- voda HRN U.M1.058 ili jednakovrijedno;
- kamen HRN B.B3.200 ili jednakovrijedno;
- prefabricirani dimnjaci i dimnjački elementi HRN EN 13063-1 ili jednakovrijedno,
HRN EN 13063-2 ili jednakovrijedno,</t>
  </si>
  <si>
    <t>HRN EN 13069 ili jednakovrijedno,
HRN EN 1856-1 ili jednakovrijedno,
HRN EN 1443:2003 ili jednakovrijedno,
HRN EN 13063-1:2006 ili jednakovrijedno,
HRN EN 13063-2:2005 ili jednakovrijedno,
HRN EN 13069:2005 ili jednakovrijedno.
Odstupanja od dimenzija gotovih elemenata koji se ne žbukaju moraju biti unutar 1 0/00, u bilo kojem smjeru, za jednu etažu. Za žbukane dijelove odstupanja mogu biti maksimalno 0,5 % po etaži i elementu, u svim smjerovima. Troškovi sanacije dijelova izvedenih van ovih kriterija padaju na teret izvođača.
Jedinična cijena zidarskih radova sadrži:
- dobavu svog potrebnog materijala, uključivo vezni;
- sav rad, uključivo zidanje i priprema morta;
- potreban alat i strojeve;
- transportne troškove materijala;
- donošenje vode, povremeno miješanje morta, vlaženje opeke, premještanje korita i skela od nogara;
- unutarnji transport, horizontalni i vertikalni, do mjesta ugradbe;
- obilježavanje mjesta zidanja;
- sve potrebne radne, lake i pokretne skele;
- zaštita zidova od utjecaja vrućine, hladnoće, atmosferskih nepogoda;</t>
  </si>
  <si>
    <t>- primjenu mjera zaštite na radu i korištenje osobne zaštitne opreme;
- dovođenje vode, plina i struje od priključaka na gradilištu do mjesta potrošnje;
- isporuka pogonskog materijala;
- čišćenje nakon završetka radova.
B) ŽBUKANJA, PODLOGE PODOVA I GLAZURE
Sav materijal za izradu radova žbukanja, podloga i glazura, mora zadovoljavati odgovarajuće propise, a izvedba mora biti u skladu sa važećim normama:
- cement HRN B.C1.011, 012 ili jednakovrijedno;
- voda HRN U.M1.058 ili jednakovrijedno;
- pijesak HRN B.B8.039 ili jednakovrijedno;
- vapno HRN B.C1.020, 021 ili jednakovrijedno;
- gips HRN B.C1.030 ili jednakovrijedno;
- mort za žbukanje HRN U.M2.012 ili jednakovrijedno;
- gipskartonske ploče HRN B.C1.035, 040, 045 ili jednakovrijedno;
- vatrostalni mort HRN B.D6.430 ili jednakovrijedno;
- dodaci žbukama HRN U.M1.038 ili jednakovrijedno;
- plivajuće cementne podne podloge HRN U.F2.020 ili jednakovrijedno.
Žbukanje vršiti u pogodno vrijeme, kada su zidovi i stropovi potpuno suhi. Prije žbukanja, treba plohu dobro očistiti od svih nečistoća,</t>
  </si>
  <si>
    <t>4.</t>
  </si>
  <si>
    <t>GRAĐEVINSKO - OBRTNIČKI RADOVI</t>
  </si>
  <si>
    <t>NAPOMENA: Radovi se izvode prema opisu u troškovniku, prema podacima iz projektne dokumentacije, uz rješavanje svih eventualnih pitanja u suradnji s projektantom i u skladu sa važećim standardima. Sav upotrebljeni materijal mora odgovarati postojećim propisima i standardima. Sve su dimenzije konstruktivnih elemenata date okvirno. Prije izvedbe obavezno uzeti točne mjere na građevini.
Svi su elementi, obloge i materijali veličine, boje, uzorka i načina oblaganja prema izboru projektanta. Sve su eventualne fuge veličine i boje prema izboru projektanta. Uključivo svu potrebnu antikorozivnu zaštitu svih elemenata i podkonstrukcija (osnovnih, dodatnih i/ili sl.), sve tipske kutne, spojne, razdjelne, završne i/ili sl. elemente, u svemu prema izboru / zahtjevu projektanta i u tehnologiji proizvođača. Upotrijebiti međusobno usklađene proizvode, kao sistemska rješenja jednog proizvođača, te ih</t>
  </si>
  <si>
    <t>ugraditi prema propisima, opisima i tehnologiji proizvođača odabranih materijala.
Opći uvjeti za armiranobetonske konstrukcije isti su kao u poglavlju 2. KONSTRUKCIJE.
Opći uvjeti za gipskartonske konstrukcije:
Svi materijali za spuštene stropove ili pregradne stijene i obloge moraju biti prvoklasni, moraju odgovarati važećim standardima i moraju posjedovati ateste a svi radovi moraju se izvoditi prema uputama proizvođača elemenata od kojih se radovi izvode.
Spojevi ploča moraju se prekriti trakama od staklenog voala i zagladiti propisanom glet masom. Rubovi ploča gdje je potrebno osiguranje od oštećenja, ojačavaju se kant al. perforiranim profilima, te se gletaju. Po završetku gletanja površine treba prebrusiti finim brusnim papirom tako da plohe budu potpuno glatke i vez vidljivih</t>
  </si>
  <si>
    <t>tragova spajanja i sl. Spoj sa zidom ili vertikalnim plohama stropa mora biti zapunjen akrilnim kitom.
Kod izvođenja radova potrebno je pridržavati se svih uputa proizvođača naročito glede uskladištenja ploča i uvjeta temperature i vlažnosti zraka prostora u kojima će se vršiti ugradba (temp. Od 11-35 stupnjeva i rel. vlažnost zraka do 70%). Prije početka ugradbe ploče treba donijeti u prostor u koji se ugrađuju min. 24 sata ranije da bi se prilagodile mikroklimatskim uvjetima.
Pregradni zidovi moraju imati traženo prigušenje zvuka od 35 dBa, sa ugradbom min. 5 cm mineralne vune tež. 50 kg/m² unutar zida. Obavezno je brtvljenje sudarnih spojnica uz zidove, strop i pod brtvenom trakom. Izvedba prema detaljima proizvođača. Po završetku je potrebno o trošku izvoditelja radova zatražiti ispitivanje prigušenja zvuka od ovlaštene pravne osobe uz</t>
  </si>
  <si>
    <t>predočenje rezultata mjerenja (atest).
Montažni zidovi i obloge od gipskartonskih ploča:
Montažni zidovi sistema tip kao KNAUF se izvode od podkonstrukcije - nosivih CW profila od pocinčanog lima debljine 0,7 mm presjeka 50/100 mm na maksimalnom razmaku 41,7 - 62,5 cm (ako stavkom nije drugačije naznačeno) te s donjim i gornjim UW-profilom. Između profila se umeće mineralna vuna i osigurava se od micanja. Kod spoja sa zidom, stropom ili podom na profile se nanosi brtvena masa, a posebno i temeljito kod zahtjeva za zaštitu od buke. Sve rubne profile na spojevima s podom, stropom i sa zidovima treba učvrstiti odgovarajućim učvrsnim elementima. Učvrsni element za masivni zid, pod ili strop je tipla s vijkom. Za ostale priključne površine koriste se učvrsna sredstva koja odgovaraju podlozi. Sve profile koji su u dodiru s bočnim zidovima i s podom odn. stropom treba prije</t>
  </si>
  <si>
    <t>montaže obložiti samoljepivom PE bertvenom trakom odgovarajuće širine.
Na potkonstrukciju se obostrano pričvršćuju gipskartonske ploče prema opisu u stavci pomoću tzv. vijaka za brzu ugradnju. Kod višeslojnog oblaganja spojevi donjih slojeva GK ploča se samo zapunjavaju a spojevi gornjeg sloja se završno obrađuju gletanjem kako je već opisano. Nakon obrade spojeva završno čitavu površinu pregletati smjesom za izravnanje što ulazi u stavku, tako da su zidovi potpuno pripremljeni za ličenje ili oblaganje keramičkim pločicama. Kod neprekidnih zidova potrebno je u razmaku od 15-20 m ugraditi dilatacijske spojeve. Kod neprekidnih zidnih obloga potrebno je u razmaku od ca.10 m ugraditi dilatacijske spojeve.
Kod odabira konstrukcije zida treba poštivati odredbe norme ÖNORM B 3415.</t>
  </si>
  <si>
    <t>U jediničnoj cijeni sadržano je:
- sav materijal, dobava i uskladištenje, te unutarnji transporti;
- sav rad opisan u stavci;
- potrebna radna skela;
- čišćenje svakodnevno i po završenom radu uključivo odvoz viška materijala na gradsku planirku;
- popravci štete na vlastitom ili drugim radovima učinjeni iz nepažnje;
- troškovi zaštite na radu i troškovi atesta.
Razred vatrootpornosti:
Dokaz za postizanje zahtjevanih razreda vatrootpornosti za zidnu konstrukciju osigurava izvođač radova putem atesta ovlaštene institucije, ako razred vatrootpornosti ne proizlazi iz normi: ÖNORM B 3800 / HRN U.J1.090 / DIN 4102 ili jednakovrijedno.
Radove izvoditi tek pošto su montirane i ispitane</t>
  </si>
  <si>
    <t>instalacije koje se nalaze unutar GK konstrukcija. U cijeni stavaka je uključeno bušenje - obrada ploča za potrebe ugradbe elemenata instalacija u završnim GK oblogama (utičnice, priključci i/ili sl.).
Radovi za prilagodbu na instalacijske i ugradbene dijelove, koji su ugrađeni prije oblaganja, posebno se ne obračunava. Prekidi rada (vrijeme čekanja) koji su posljedica instalacijskih radova ukalkulirani su u jedinične cijene.
Obračun po Normativima i opisima za suhu gradnju Hrvatske obrtničke komore.
Obračun po m2 s odbitkom otvora preko 2,5 m2/kom, bez dovratnika / doprozornika (za potkonstrukciju i oblogu obostrano). U tom slučaju špalete obračunati posebno po m1 razvijene dužine za izvedenu širinu, s izvedbom tipskog profila (obostrano) za ojačanje brida u cijeni m1.
Uključivo sva potrebna brtvljenja (brtve na spoju</t>
  </si>
  <si>
    <t>zidova sa podom, stropom, obodnim zidovima /ili sl.), kitanja, obrada spojeva ploča, bandažiranja, ukrute, sidra, profile za zaštitu kuteva i/ili sl. Prema potrebi ovjesnu konstrukciju spuštenih stropova dimenzionirati za nošenje rasvjetnih tijela, dijelove komunikacijske i ventilacijske opreme, visećih reklamnih panoa i/ili sl.
Obračun gipskartonskih radova prema ÖNORM B-2206 ili jednakovrijedno.
Uključivo svi potrebni tipski profili, elementi, fazonski komadi i/ili sl. Obaveza je izvođača proučiti sve projekte predmetne građevine, te u jedinične cijene stavki uračunati sve radove, potrebne materijale, njihove količine i/ili sl. (eventualno ne specificirane posebno u samom troškovniku), a koji su potrebni za potpuno dovršenje građevine, odnosno dovođenje u stanje "potpuno spremno za uporabu", do pune gotovosti i funkcionalnosti. Svi takvi radovi i materijali</t>
  </si>
  <si>
    <t>trebaju biti uračunati u jedinične cijene.
Obračun radova vrši se prema važećim propisima, po stvarno izvedenim količinama. Jediničnom cijenom obuhvaćen je sav rad, potreban materijal s transportom na gradilište, skele potrebne za izvođenje pojedinih radova, primjena mjera zaštite na radu i drugih važećih propisa.</t>
  </si>
  <si>
    <t>RB</t>
  </si>
  <si>
    <t>STAVKA</t>
  </si>
  <si>
    <t>JEDINICA MJERE</t>
  </si>
  <si>
    <t>KOLIČINA</t>
  </si>
  <si>
    <t>JEDINIČNA CIJENA</t>
  </si>
  <si>
    <t>UKUPNA CIJENA</t>
  </si>
  <si>
    <t>4.1.</t>
  </si>
  <si>
    <t>STANDARDNE ARMIRANOBETONSKE PLOČE</t>
  </si>
  <si>
    <t>Izvedba u svemu prema standardnoj tehničkoj specifikaciji prodajnog mjesta Eurospin - točka 4.1.</t>
  </si>
  <si>
    <t>4.2.</t>
  </si>
  <si>
    <t>VERTIKALNA ZATVARANJA</t>
  </si>
  <si>
    <t>Izvedba u svemu prema standardnoj tehničkoj specifikaciji prodajnog mjesta Eurospin - točka 4.2.
Pregradne zidove i obloge od gipskartonskih ploča izvesti nakon polaganja podne keramike.</t>
  </si>
  <si>
    <t>4.2.11.</t>
  </si>
  <si>
    <t>Fasadni sandwich paneli</t>
  </si>
  <si>
    <t>4.2.11.1.</t>
  </si>
  <si>
    <t>Fasadni izolacijski paneli s jezgrom od mineralne vune</t>
  </si>
  <si>
    <t>Dobava i montaža fasadnog izolacijskog panela skrivenog spoja, vertikalna montaža.
Komponente: izolacijski paneli sastavljeni od dva čelična lima, unutarnjeg i vanjskog, od vruće pocinčanog čelika (oko 275 g/m2) u skladu s HRN EN 10346, zaštićeni premazom u skladu s DIN EN 10169/1, obojeni i zalijepljeni za jezgru panela od negorive laminirane mineralne vune, debljine 18 cm, A2-s1, d0 (HRN EN 13501-1) za formiranje kompozitne strukture.
Unutarnji čelični lim debljine 0,55 mm glatkog profila. Vanjski čelični lim debljine 0,63 mm, profilacija valovita s maksimalnom ukupnom širinom sloja od 0,6 mm i maksimalnim razmakom između koraka od 15 mm.
Panel je zaštićen zaštitnom folijom za zaštitu obojanih površina s obje strane od mogućih oštećenja uzrokovanih rukovanjem, transportom i montažom. Prije montaže pojedinog panela potrebno je ukloniti foliju s unutarnje strane. Foliju s</t>
  </si>
  <si>
    <t>vanjske strane potrebno je ukloniti po završetku radova, osim za posebne zahtjeve (spojevi ploča, donji vijci i opšavi…).
Vertikalna montaža panela. Paneli širine 1 m i duljine od oko 2,64 m, 3,12 m, 5,70 m, kako bi se dobila jedna ploča koja pokriva ukupnu visinu zgrade, prema detaljnim nacrtima i kotama koje je odobrio Eurospin. Ukupna debljina panela oko 200 mm, U=0,23 W/m2K. Mora biti osigurana konstrukcijska otpornost sustava bez dodatne podkonstrukcije.
Nosivost: Nosivost panela bit će definirana u skladu s HRN EN 14509, HRN EN 1090, Eurocode standardima i lokalnim propisima. Rasponi i minimalna nosiva površina panela moraju se izračunati pojedinačno za predmetnu građevinu, uzimajući u obzir sve čimbenike za određivanje opterećenja na panele (opterećenje vjetrom, temperaturno opterećenje, vanjska opterećenja prema Eurokodu i standardima…). Za otvore</t>
  </si>
  <si>
    <t>predviđene odgovarajuće metalne podkonstrukcije obračunate posebno.
Pričvršćivanje: Pričvršćivanje fasadnih izolacijskih panela na dnu i blizu gornjeg ruba. Pričvršćivanje i potrebna podkonstrukcija za pričvršćivanje prema radioničkim nacrtima uključenim u jediničnu cijenu.
Srednje pričvršćivanje će se osigurati na međupodupiraču od čeličnih profila, postavljenom između sendvič panela i montažne betonske konstrukcije, kako bi se fasadni sendvič paneli učvrstili unutar dopuštenih tolerancija prema propisu (ENV 1090-1).
Sendvič paneli će se pričvrstiti na međunosače od čeličnih profila, pomoću namjenske letve za širenje, čija je svrha raspodjela nosivosti na veću nosivu površinu. Šipka za širenje bit će pričvršćena samoreznim vijcima, koji se dostavljaju u odgovarajućoj količini prema statičkim proračunima. Tip vijaka će se odrediti</t>
  </si>
  <si>
    <t>prema zahtjevima proizvođača.
Pričvršćivanje donjeg ruba na betonsku monijerku na dnu fasade. AB monijerka mora biti izvedena u skladu s tolerancijama prema propisima i uputama proizvođača izolacijskih panela, radi osiguranja da paneli budu postavljeni vodoravno. Brtvene trake treba postaviti na vrhu betonske monijerke, a potporni profil fiksirati na monijerku pomoću sidrenog vijka. Osigurati dodatni potporni profil kako bi se sendvič panel mogao postaviti s profilom unutar jezgre. Panel će se potom pričvrstiti s vanjske strane vijkom. Opšavom prekriti pričvršćivanje vijaka u boji istovjetnoj boji panela E.S.Brick.
Završna obrada: Sendvič paneli moraju biti zaštićeni premazom. U slučaju standardne primjene (okruženja bez opasnosti od korozije ili slanosti), ploče će biti prethodno obojane u tvornici, završene poliesterskom bojom mat GLOSS 20, nanesene prema zahtjevima proizvođača i sa</t>
  </si>
  <si>
    <t>sljedećim značajkama:
• Visoka izdržljivost
• Otpornost na koroziju RC3
• Otpornost na UV zračenje / postojanost boja RUV4
Prema UNI EN ISO 12944 i UNI EN 10169.
Svi proizvodi moraju biti najbolje kvalitete, s CE certifikatom i usklađeni s posebnim važećim normama HRN EN ISO. Premazi moraju biti u klasi požara A1 ili A2-s1, d0. Spojevi, područja rezanja i obrade moraju biti zabrtvljena.
Vanjski čelični lim panela bit će obojen E.S.Brick ili plavom bojom RAL 5011 GLOSS 20, u skladu s nacrtima koje je odobrio Eurospin. Unutarnji čelični limovi panela bit će obojeni u bijelo RAL 9010.
Vanjski kutovi će biti prekriveni pravokutnim opšavom s ravnim rubom koji iste boje kao paneli, pričvršćen slijepim zakovicama na profilima odgovarajućeg oblika. Gornji rub će biti zatvoren</t>
  </si>
  <si>
    <t>opšavnom kapom boje RAL 7043 SJAJ 20. Otvori za ugradnju prozora, vrata i otvora će se završiti limenim opšavom RAL 7043 SJAJ 20 debljine 8/10 mm.
Tehničke specifikacije:
• Toplinska izolacija: 0,23 W/m2K (U vrijednost)
• Vodopropusnost: Klasa A – 1200Pa (EN 14509),
• Reakcija na požar: Euroclass A2-s1,d0
• Otpornost na vatru: ≥EI 90
• Zvučna izolacija: ≥31 dB (EN 14509) i u skladu s važećim lokalnim propisima
• Propusnost zraka: n=1,5 C=0,00005
• Otpornost na provalu: klasa RC3
• Gustoća ispune: 40 kg/m3
Svojstva u skladu s Proračunom fizikalnih svojstava građevine.
Certifikati: Paneli moraju imati CE certifikat i moraju biti u skladu s važećim propisima.
Izvedba u svemu prema standardnoj tehničkoj</t>
  </si>
  <si>
    <t>specifikaciji prodajnog mjesta Eurospin - točka 4.2.11.
Detalji izvedbe u svemu prema standardnoj tehničkoj specifikaciji prodajnog mjesta Eurospin - Standardni detalj PNS03-14.
Obračun po m2.</t>
  </si>
  <si>
    <t>4.2.11.1.a.</t>
  </si>
  <si>
    <t>izolacijski paneli duljine  cca 570 cm
boja E. S. Brick</t>
  </si>
  <si>
    <t>m²</t>
  </si>
  <si>
    <t>4.2.11.1.b.</t>
  </si>
  <si>
    <t>izolacijski paneli duljine  cca 265 cm
boja plava RAL 5011</t>
  </si>
  <si>
    <t>4.2.11.1.c.</t>
  </si>
  <si>
    <t>izrada obloge odvodnih vertikala krovne vode (lažni stup) od izolacijskih panela širine 55 cm
boja plava RAL 5011</t>
  </si>
  <si>
    <t>UKUPNO:</t>
  </si>
  <si>
    <t>4.2.11.2.</t>
  </si>
  <si>
    <t>Fasadni izolacijski paneli s jezgrom od PIR pjene</t>
  </si>
  <si>
    <t>Dobava i montaža fasadnog izolacijskog panela skrivenog spoja, vertikalna montaža.
Komponente: izolacijski paneli sastavljeni od dva čelična lima, unutarnjeg i vanjskog, od vruće pocinčanog čelika (oko 275 g/m2) u skladu s HRN EN 10346, zaštićeni premazom u skladu s DIN EN 10169/1, obojeni i zalijepljeni za jezgru panela od pjene od poliizocijanurata (PIR), debljine 18 cm, B-s1, d0 (HRN EN 13501-1) za formiranje kompozitne strukture.
Unutarnji čelični lim debljine 0,55 mm glatkog profila. Vanjski čelični lim debljine 0,63 mm, profilacija valovita s maksimalnom ukupnom širinom sloja od 0,6 mm i maksimalnim razmakom između koraka od 15 mm.
Panel je zaštićen zaštitnom folijom za zaštitu obojanih površina s obje strane od mogućih oštećenja uzrokovanih rukovanjem, transportom i montažom. Prije montaže pojedinog panela potrebno je ukloniti foliju s unutarnje strane. Foliju s</t>
  </si>
  <si>
    <t>vanjske strane potrebno je ukloniti po završetku radova, osim za posebne zahtjeve (spojevi ploča, donji vijci i opšavi…).
Vertikalna montaža panela. Paneli širine 1 m i dužine od oko 2,65 m, 3,12 m, 5,70 m, kako bi se dobila jedna ploča koja pokriva ukupnu visinu zgrade ili dijela koji se oblaže, prema detaljnim nacrtima i kotama koje je odobrio Eurospin. Ukupna debljina panela oko 200 mm, U=0,23 W/m2K. Mora biti osigurana konstrukcijska otpornost sustava bez dodatne podkonstrukcije.
Nosivost: Nosivost panela bit će definirana u skladu s HRN EN 14509, HRN EN 1090, Eurocode standardima i lokalnim propisima. Rasponi i minimalna nosiva površina panela moraju se izračunati pojedinačno za predmetnu građevinu, uzimajući u obzir sve čimbenike za određivanje opterećenja na panele (opterećenje vjetrom, temperaturno opterećenje, vanjska opterećenja prema Eurokodu i standardima…). Za otvore</t>
  </si>
  <si>
    <t>predviđene odgovarajuće metalne podkonstrukcije obračunate posebno.
Pričvršćivanje: Pričvršćivanje fasadnih izolacijskih panela na dnu i blizu gornjeg ruba. Pričvršćivanje i potrebna podkonstrukcija za pričvršćivanje prema radioničkim nacrtima uključenim u jediničnu cijenu.
Srednje pričvršćivanje će se osigurati na međupodupiraču od čeličnih profila, postavljenom između sendvič panela i montažne betonske konstrukcije, postojećeg zida i sl., kako bi se fasadni sendvič paneli učvrstili unutar dopuštenih tolerancija prema propisu (ENV 1090-1).
Sendvič paneli će se pričvrstiti na međunosače od čeličnih profila, pomoću namjenske letve za širenje, čija je svrha raspodjela nosivosti na veću nosivu površinu. Šipka za širenje bit će pričvršćena samoreznim vijcima, koji se dostavljaju u odgovarajućoj količini prema</t>
  </si>
  <si>
    <t>statičkim proračunima. Tip vijaka će se odrediti prema zahtjevima proizvođača.
Pričvršćivanje donjeg ruba na betonsku monijerku na dnu fasade. AB monijerka mora biti izvedena u skladu s tolerancijama prema propisima i uputama proizvođača izolacijskih panela, radi osiguranja da paneli budu postavljeni vodoravno. Brtvene trake treba postaviti na vrhu betonske monijerke, a potporni profil fiksirati na monijerku pomoću sidrenog vijka. Osigurati dodatni potporni profil kako bi se sendvič panel mogao postaviti s profilom unutar jezgre. Panel će se potom pričvrstiti s vanjske strane vijkom. Opšavom prekriti pričvršćivanje vijaka u boji istovjetnoj boji panela E.S.Brick ili sl..
Završna obrada: Sendvič paneli moraju biti zaštićeni premazom. U slučaju standardne primjene (okruženja bez opasnosti od korozije ili slanosti), ploče će biti prethodno obojane u tvornici, završene poliesterskom bojom mat GLOSS</t>
  </si>
  <si>
    <t>20, nanesene prema zahtjevima proizvođača i sa sljedećim značajkama:
• Visoka izdržljivost
• Otpornost na koroziju RC3
• Otpornost na UV zračenje / postojanost boja RUV4
Prema UNI EN ISO 12944 i UNI EN 10169.
Svi proizvodi moraju biti najbolje kvalitete, s CE certifikatom i usklađeni s posebnim važećim normama HRN EN ISO. Spojevi, područja rezanja i obrade moraju biti zabrtvljena.
Vanjski čelični lim panela bit će obojen E.S.Brick ili plavom bojom RAL 5011 GLOSS 20, u skladu s nacrtima koje je odobrio Eurospin. Unutarnji čelični limovi panela bit će obojeni u bijelo RAL 9010.
Vanjski kutovi će biti prekriveni pravokutnim opšavom s ravnim rubom koji iste boje kao paneli, pričvršćen slijepim zakovicama na profilima odgovarajućeg oblika. Gornji rub će biti zatvoren</t>
  </si>
  <si>
    <t>opšavnom kapom boje RAL 7043 SJAJ 20. Otvori za ugradnju prozora, vrata i otvora će se završiti limenim opšavom RAL 7043 SJAJ 20 debljine 8/10 mm.
Tehničke specifikacije:
• Toplinska izolacija: 0,13 W/m2K (U vrijednost)
• Vodopropusnost: Klasa A – 1200Pa (EN 14509),
• Reakcija na požar: Euroclass A2-s1,d0
• Otpornost na vatru: ≥EI 30
• Zvučna izolacija: ≥25 dB (EN 14509) iu skladu s važećim lokalnim propisima
• Propusnost zraka: n=1,5 C=0,00005
• Otpornost na provalu: klasa RC3
Paneli u skladu s Proračunom fizikalnih svojstava građevine.
Certifikati: Paneli moraju imati CE certifikat i moraju biti u skladu s važećim propisima.
Izvedba u svemu prema standardnoj tehničkoj specifikaciji prodajnog mjesta Eurospin - točka</t>
  </si>
  <si>
    <t>4.2.11.
Detalji izvedbe u svemu prema standardnoj tehničkoj specifikaciji prodajnog mjesta Eurospin - Standardni detalj PNS03-14.
Obračun po m2.</t>
  </si>
  <si>
    <t>4.2.11.2.a.</t>
  </si>
  <si>
    <t>4.2.11.2.b.</t>
  </si>
  <si>
    <t>izolacijski paneli duljine  cca 312 cm
boja E. S. Brick</t>
  </si>
  <si>
    <t>4.2.11.2.c.</t>
  </si>
  <si>
    <t>4.2.11.2.d.</t>
  </si>
  <si>
    <t xml:space="preserve"> izrada obloge odvodnih vertikala krovne vode (lažni stup) od izolacijskih panela širine 55 cm
boja E. S. Brick</t>
  </si>
  <si>
    <t>4.2.11.3.</t>
  </si>
  <si>
    <t>Limarski elementi po sustavu detalja proizvođača panela</t>
  </si>
  <si>
    <t>Dobava i montaža limarskih elemenata po sustavu detalja proizvođača panela.
- Vanjski elementi od pocinčanog čeličnog lima debljine 0,7 mm
- Unutarnji elementi od pocinčanog čeličnog lima debljine 0,6 mm
Površina lima zaštićena premazom. U slučaju standardne primjene (okruženja bez opasnosti od korozije ili slanosti), lim će biti prethodno obojan u tvornici, završen poliesterskom bojom mat GLOSS 20, nanesenom prema zahtjevima proizvođača i sa sljedećim značajkama:
• Visoka izdržljivost
• Otpornost na koroziju RC3
• Otpornost na UV zračenje / postojanost boja RUV4
Prema UNI EN ISO 12944 i UNI EN 10169.
Svi proizvodi moraju biti najbolje kvalitete, s CE certifikatom i usklađeni s posebnim važećim normama HRN EN ISO. Premazi moraju biti u klasi</t>
  </si>
  <si>
    <t>požara A1 ili A2-s1, d0. Spojevi, područja rezanja i obrade moraju biti zabrtvljena.
Vanjski čelični lim bit će obojen E.S.Brick ili plavom bojom RAL 5011 GLOSS 20, u skladu s nacrtima koje je odobrio Eurospin. Unutarnji čelični limovi panela bit će obojeni u bijelo RAL 9010.
Nevidljiva unutrašnja strana lima zaštićena lakom.
Obračun po m1 i kompletu obrade prodora.</t>
  </si>
  <si>
    <t>4.2.11.3.a.</t>
  </si>
  <si>
    <t>spoj na temeljnu gredu (ab monijerku)</t>
  </si>
  <si>
    <t>m</t>
  </si>
  <si>
    <t>4.2.11.3.b.</t>
  </si>
  <si>
    <t xml:space="preserve">pravokutni vanjski ugaoni završetak </t>
  </si>
  <si>
    <t>4.2.11.3.c.</t>
  </si>
  <si>
    <t>unutarnji kutni završetak</t>
  </si>
  <si>
    <t>4.2.11.3.d.</t>
  </si>
  <si>
    <t>kontakt fasade sa zidom (vertikalno)</t>
  </si>
  <si>
    <t>4.2.11.3.e.</t>
  </si>
  <si>
    <t>atika s potkonstrukcijom</t>
  </si>
  <si>
    <t>4.2.11.3.f.</t>
  </si>
  <si>
    <t>horizontalni spoj različite vrste/boje panela (vertikalno produženje)</t>
  </si>
  <si>
    <t>4.2.11.3.g.</t>
  </si>
  <si>
    <t>gornji horizontalni opšav vrha fasade od panela na spoju s ETICS fasadom</t>
  </si>
  <si>
    <t>4.2.11.3.h.</t>
  </si>
  <si>
    <t>opšav na spoju s krovom nadstrešnice</t>
  </si>
  <si>
    <t>4.2.11.3.i.</t>
  </si>
  <si>
    <t>horizontalni limarski elementi prozorskih otvora - nadvoji</t>
  </si>
  <si>
    <t>4.2.11.3.j.</t>
  </si>
  <si>
    <t>horizontalni limarski elementi prozorskih otvora - klupčice</t>
  </si>
  <si>
    <t>4.2.11.3.k.</t>
  </si>
  <si>
    <t xml:space="preserve">vertikalni limarski elementi prozorskih otvora </t>
  </si>
  <si>
    <t>4.2.11.3.l.</t>
  </si>
  <si>
    <t>horizontalni limarski elementi otvora za vrata - nadvoji</t>
  </si>
  <si>
    <t>4.2.11.3.m.</t>
  </si>
  <si>
    <t>vertikalni limarski elementi otvora za vrata</t>
  </si>
  <si>
    <t>4.2.11.3.n.</t>
  </si>
  <si>
    <t>horizontalni limarski elementi uz staklenu fasadu</t>
  </si>
  <si>
    <t>4.2.11.3.o.</t>
  </si>
  <si>
    <t>vertikalni limarski elementi uz staklenu fasadu</t>
  </si>
  <si>
    <t>4.2.11.3.p.</t>
  </si>
  <si>
    <t>dilatacija fasade</t>
  </si>
  <si>
    <t>4.2.11.3.q.</t>
  </si>
  <si>
    <t>opšavi prodora instalacija - ventilacijske žaluzine</t>
  </si>
  <si>
    <t>4.2.11.3.r.</t>
  </si>
  <si>
    <t>opšavi prodora elemenata spoja čeličnih konstrukcija nadstrešnica s AB montažnim stupovima, gredama i sl.</t>
  </si>
  <si>
    <t>komplet</t>
  </si>
  <si>
    <t>4.2.11.3.s.</t>
  </si>
  <si>
    <t>opšavi prodora elemenata spoja čelične konstrukcije ljestvi s AB montažnim stupovima, gredama i sl.</t>
  </si>
  <si>
    <t>4.2.11.3.t.</t>
  </si>
  <si>
    <t>opšavi prodora elemenata spoja čelične konstrukcije reklame (70x120 mm)</t>
  </si>
  <si>
    <t>4.2.11.3.u.</t>
  </si>
  <si>
    <t>opšavi prodora instalacija - instalacije odvodnje d 110 mm</t>
  </si>
  <si>
    <t>4.2.11.4.</t>
  </si>
  <si>
    <t>Nivelirna pocinčana potkonstrukcija</t>
  </si>
  <si>
    <t>4.2.11.4.a.</t>
  </si>
  <si>
    <t/>
  </si>
  <si>
    <t>4.2.11.5.</t>
  </si>
  <si>
    <t>Potkonstrukcija obloge oko odvodnih vertikala</t>
  </si>
  <si>
    <t>Dobava, izrada i montaža dodatne pocinčane potkonstrukcije na armiranobetonskoj i/ili zidanoj nosivoj konstrukciji (zidovi, stupovi, grede i sl.) za izvedbu lažnih stupova, obloge oko odvodnih vertikala krovne vode, širine 55 cm, istaka 20 cm.
Uključivo sva potrebna učvršćenja te sve ostalo potrebno za kompletnu izvedbu. Obračun po m1 stvarno izvedene potkonstrukcije obloge odvodnih vertikala.</t>
  </si>
  <si>
    <t>4.2.11.5.a.</t>
  </si>
  <si>
    <t>Fasadni sandwich paneli UKUPNO:</t>
  </si>
  <si>
    <t>Dobava, izrada i montaža nivelirajuće pocinčane potkonstrukcije na armiranobetonskoj nosivoj konstrukciji (stupovi, grede i sl.). Potkonstrukciju izvesti iz pocinčanih čeličnih profila  mm.
Uključivo sva potrebna učvršćenja te sve ostalo potrebno za kompletnu izvedbu. Obračun po m1 stvarno izvedene potkonstrukcije, kompletne izvedbe uključivo sidrene pločice i vijke za ugradbu u ab konstrukciju i završnu obradu kompletne konstrukcije - cinčanje i 2x završno ličenje bojom za metal. U cijenu uključiti i izradu radioničkih nacrta, radnu skelu i dizalicu.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</si>
</sst>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1]"/>
  </numFmts>
  <fonts count="10" x14ac:knownFonts="1">
    <font>
      <sz val="11"/>
      <color rgb="FF000000"/>
      <name val="Calibri"/>
      <family val="2"/>
    </font>
    <font>
      <b/>
      <sz val="14"/>
      <color theme="0"/>
      <name val="Calibri"/>
      <family val="2"/>
      <charset val="238"/>
    </font>
    <font>
      <sz val="9"/>
      <color rgb="FF000000"/>
      <name val="Calibri"/>
      <family val="2"/>
    </font>
    <font>
      <b/>
      <sz val="14"/>
      <color rgb="FF000000"/>
      <name val="Calibri"/>
      <family val="2"/>
    </font>
    <font>
      <b/>
      <sz val="11"/>
      <color rgb="FF000000"/>
      <name val="Calibri"/>
      <family val="2"/>
    </font>
    <font>
      <b/>
      <sz val="9"/>
      <color rgb="FF000000"/>
      <name val="Calibri"/>
      <family val="2"/>
    </font>
    <font>
      <sz val="9"/>
      <color rgb="FFFF0000"/>
      <name val="Calibri"/>
      <family val="2"/>
    </font>
    <font>
      <sz val="10"/>
      <color theme="1"/>
      <name val="Arial"/>
      <family val="2"/>
    </font>
    <font>
      <sz val="10"/>
      <name val="Arial"/>
      <family val="2"/>
    </font>
    <font>
      <sz val="10"/>
      <name val="Arial"/>
      <family val="2"/>
      <charset val="238"/>
    </font>
  </fonts>
  <fills count="7">
    <fill>
      <patternFill patternType="none"/>
    </fill>
    <fill>
      <patternFill patternType="gray125"/>
    </fill>
    <fill>
      <patternFill patternType="solid">
        <fgColor rgb="FFA0A0A0"/>
      </patternFill>
    </fill>
    <fill>
      <patternFill patternType="solid">
        <fgColor rgb="FFB4B4B4"/>
      </patternFill>
    </fill>
    <fill>
      <patternFill patternType="solid">
        <fgColor rgb="FFD3D3D3"/>
      </patternFill>
    </fill>
    <fill>
      <patternFill patternType="solid">
        <fgColor rgb="FFC8C8C8"/>
      </patternFill>
    </fill>
    <fill>
      <patternFill patternType="solid">
        <fgColor rgb="FFDCDCDC"/>
      </patternFill>
    </fill>
  </fills>
  <borders count="1">
    <border>
      <left/>
      <right/>
      <top/>
      <bottom/>
      <diagonal/>
    </border>
  </borders>
  <cellStyleXfs count="2">
    <xf numFmtId="0" fontId="0" fillId="0" borderId="0" applyBorder="0"/>
    <xf numFmtId="0" fontId="8" fillId="0" borderId="0"/>
  </cellStyleXfs>
  <cellXfs count="41">
    <xf numFmtId="0" fontId="0" fillId="0" borderId="0" xfId="0"/>
    <xf numFmtId="0" fontId="2" fillId="0" borderId="0" xfId="0" applyFont="1"/>
    <xf numFmtId="0" fontId="0" fillId="0" borderId="0" xfId="0" applyAlignment="1">
      <alignment vertical="top"/>
    </xf>
    <xf numFmtId="0" fontId="3" fillId="0" borderId="0" xfId="0" applyFont="1" applyAlignment="1">
      <alignment wrapText="1"/>
    </xf>
    <xf numFmtId="0" fontId="4" fillId="0" borderId="0" xfId="0" applyFont="1" applyAlignment="1">
      <alignment wrapText="1"/>
    </xf>
    <xf numFmtId="0" fontId="3" fillId="2" borderId="0" xfId="0" applyFont="1" applyFill="1"/>
    <xf numFmtId="0" fontId="2" fillId="0" borderId="0" xfId="0" applyFont="1" applyAlignment="1">
      <alignment horizontal="justify" vertical="top" wrapText="1"/>
    </xf>
    <xf numFmtId="0" fontId="5" fillId="3" borderId="0" xfId="0" applyFont="1" applyFill="1"/>
    <xf numFmtId="0" fontId="5" fillId="3" borderId="0" xfId="0" applyFont="1" applyFill="1" applyAlignment="1">
      <alignment wrapText="1"/>
    </xf>
    <xf numFmtId="0" fontId="5" fillId="3" borderId="0" xfId="0" applyFont="1" applyFill="1" applyAlignment="1">
      <alignment horizontal="center"/>
    </xf>
    <xf numFmtId="0" fontId="2" fillId="0" borderId="0" xfId="0" applyFont="1" applyAlignment="1">
      <alignment horizontal="center"/>
    </xf>
    <xf numFmtId="0" fontId="5" fillId="4" borderId="0" xfId="0" applyFont="1" applyFill="1" applyAlignment="1">
      <alignment horizontal="center" vertical="center" wrapText="1"/>
    </xf>
    <xf numFmtId="0" fontId="5" fillId="5" borderId="0" xfId="0" applyFont="1" applyFill="1"/>
    <xf numFmtId="0" fontId="5" fillId="5" borderId="0" xfId="0" applyFont="1" applyFill="1" applyAlignment="1">
      <alignment wrapText="1"/>
    </xf>
    <xf numFmtId="0" fontId="5" fillId="5" borderId="0" xfId="0" applyFont="1" applyFill="1" applyAlignment="1">
      <alignment horizontal="center"/>
    </xf>
    <xf numFmtId="0" fontId="2" fillId="0" borderId="0" xfId="0" applyFont="1" applyAlignment="1">
      <alignment wrapText="1"/>
    </xf>
    <xf numFmtId="0" fontId="5" fillId="6" borderId="0" xfId="0" applyFont="1" applyFill="1"/>
    <xf numFmtId="0" fontId="2" fillId="0" borderId="0" xfId="0" applyFont="1" applyAlignment="1">
      <alignment vertical="top"/>
    </xf>
    <xf numFmtId="0" fontId="5" fillId="0" borderId="0" xfId="0" applyFont="1" applyAlignment="1">
      <alignment wrapText="1"/>
    </xf>
    <xf numFmtId="0" fontId="6" fillId="0" borderId="0" xfId="0" applyFont="1"/>
    <xf numFmtId="0" fontId="2" fillId="0" borderId="0" xfId="0" applyFont="1" applyAlignment="1">
      <alignment horizontal="justify" wrapText="1"/>
    </xf>
    <xf numFmtId="4" fontId="2" fillId="0" borderId="0" xfId="0" applyNumberFormat="1" applyFont="1"/>
    <xf numFmtId="4" fontId="7" fillId="0" borderId="0" xfId="0" applyNumberFormat="1" applyFont="1" applyAlignment="1">
      <alignment horizontal="center"/>
    </xf>
    <xf numFmtId="4" fontId="9" fillId="0" borderId="0" xfId="1" applyNumberFormat="1" applyFont="1" applyProtection="1">
      <protection locked="0"/>
    </xf>
    <xf numFmtId="164" fontId="2" fillId="0" borderId="0" xfId="0" applyNumberFormat="1" applyFont="1"/>
    <xf numFmtId="164" fontId="5" fillId="6" borderId="0" xfId="0" applyNumberFormat="1" applyFont="1" applyFill="1"/>
    <xf numFmtId="4" fontId="5" fillId="3" borderId="0" xfId="0" applyNumberFormat="1" applyFont="1" applyFill="1"/>
    <xf numFmtId="4" fontId="5" fillId="4" borderId="0" xfId="0" applyNumberFormat="1" applyFont="1" applyFill="1" applyAlignment="1">
      <alignment horizontal="center" vertical="center" wrapText="1"/>
    </xf>
    <xf numFmtId="4" fontId="5" fillId="5" borderId="0" xfId="0" applyNumberFormat="1" applyFont="1" applyFill="1"/>
    <xf numFmtId="4" fontId="2" fillId="0" borderId="0" xfId="0" applyNumberFormat="1" applyFont="1" applyAlignment="1">
      <alignment horizontal="right"/>
    </xf>
    <xf numFmtId="0" fontId="1" fillId="0" borderId="0" xfId="0" applyFont="1"/>
    <xf numFmtId="0" fontId="2" fillId="0" borderId="0" xfId="0" applyFont="1"/>
    <xf numFmtId="0" fontId="5" fillId="3" borderId="0" xfId="0" applyFont="1" applyFill="1" applyAlignment="1">
      <alignment wrapText="1"/>
    </xf>
    <xf numFmtId="0" fontId="5" fillId="3" borderId="0" xfId="0" applyFont="1" applyFill="1" applyAlignment="1">
      <alignment horizontal="center"/>
    </xf>
    <xf numFmtId="0" fontId="5" fillId="3" borderId="0" xfId="0" applyFont="1" applyFill="1"/>
    <xf numFmtId="0" fontId="5" fillId="5" borderId="0" xfId="0" applyFont="1" applyFill="1" applyAlignment="1">
      <alignment wrapText="1"/>
    </xf>
    <xf numFmtId="0" fontId="5" fillId="5" borderId="0" xfId="0" applyFont="1" applyFill="1" applyAlignment="1">
      <alignment horizontal="center"/>
    </xf>
    <xf numFmtId="0" fontId="5" fillId="5" borderId="0" xfId="0" applyFont="1" applyFill="1"/>
    <xf numFmtId="0" fontId="5" fillId="6" borderId="0" xfId="0" applyFont="1" applyFill="1" applyAlignment="1">
      <alignment wrapText="1"/>
    </xf>
    <xf numFmtId="0" fontId="5" fillId="6" borderId="0" xfId="0" applyFont="1" applyFill="1" applyAlignment="1">
      <alignment horizontal="center"/>
    </xf>
    <xf numFmtId="0" fontId="5" fillId="6" borderId="0" xfId="0" applyFont="1" applyFill="1"/>
  </cellXfs>
  <cellStyles count="2">
    <cellStyle name="Normal" xfId="0" builtinId="0"/>
    <cellStyle name="Normal 127" xfId="1" xr:uid="{1EC7786C-0406-4501-B552-DD1040FEC5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15464-5566-490B-A228-9D693BB092CA}">
  <dimension ref="A2:B16"/>
  <sheetViews>
    <sheetView showZeros="0" view="pageBreakPreview" zoomScaleNormal="100" zoomScaleSheetLayoutView="100" workbookViewId="0">
      <selection activeCell="B107" sqref="B107"/>
    </sheetView>
  </sheetViews>
  <sheetFormatPr defaultColWidth="9.140625" defaultRowHeight="12" x14ac:dyDescent="0.2"/>
  <cols>
    <col min="1" max="1" width="35.7109375" style="1" customWidth="1"/>
    <col min="2" max="2" width="53.7109375" style="1" customWidth="1"/>
    <col min="3" max="3" width="9.140625" style="1" customWidth="1"/>
    <col min="4" max="16384" width="9.140625" style="1"/>
  </cols>
  <sheetData>
    <row r="2" spans="1:2" ht="18.75" x14ac:dyDescent="0.3">
      <c r="A2" s="30" t="s">
        <v>0</v>
      </c>
      <c r="B2" s="31"/>
    </row>
    <row r="4" spans="1:2" ht="18.75" x14ac:dyDescent="0.3">
      <c r="A4" s="2" t="s">
        <v>1</v>
      </c>
      <c r="B4" s="3" t="s">
        <v>2</v>
      </c>
    </row>
    <row r="5" spans="1:2" ht="56.25" x14ac:dyDescent="0.3">
      <c r="A5" s="2" t="s">
        <v>3</v>
      </c>
      <c r="B5" s="3" t="s">
        <v>4</v>
      </c>
    </row>
    <row r="6" spans="1:2" ht="15" x14ac:dyDescent="0.25">
      <c r="A6" s="2" t="s">
        <v>5</v>
      </c>
      <c r="B6" s="4" t="s">
        <v>6</v>
      </c>
    </row>
    <row r="7" spans="1:2" ht="30" x14ac:dyDescent="0.25">
      <c r="A7" s="2" t="s">
        <v>7</v>
      </c>
      <c r="B7" s="4" t="s">
        <v>8</v>
      </c>
    </row>
    <row r="8" spans="1:2" ht="75" x14ac:dyDescent="0.3">
      <c r="A8" s="2" t="s">
        <v>9</v>
      </c>
      <c r="B8" s="3" t="s">
        <v>10</v>
      </c>
    </row>
    <row r="9" spans="1:2" ht="45" x14ac:dyDescent="0.25">
      <c r="A9" s="2" t="s">
        <v>11</v>
      </c>
      <c r="B9" s="4" t="s">
        <v>12</v>
      </c>
    </row>
    <row r="10" spans="1:2" ht="60" x14ac:dyDescent="0.25">
      <c r="A10" s="2" t="s">
        <v>13</v>
      </c>
      <c r="B10" s="4" t="s">
        <v>14</v>
      </c>
    </row>
    <row r="11" spans="1:2" ht="60" x14ac:dyDescent="0.25">
      <c r="A11" s="2" t="s">
        <v>15</v>
      </c>
      <c r="B11" s="4" t="s">
        <v>16</v>
      </c>
    </row>
    <row r="12" spans="1:2" ht="30" x14ac:dyDescent="0.25">
      <c r="A12" s="2" t="s">
        <v>17</v>
      </c>
      <c r="B12" s="4" t="s">
        <v>18</v>
      </c>
    </row>
    <row r="13" spans="1:2" ht="60" x14ac:dyDescent="0.25">
      <c r="A13" s="2" t="s">
        <v>19</v>
      </c>
      <c r="B13" s="4" t="s">
        <v>20</v>
      </c>
    </row>
    <row r="14" spans="1:2" ht="60" x14ac:dyDescent="0.25">
      <c r="A14" s="2" t="s">
        <v>21</v>
      </c>
      <c r="B14" s="4" t="s">
        <v>22</v>
      </c>
    </row>
    <row r="15" spans="1:2" ht="60" x14ac:dyDescent="0.25">
      <c r="A15" s="2" t="s">
        <v>23</v>
      </c>
      <c r="B15" s="4" t="s">
        <v>24</v>
      </c>
    </row>
    <row r="16" spans="1:2" ht="15" x14ac:dyDescent="0.25">
      <c r="A16" t="s">
        <v>25</v>
      </c>
      <c r="B16" s="4" t="s">
        <v>26</v>
      </c>
    </row>
  </sheetData>
  <mergeCells count="1">
    <mergeCell ref="A2:B2"/>
  </mergeCells>
  <pageMargins left="0.6" right="0.6" top="0.75" bottom="0.75" header="0.3" footer="0.3"/>
  <pageSetup paperSize="9" orientation="portrait" r:id="rId1"/>
  <headerFoot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2366-CEA1-4D1A-8504-13E0857C6E5B}">
  <sheetPr>
    <pageSetUpPr fitToPage="1"/>
  </sheetPr>
  <dimension ref="A2:C58"/>
  <sheetViews>
    <sheetView showZeros="0" view="pageBreakPreview" topLeftCell="A20" zoomScale="60" zoomScaleNormal="100" workbookViewId="0">
      <selection activeCell="B107" sqref="B107"/>
    </sheetView>
  </sheetViews>
  <sheetFormatPr defaultColWidth="9.140625" defaultRowHeight="12" x14ac:dyDescent="0.2"/>
  <cols>
    <col min="1" max="1" width="3.7109375" style="1" customWidth="1"/>
    <col min="2" max="2" width="81.7109375" style="1" customWidth="1"/>
    <col min="3" max="3" width="3.7109375" style="1" customWidth="1"/>
    <col min="4" max="4" width="9.140625" style="1" customWidth="1"/>
    <col min="5" max="16384" width="9.140625" style="1"/>
  </cols>
  <sheetData>
    <row r="2" spans="1:3" ht="18.75" x14ac:dyDescent="0.3">
      <c r="A2" s="5"/>
      <c r="B2" s="5" t="s">
        <v>0</v>
      </c>
      <c r="C2" s="5"/>
    </row>
    <row r="4" spans="1:3" ht="18.75" x14ac:dyDescent="0.3">
      <c r="A4" s="5"/>
      <c r="B4" s="5" t="s">
        <v>27</v>
      </c>
      <c r="C4" s="5"/>
    </row>
    <row r="6" spans="1:3" ht="324" x14ac:dyDescent="0.2">
      <c r="B6" s="6" t="s">
        <v>28</v>
      </c>
    </row>
    <row r="7" spans="1:3" ht="312" x14ac:dyDescent="0.2">
      <c r="B7" s="6" t="s">
        <v>29</v>
      </c>
    </row>
    <row r="8" spans="1:3" ht="300.75" customHeight="1" x14ac:dyDescent="0.2">
      <c r="B8" s="6" t="s">
        <v>30</v>
      </c>
    </row>
    <row r="9" spans="1:3" ht="312" x14ac:dyDescent="0.2">
      <c r="B9" s="6" t="s">
        <v>31</v>
      </c>
    </row>
    <row r="10" spans="1:3" ht="280.5" customHeight="1" x14ac:dyDescent="0.2">
      <c r="B10" s="6" t="s">
        <v>32</v>
      </c>
    </row>
    <row r="11" spans="1:3" ht="288" x14ac:dyDescent="0.2">
      <c r="B11" s="6" t="s">
        <v>33</v>
      </c>
    </row>
    <row r="12" spans="1:3" ht="288" x14ac:dyDescent="0.2">
      <c r="B12" s="6" t="s">
        <v>34</v>
      </c>
    </row>
    <row r="13" spans="1:3" ht="276" x14ac:dyDescent="0.2">
      <c r="B13" s="6" t="s">
        <v>35</v>
      </c>
    </row>
    <row r="14" spans="1:3" ht="288" x14ac:dyDescent="0.2">
      <c r="B14" s="6" t="s">
        <v>36</v>
      </c>
    </row>
    <row r="15" spans="1:3" ht="288" x14ac:dyDescent="0.2">
      <c r="B15" s="6" t="s">
        <v>37</v>
      </c>
    </row>
    <row r="16" spans="1:3" ht="252" x14ac:dyDescent="0.2">
      <c r="B16" s="6" t="s">
        <v>38</v>
      </c>
    </row>
    <row r="17" spans="2:2" ht="228" x14ac:dyDescent="0.2">
      <c r="B17" s="6" t="s">
        <v>39</v>
      </c>
    </row>
    <row r="18" spans="2:2" ht="348" x14ac:dyDescent="0.2">
      <c r="B18" s="6" t="s">
        <v>40</v>
      </c>
    </row>
    <row r="19" spans="2:2" ht="237" customHeight="1" x14ac:dyDescent="0.2">
      <c r="B19" s="6" t="s">
        <v>41</v>
      </c>
    </row>
    <row r="20" spans="2:2" ht="240.75" customHeight="1" x14ac:dyDescent="0.2">
      <c r="B20" s="6" t="s">
        <v>42</v>
      </c>
    </row>
    <row r="21" spans="2:2" ht="276" x14ac:dyDescent="0.2">
      <c r="B21" s="6" t="s">
        <v>43</v>
      </c>
    </row>
    <row r="22" spans="2:2" ht="264" x14ac:dyDescent="0.2">
      <c r="B22" s="6" t="s">
        <v>44</v>
      </c>
    </row>
    <row r="23" spans="2:2" ht="264.75" customHeight="1" x14ac:dyDescent="0.2">
      <c r="B23" s="6" t="s">
        <v>45</v>
      </c>
    </row>
    <row r="24" spans="2:2" ht="276" x14ac:dyDescent="0.2">
      <c r="B24" s="6" t="s">
        <v>46</v>
      </c>
    </row>
    <row r="25" spans="2:2" ht="276" x14ac:dyDescent="0.2">
      <c r="B25" s="6" t="s">
        <v>47</v>
      </c>
    </row>
    <row r="26" spans="2:2" ht="253.5" customHeight="1" x14ac:dyDescent="0.2">
      <c r="B26" s="6" t="s">
        <v>48</v>
      </c>
    </row>
    <row r="27" spans="2:2" ht="270.75" customHeight="1" x14ac:dyDescent="0.2">
      <c r="B27" s="6" t="s">
        <v>49</v>
      </c>
    </row>
    <row r="28" spans="2:2" ht="276" x14ac:dyDescent="0.2">
      <c r="B28" s="6" t="s">
        <v>50</v>
      </c>
    </row>
    <row r="29" spans="2:2" ht="300" x14ac:dyDescent="0.2">
      <c r="B29" s="6" t="s">
        <v>51</v>
      </c>
    </row>
    <row r="30" spans="2:2" ht="276" x14ac:dyDescent="0.2">
      <c r="B30" s="6" t="s">
        <v>52</v>
      </c>
    </row>
    <row r="31" spans="2:2" ht="255.75" customHeight="1" x14ac:dyDescent="0.2">
      <c r="B31" s="6" t="s">
        <v>53</v>
      </c>
    </row>
    <row r="32" spans="2:2" ht="264" x14ac:dyDescent="0.2">
      <c r="B32" s="6" t="s">
        <v>54</v>
      </c>
    </row>
    <row r="33" spans="2:2" ht="259.5" customHeight="1" x14ac:dyDescent="0.2">
      <c r="B33" s="6" t="s">
        <v>55</v>
      </c>
    </row>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sheetData>
  <pageMargins left="0.6" right="0.6" top="0.75" bottom="0.75" header="0.3" footer="0.3"/>
  <pageSetup paperSize="9" fitToHeight="0"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rowBreaks count="2" manualBreakCount="2">
    <brk id="7" max="2" man="1"/>
    <brk id="19"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3935F-A0A4-4588-93A7-077D47085AED}">
  <sheetPr>
    <pageSetUpPr fitToPage="1"/>
  </sheetPr>
  <dimension ref="A4:G99"/>
  <sheetViews>
    <sheetView tabSelected="1" view="pageBreakPreview" topLeftCell="A88" zoomScaleNormal="100" zoomScaleSheetLayoutView="100" workbookViewId="0">
      <selection activeCell="E91" sqref="E91"/>
    </sheetView>
  </sheetViews>
  <sheetFormatPr defaultColWidth="9.140625" defaultRowHeight="12" x14ac:dyDescent="0.2"/>
  <cols>
    <col min="1" max="1" width="9.7109375" style="1" customWidth="1"/>
    <col min="2" max="2" width="37.7109375" style="15" customWidth="1"/>
    <col min="3" max="3" width="7.7109375" style="10" customWidth="1"/>
    <col min="4" max="4" width="10.7109375" style="1" customWidth="1"/>
    <col min="5" max="5" width="10.7109375" style="21" customWidth="1"/>
    <col min="6" max="6" width="12.7109375" style="1" customWidth="1"/>
    <col min="7" max="7" width="18.28515625" style="1" customWidth="1"/>
    <col min="8" max="16384" width="9.140625" style="1"/>
  </cols>
  <sheetData>
    <row r="4" spans="1:6" x14ac:dyDescent="0.2">
      <c r="A4" s="7" t="s">
        <v>56</v>
      </c>
      <c r="B4" s="32" t="s">
        <v>57</v>
      </c>
      <c r="C4" s="33"/>
      <c r="D4" s="34"/>
      <c r="E4" s="34"/>
      <c r="F4" s="34"/>
    </row>
    <row r="6" spans="1:6" x14ac:dyDescent="0.2">
      <c r="A6" s="7"/>
      <c r="B6" s="8" t="s">
        <v>27</v>
      </c>
      <c r="C6" s="9"/>
      <c r="D6" s="7"/>
      <c r="E6" s="26"/>
      <c r="F6" s="7"/>
    </row>
    <row r="8" spans="1:6" ht="264" x14ac:dyDescent="0.2">
      <c r="B8" s="6" t="s">
        <v>58</v>
      </c>
    </row>
    <row r="9" spans="1:6" ht="264" x14ac:dyDescent="0.2">
      <c r="B9" s="6" t="s">
        <v>59</v>
      </c>
    </row>
    <row r="10" spans="1:6" ht="252" x14ac:dyDescent="0.2">
      <c r="B10" s="6" t="s">
        <v>60</v>
      </c>
    </row>
    <row r="11" spans="1:6" ht="276" x14ac:dyDescent="0.2">
      <c r="B11" s="6" t="s">
        <v>61</v>
      </c>
    </row>
    <row r="12" spans="1:6" ht="252" x14ac:dyDescent="0.2">
      <c r="B12" s="6" t="s">
        <v>62</v>
      </c>
    </row>
    <row r="13" spans="1:6" ht="264" x14ac:dyDescent="0.2">
      <c r="B13" s="6" t="s">
        <v>63</v>
      </c>
    </row>
    <row r="14" spans="1:6" ht="276" x14ac:dyDescent="0.2">
      <c r="B14" s="6" t="s">
        <v>64</v>
      </c>
    </row>
    <row r="15" spans="1:6" ht="252" x14ac:dyDescent="0.2">
      <c r="B15" s="6" t="s">
        <v>65</v>
      </c>
    </row>
    <row r="16" spans="1:6" ht="96" x14ac:dyDescent="0.2">
      <c r="B16" s="6" t="s">
        <v>66</v>
      </c>
    </row>
    <row r="18" spans="1:6" ht="24" x14ac:dyDescent="0.2">
      <c r="A18" s="11" t="s">
        <v>67</v>
      </c>
      <c r="B18" s="11" t="s">
        <v>68</v>
      </c>
      <c r="C18" s="11" t="s">
        <v>69</v>
      </c>
      <c r="D18" s="11" t="s">
        <v>70</v>
      </c>
      <c r="E18" s="27" t="s">
        <v>71</v>
      </c>
      <c r="F18" s="11" t="s">
        <v>72</v>
      </c>
    </row>
    <row r="20" spans="1:6" x14ac:dyDescent="0.2">
      <c r="A20" s="12" t="s">
        <v>73</v>
      </c>
      <c r="B20" s="35" t="s">
        <v>74</v>
      </c>
      <c r="C20" s="36"/>
      <c r="D20" s="37"/>
      <c r="E20" s="37"/>
      <c r="F20" s="37"/>
    </row>
    <row r="22" spans="1:6" x14ac:dyDescent="0.2">
      <c r="A22" s="12"/>
      <c r="B22" s="13" t="s">
        <v>27</v>
      </c>
      <c r="C22" s="14"/>
      <c r="D22" s="12"/>
      <c r="E22" s="28"/>
      <c r="F22" s="12"/>
    </row>
    <row r="24" spans="1:6" ht="36" x14ac:dyDescent="0.2">
      <c r="B24" s="6" t="s">
        <v>75</v>
      </c>
    </row>
    <row r="28" spans="1:6" x14ac:dyDescent="0.2">
      <c r="A28" s="12" t="s">
        <v>76</v>
      </c>
      <c r="B28" s="35" t="s">
        <v>77</v>
      </c>
      <c r="C28" s="36"/>
      <c r="D28" s="37"/>
      <c r="E28" s="37"/>
      <c r="F28" s="37"/>
    </row>
    <row r="30" spans="1:6" x14ac:dyDescent="0.2">
      <c r="A30" s="12"/>
      <c r="B30" s="13" t="s">
        <v>27</v>
      </c>
      <c r="C30" s="14"/>
      <c r="D30" s="12"/>
      <c r="E30" s="28"/>
      <c r="F30" s="12"/>
    </row>
    <row r="32" spans="1:6" ht="72" x14ac:dyDescent="0.2">
      <c r="B32" s="6" t="s">
        <v>78</v>
      </c>
    </row>
    <row r="35" spans="1:7" x14ac:dyDescent="0.2">
      <c r="A35" s="16" t="s">
        <v>79</v>
      </c>
      <c r="B35" s="38" t="s">
        <v>80</v>
      </c>
      <c r="C35" s="39"/>
      <c r="D35" s="40"/>
      <c r="E35" s="40"/>
      <c r="F35" s="40"/>
    </row>
    <row r="37" spans="1:7" ht="24" x14ac:dyDescent="0.2">
      <c r="A37" s="17" t="s">
        <v>81</v>
      </c>
      <c r="B37" s="18" t="s">
        <v>82</v>
      </c>
    </row>
    <row r="38" spans="1:7" ht="264" x14ac:dyDescent="0.2">
      <c r="B38" s="6" t="s">
        <v>83</v>
      </c>
    </row>
    <row r="39" spans="1:7" ht="252" x14ac:dyDescent="0.2">
      <c r="B39" s="6" t="s">
        <v>84</v>
      </c>
    </row>
    <row r="40" spans="1:7" ht="276" x14ac:dyDescent="0.2">
      <c r="B40" s="6" t="s">
        <v>85</v>
      </c>
    </row>
    <row r="41" spans="1:7" ht="264" x14ac:dyDescent="0.2">
      <c r="B41" s="6" t="s">
        <v>86</v>
      </c>
    </row>
    <row r="42" spans="1:7" ht="264" x14ac:dyDescent="0.2">
      <c r="B42" s="6" t="s">
        <v>87</v>
      </c>
    </row>
    <row r="43" spans="1:7" ht="264" x14ac:dyDescent="0.2">
      <c r="B43" s="6" t="s">
        <v>88</v>
      </c>
    </row>
    <row r="44" spans="1:7" ht="72" x14ac:dyDescent="0.2">
      <c r="B44" s="6" t="s">
        <v>89</v>
      </c>
      <c r="G44" s="19"/>
    </row>
    <row r="45" spans="1:7" ht="24" x14ac:dyDescent="0.2">
      <c r="A45" s="1" t="s">
        <v>90</v>
      </c>
      <c r="B45" s="20" t="s">
        <v>91</v>
      </c>
      <c r="C45" s="10" t="s">
        <v>92</v>
      </c>
      <c r="D45" s="21">
        <v>23.48</v>
      </c>
      <c r="E45" s="21">
        <v>115</v>
      </c>
      <c r="F45" s="22">
        <f t="shared" ref="F45:F47" si="0">IF(OR(OR(E45=0,E45=""),OR(D45=0,D45="")),"",$D45*E45)</f>
        <v>2700.2000000000003</v>
      </c>
      <c r="G45" s="23"/>
    </row>
    <row r="46" spans="1:7" ht="24" x14ac:dyDescent="0.2">
      <c r="A46" s="1" t="s">
        <v>93</v>
      </c>
      <c r="B46" s="20" t="s">
        <v>94</v>
      </c>
      <c r="C46" s="10" t="s">
        <v>92</v>
      </c>
      <c r="D46" s="21">
        <v>77.650000000000006</v>
      </c>
      <c r="E46" s="21">
        <v>115</v>
      </c>
      <c r="F46" s="22">
        <f t="shared" si="0"/>
        <v>8929.75</v>
      </c>
      <c r="G46" s="23"/>
    </row>
    <row r="47" spans="1:7" ht="48" x14ac:dyDescent="0.2">
      <c r="A47" s="1" t="s">
        <v>95</v>
      </c>
      <c r="B47" s="20" t="s">
        <v>96</v>
      </c>
      <c r="C47" s="10" t="s">
        <v>92</v>
      </c>
      <c r="D47" s="21">
        <v>1.5</v>
      </c>
      <c r="E47" s="21">
        <v>115</v>
      </c>
      <c r="F47" s="22">
        <f t="shared" si="0"/>
        <v>172.5</v>
      </c>
      <c r="G47" s="23"/>
    </row>
    <row r="48" spans="1:7" x14ac:dyDescent="0.2">
      <c r="E48" s="29" t="s">
        <v>97</v>
      </c>
      <c r="F48" s="24">
        <f>SUM(F45:F47)</f>
        <v>11802.45</v>
      </c>
    </row>
    <row r="50" spans="1:7" x14ac:dyDescent="0.2">
      <c r="A50" s="17" t="s">
        <v>98</v>
      </c>
      <c r="B50" s="18" t="s">
        <v>99</v>
      </c>
    </row>
    <row r="51" spans="1:7" ht="264" x14ac:dyDescent="0.2">
      <c r="B51" s="6" t="s">
        <v>100</v>
      </c>
    </row>
    <row r="52" spans="1:7" ht="264" x14ac:dyDescent="0.2">
      <c r="B52" s="6" t="s">
        <v>101</v>
      </c>
    </row>
    <row r="53" spans="1:7" ht="264" x14ac:dyDescent="0.2">
      <c r="B53" s="6" t="s">
        <v>102</v>
      </c>
    </row>
    <row r="54" spans="1:7" ht="264" x14ac:dyDescent="0.2">
      <c r="B54" s="6" t="s">
        <v>103</v>
      </c>
    </row>
    <row r="55" spans="1:7" ht="264" x14ac:dyDescent="0.2">
      <c r="B55" s="6" t="s">
        <v>104</v>
      </c>
    </row>
    <row r="56" spans="1:7" ht="276" x14ac:dyDescent="0.2">
      <c r="B56" s="6" t="s">
        <v>105</v>
      </c>
    </row>
    <row r="57" spans="1:7" ht="60" x14ac:dyDescent="0.2">
      <c r="B57" s="6" t="s">
        <v>106</v>
      </c>
    </row>
    <row r="58" spans="1:7" ht="24" x14ac:dyDescent="0.2">
      <c r="A58" s="1" t="s">
        <v>107</v>
      </c>
      <c r="B58" s="20" t="s">
        <v>91</v>
      </c>
      <c r="C58" s="10" t="s">
        <v>92</v>
      </c>
      <c r="D58" s="21">
        <v>496.98</v>
      </c>
      <c r="E58" s="21">
        <v>89</v>
      </c>
      <c r="F58" s="22">
        <f t="shared" ref="F58:F61" si="1">IF(OR(OR(E58=0,E58=""),OR(D58=0,D58="")),"",$D58*E58)</f>
        <v>44231.22</v>
      </c>
      <c r="G58" s="23"/>
    </row>
    <row r="59" spans="1:7" ht="24" x14ac:dyDescent="0.2">
      <c r="A59" s="1" t="s">
        <v>108</v>
      </c>
      <c r="B59" s="20" t="s">
        <v>109</v>
      </c>
      <c r="C59" s="10" t="s">
        <v>92</v>
      </c>
      <c r="D59" s="21">
        <v>88.41</v>
      </c>
      <c r="E59" s="21">
        <v>89</v>
      </c>
      <c r="F59" s="22">
        <f t="shared" si="1"/>
        <v>7868.49</v>
      </c>
      <c r="G59" s="23"/>
    </row>
    <row r="60" spans="1:7" ht="24" x14ac:dyDescent="0.2">
      <c r="A60" s="1" t="s">
        <v>110</v>
      </c>
      <c r="B60" s="20" t="s">
        <v>94</v>
      </c>
      <c r="C60" s="10" t="s">
        <v>92</v>
      </c>
      <c r="D60" s="21">
        <v>5.46</v>
      </c>
      <c r="E60" s="21">
        <v>89</v>
      </c>
      <c r="F60" s="22">
        <f t="shared" si="1"/>
        <v>485.94</v>
      </c>
      <c r="G60" s="23"/>
    </row>
    <row r="61" spans="1:7" ht="48" x14ac:dyDescent="0.2">
      <c r="A61" s="1" t="s">
        <v>111</v>
      </c>
      <c r="B61" s="20" t="s">
        <v>112</v>
      </c>
      <c r="C61" s="10" t="s">
        <v>92</v>
      </c>
      <c r="D61" s="21">
        <v>7.07</v>
      </c>
      <c r="E61" s="21">
        <v>65</v>
      </c>
      <c r="F61" s="22">
        <f t="shared" si="1"/>
        <v>459.55</v>
      </c>
      <c r="G61" s="23"/>
    </row>
    <row r="62" spans="1:7" x14ac:dyDescent="0.2">
      <c r="E62" s="29" t="s">
        <v>97</v>
      </c>
      <c r="F62" s="24">
        <f>SUM(F58:F61)</f>
        <v>53045.200000000004</v>
      </c>
    </row>
    <row r="64" spans="1:7" ht="24" x14ac:dyDescent="0.2">
      <c r="A64" s="17" t="s">
        <v>113</v>
      </c>
      <c r="B64" s="18" t="s">
        <v>114</v>
      </c>
    </row>
    <row r="65" spans="1:7" ht="264" x14ac:dyDescent="0.2">
      <c r="B65" s="6" t="s">
        <v>115</v>
      </c>
    </row>
    <row r="66" spans="1:7" ht="120" x14ac:dyDescent="0.2">
      <c r="B66" s="6" t="s">
        <v>116</v>
      </c>
    </row>
    <row r="67" spans="1:7" ht="12.75" x14ac:dyDescent="0.2">
      <c r="A67" s="1" t="s">
        <v>117</v>
      </c>
      <c r="B67" s="20" t="s">
        <v>118</v>
      </c>
      <c r="C67" s="10" t="s">
        <v>119</v>
      </c>
      <c r="D67" s="21">
        <v>97.49</v>
      </c>
      <c r="E67" s="21">
        <v>33</v>
      </c>
      <c r="F67" s="22">
        <f t="shared" ref="F67:F87" si="2">IF(OR(OR(E67=0,E67=""),OR(D67=0,D67="")),"",$D67*E67)</f>
        <v>3217.1699999999996</v>
      </c>
      <c r="G67" s="23"/>
    </row>
    <row r="68" spans="1:7" ht="12.75" x14ac:dyDescent="0.2">
      <c r="A68" s="1" t="s">
        <v>120</v>
      </c>
      <c r="B68" s="20" t="s">
        <v>121</v>
      </c>
      <c r="C68" s="10" t="s">
        <v>119</v>
      </c>
      <c r="D68" s="21">
        <v>53.42</v>
      </c>
      <c r="E68" s="21">
        <v>45</v>
      </c>
      <c r="F68" s="22">
        <f t="shared" si="2"/>
        <v>2403.9</v>
      </c>
      <c r="G68" s="23"/>
    </row>
    <row r="69" spans="1:7" ht="12.75" x14ac:dyDescent="0.2">
      <c r="A69" s="1" t="s">
        <v>122</v>
      </c>
      <c r="B69" s="20" t="s">
        <v>123</v>
      </c>
      <c r="C69" s="10" t="s">
        <v>119</v>
      </c>
      <c r="D69" s="21">
        <v>53.42</v>
      </c>
      <c r="E69" s="21">
        <v>29</v>
      </c>
      <c r="F69" s="22">
        <f t="shared" si="2"/>
        <v>1549.18</v>
      </c>
      <c r="G69" s="23"/>
    </row>
    <row r="70" spans="1:7" ht="12.75" x14ac:dyDescent="0.2">
      <c r="A70" s="1" t="s">
        <v>124</v>
      </c>
      <c r="B70" s="20" t="s">
        <v>125</v>
      </c>
      <c r="C70" s="10" t="s">
        <v>119</v>
      </c>
      <c r="D70" s="21">
        <v>12.67</v>
      </c>
      <c r="E70" s="21">
        <v>29</v>
      </c>
      <c r="F70" s="22">
        <f t="shared" si="2"/>
        <v>367.43</v>
      </c>
      <c r="G70" s="23"/>
    </row>
    <row r="71" spans="1:7" ht="12.75" x14ac:dyDescent="0.2">
      <c r="A71" s="1" t="s">
        <v>126</v>
      </c>
      <c r="B71" s="20" t="s">
        <v>127</v>
      </c>
      <c r="C71" s="10" t="s">
        <v>119</v>
      </c>
      <c r="D71" s="21">
        <v>97.49</v>
      </c>
      <c r="E71" s="21">
        <v>54</v>
      </c>
      <c r="F71" s="22">
        <f t="shared" si="2"/>
        <v>5264.46</v>
      </c>
      <c r="G71" s="23"/>
    </row>
    <row r="72" spans="1:7" ht="24" x14ac:dyDescent="0.2">
      <c r="A72" s="1" t="s">
        <v>128</v>
      </c>
      <c r="B72" s="20" t="s">
        <v>129</v>
      </c>
      <c r="C72" s="10" t="s">
        <v>119</v>
      </c>
      <c r="D72" s="21">
        <v>56.55</v>
      </c>
      <c r="E72" s="21">
        <v>29</v>
      </c>
      <c r="F72" s="22">
        <f t="shared" si="2"/>
        <v>1639.9499999999998</v>
      </c>
      <c r="G72" s="23"/>
    </row>
    <row r="73" spans="1:7" ht="24" x14ac:dyDescent="0.2">
      <c r="A73" s="1" t="s">
        <v>130</v>
      </c>
      <c r="B73" s="20" t="s">
        <v>131</v>
      </c>
      <c r="C73" s="10" t="s">
        <v>119</v>
      </c>
      <c r="D73" s="21">
        <v>42.46</v>
      </c>
      <c r="E73" s="21">
        <v>29</v>
      </c>
      <c r="F73" s="22">
        <f t="shared" si="2"/>
        <v>1231.3399999999999</v>
      </c>
      <c r="G73" s="23"/>
    </row>
    <row r="74" spans="1:7" ht="12.75" x14ac:dyDescent="0.2">
      <c r="A74" s="1" t="s">
        <v>132</v>
      </c>
      <c r="B74" s="20" t="s">
        <v>133</v>
      </c>
      <c r="C74" s="10" t="s">
        <v>119</v>
      </c>
      <c r="D74" s="21">
        <v>39.549999999999997</v>
      </c>
      <c r="E74" s="21">
        <v>29</v>
      </c>
      <c r="F74" s="22">
        <f t="shared" si="2"/>
        <v>1146.9499999999998</v>
      </c>
      <c r="G74" s="23"/>
    </row>
    <row r="75" spans="1:7" ht="24" x14ac:dyDescent="0.2">
      <c r="A75" s="1" t="s">
        <v>134</v>
      </c>
      <c r="B75" s="20" t="s">
        <v>135</v>
      </c>
      <c r="C75" s="10" t="s">
        <v>119</v>
      </c>
      <c r="D75" s="21">
        <v>25.85</v>
      </c>
      <c r="E75" s="21">
        <v>38</v>
      </c>
      <c r="F75" s="22">
        <f t="shared" si="2"/>
        <v>982.30000000000007</v>
      </c>
      <c r="G75" s="23"/>
    </row>
    <row r="76" spans="1:7" ht="24" x14ac:dyDescent="0.2">
      <c r="A76" s="1" t="s">
        <v>136</v>
      </c>
      <c r="B76" s="20" t="s">
        <v>137</v>
      </c>
      <c r="C76" s="10" t="s">
        <v>119</v>
      </c>
      <c r="D76" s="21">
        <v>25.85</v>
      </c>
      <c r="E76" s="21">
        <v>38</v>
      </c>
      <c r="F76" s="22">
        <f t="shared" si="2"/>
        <v>982.30000000000007</v>
      </c>
      <c r="G76" s="23"/>
    </row>
    <row r="77" spans="1:7" ht="12.75" x14ac:dyDescent="0.2">
      <c r="A77" s="1" t="s">
        <v>138</v>
      </c>
      <c r="B77" s="20" t="s">
        <v>139</v>
      </c>
      <c r="C77" s="10" t="s">
        <v>119</v>
      </c>
      <c r="D77" s="21">
        <v>17.3</v>
      </c>
      <c r="E77" s="21">
        <v>38</v>
      </c>
      <c r="F77" s="22">
        <f t="shared" si="2"/>
        <v>657.4</v>
      </c>
      <c r="G77" s="23"/>
    </row>
    <row r="78" spans="1:7" ht="24" x14ac:dyDescent="0.2">
      <c r="A78" s="1" t="s">
        <v>140</v>
      </c>
      <c r="B78" s="20" t="s">
        <v>141</v>
      </c>
      <c r="C78" s="10" t="s">
        <v>119</v>
      </c>
      <c r="D78" s="21">
        <v>7.67</v>
      </c>
      <c r="E78" s="21">
        <v>38</v>
      </c>
      <c r="F78" s="22">
        <f t="shared" si="2"/>
        <v>291.45999999999998</v>
      </c>
      <c r="G78" s="23"/>
    </row>
    <row r="79" spans="1:7" ht="12.75" x14ac:dyDescent="0.2">
      <c r="A79" s="1" t="s">
        <v>142</v>
      </c>
      <c r="B79" s="20" t="s">
        <v>143</v>
      </c>
      <c r="C79" s="10" t="s">
        <v>119</v>
      </c>
      <c r="D79" s="21">
        <v>27.07</v>
      </c>
      <c r="E79" s="21">
        <v>38</v>
      </c>
      <c r="F79" s="22">
        <f t="shared" si="2"/>
        <v>1028.6600000000001</v>
      </c>
      <c r="G79" s="23"/>
    </row>
    <row r="80" spans="1:7" ht="24" x14ac:dyDescent="0.2">
      <c r="A80" s="1" t="s">
        <v>144</v>
      </c>
      <c r="B80" s="20" t="s">
        <v>145</v>
      </c>
      <c r="C80" s="10" t="s">
        <v>119</v>
      </c>
      <c r="D80" s="21">
        <v>16.809999999999999</v>
      </c>
      <c r="E80" s="21">
        <v>38</v>
      </c>
      <c r="F80" s="22">
        <f t="shared" si="2"/>
        <v>638.78</v>
      </c>
      <c r="G80" s="23"/>
    </row>
    <row r="81" spans="1:7" ht="24" x14ac:dyDescent="0.2">
      <c r="A81" s="1" t="s">
        <v>146</v>
      </c>
      <c r="B81" s="20" t="s">
        <v>147</v>
      </c>
      <c r="C81" s="10" t="s">
        <v>119</v>
      </c>
      <c r="D81" s="21">
        <v>27.6</v>
      </c>
      <c r="E81" s="21">
        <v>38</v>
      </c>
      <c r="F81" s="22">
        <f t="shared" si="2"/>
        <v>1048.8</v>
      </c>
      <c r="G81" s="23"/>
    </row>
    <row r="82" spans="1:7" ht="12.75" x14ac:dyDescent="0.2">
      <c r="A82" s="1" t="s">
        <v>148</v>
      </c>
      <c r="B82" s="20" t="s">
        <v>149</v>
      </c>
      <c r="C82" s="10" t="s">
        <v>119</v>
      </c>
      <c r="D82" s="21">
        <v>6</v>
      </c>
      <c r="E82" s="21">
        <v>29</v>
      </c>
      <c r="F82" s="22">
        <f t="shared" si="2"/>
        <v>174</v>
      </c>
      <c r="G82" s="23"/>
    </row>
    <row r="83" spans="1:7" ht="24" x14ac:dyDescent="0.2">
      <c r="A83" s="1" t="s">
        <v>150</v>
      </c>
      <c r="B83" s="20" t="s">
        <v>151</v>
      </c>
      <c r="C83" s="10" t="s">
        <v>119</v>
      </c>
      <c r="D83" s="21">
        <v>8.0299999999999994</v>
      </c>
      <c r="E83" s="21">
        <v>38</v>
      </c>
      <c r="F83" s="22">
        <f t="shared" si="2"/>
        <v>305.14</v>
      </c>
      <c r="G83" s="23"/>
    </row>
    <row r="84" spans="1:7" ht="36" x14ac:dyDescent="0.2">
      <c r="A84" s="1" t="s">
        <v>152</v>
      </c>
      <c r="B84" s="20" t="s">
        <v>153</v>
      </c>
      <c r="C84" s="10" t="s">
        <v>154</v>
      </c>
      <c r="D84" s="21">
        <v>12</v>
      </c>
      <c r="E84" s="21">
        <v>55</v>
      </c>
      <c r="F84" s="22">
        <f t="shared" si="2"/>
        <v>660</v>
      </c>
      <c r="G84" s="23"/>
    </row>
    <row r="85" spans="1:7" ht="36" x14ac:dyDescent="0.2">
      <c r="A85" s="1" t="s">
        <v>155</v>
      </c>
      <c r="B85" s="20" t="s">
        <v>156</v>
      </c>
      <c r="C85" s="10" t="s">
        <v>154</v>
      </c>
      <c r="D85" s="21">
        <v>12</v>
      </c>
      <c r="E85" s="21">
        <v>55</v>
      </c>
      <c r="F85" s="22">
        <f t="shared" si="2"/>
        <v>660</v>
      </c>
      <c r="G85" s="23"/>
    </row>
    <row r="86" spans="1:7" ht="24" x14ac:dyDescent="0.2">
      <c r="A86" s="1" t="s">
        <v>157</v>
      </c>
      <c r="B86" s="20" t="s">
        <v>158</v>
      </c>
      <c r="C86" s="10" t="s">
        <v>154</v>
      </c>
      <c r="D86" s="21">
        <v>3</v>
      </c>
      <c r="E86" s="21">
        <v>29</v>
      </c>
      <c r="F86" s="22">
        <f t="shared" si="2"/>
        <v>87</v>
      </c>
      <c r="G86" s="23"/>
    </row>
    <row r="87" spans="1:7" ht="24" x14ac:dyDescent="0.2">
      <c r="A87" s="1" t="s">
        <v>159</v>
      </c>
      <c r="B87" s="20" t="s">
        <v>160</v>
      </c>
      <c r="C87" s="10" t="s">
        <v>154</v>
      </c>
      <c r="D87" s="21">
        <v>7</v>
      </c>
      <c r="E87" s="21">
        <v>38</v>
      </c>
      <c r="F87" s="22">
        <f t="shared" si="2"/>
        <v>266</v>
      </c>
      <c r="G87" s="23"/>
    </row>
    <row r="88" spans="1:7" x14ac:dyDescent="0.2">
      <c r="E88" s="29" t="s">
        <v>97</v>
      </c>
      <c r="F88" s="24">
        <f>SUM(F67:F87)</f>
        <v>24602.219999999998</v>
      </c>
    </row>
    <row r="90" spans="1:7" x14ac:dyDescent="0.2">
      <c r="A90" s="17" t="s">
        <v>161</v>
      </c>
      <c r="B90" s="18" t="s">
        <v>162</v>
      </c>
    </row>
    <row r="91" spans="1:7" ht="168" x14ac:dyDescent="0.2">
      <c r="B91" s="6" t="s">
        <v>170</v>
      </c>
    </row>
    <row r="92" spans="1:7" ht="12.75" x14ac:dyDescent="0.2">
      <c r="A92" s="1" t="s">
        <v>163</v>
      </c>
      <c r="B92" s="20" t="s">
        <v>164</v>
      </c>
      <c r="C92" s="10" t="s">
        <v>119</v>
      </c>
      <c r="D92" s="21">
        <v>321.01</v>
      </c>
      <c r="E92" s="21">
        <v>31</v>
      </c>
      <c r="F92" s="22">
        <f>IF(OR(OR(E92=0,E92=""),OR(D92=0,D92="")),"",$D92*E92)</f>
        <v>9951.31</v>
      </c>
      <c r="G92" s="23"/>
    </row>
    <row r="94" spans="1:7" x14ac:dyDescent="0.2">
      <c r="A94" s="17" t="s">
        <v>165</v>
      </c>
      <c r="B94" s="18" t="s">
        <v>166</v>
      </c>
    </row>
    <row r="95" spans="1:7" ht="120" x14ac:dyDescent="0.2">
      <c r="B95" s="6" t="s">
        <v>167</v>
      </c>
    </row>
    <row r="96" spans="1:7" ht="12.75" x14ac:dyDescent="0.2">
      <c r="A96" s="1" t="s">
        <v>168</v>
      </c>
      <c r="B96" s="20" t="s">
        <v>164</v>
      </c>
      <c r="C96" s="10" t="s">
        <v>119</v>
      </c>
      <c r="D96" s="21">
        <v>15.63</v>
      </c>
      <c r="E96" s="21">
        <v>30</v>
      </c>
      <c r="F96" s="22">
        <f>IF(OR(OR(E96=0,E96=""),OR(D96=0,D96="")),"",$D96*E96)</f>
        <v>468.90000000000003</v>
      </c>
      <c r="G96" s="23"/>
    </row>
    <row r="98" spans="1:7" x14ac:dyDescent="0.2">
      <c r="A98" s="16" t="s">
        <v>79</v>
      </c>
      <c r="B98" s="38" t="s">
        <v>169</v>
      </c>
      <c r="C98" s="39"/>
      <c r="D98" s="40"/>
      <c r="E98" s="40"/>
      <c r="F98" s="25">
        <f>SUM(F48,F62,F88,F92,F96)</f>
        <v>99870.080000000002</v>
      </c>
      <c r="G98" s="25"/>
    </row>
    <row r="99" spans="1:7" x14ac:dyDescent="0.2">
      <c r="F99" s="24"/>
    </row>
  </sheetData>
  <autoFilter ref="D4:D99" xr:uid="{31CEA112-26E7-4AE2-857E-5F5A57BC5E4D}"/>
  <mergeCells count="5">
    <mergeCell ref="B4:F4"/>
    <mergeCell ref="B20:F20"/>
    <mergeCell ref="B28:F28"/>
    <mergeCell ref="B35:F35"/>
    <mergeCell ref="B98:E98"/>
  </mergeCells>
  <pageMargins left="0.6" right="0.6" top="0.75" bottom="0.75" header="0.3" footer="0.3"/>
  <pageSetup paperSize="9" scale="83" fitToHeight="0"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rowBreaks count="3" manualBreakCount="3">
    <brk id="27" max="6" man="1"/>
    <brk id="63" max="6" man="1"/>
    <brk id="89" max="6"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53A51507092ABC42A1F78E63565BAFD7" ma:contentTypeVersion="13" ma:contentTypeDescription="Stvaranje novog dokumenta." ma:contentTypeScope="" ma:versionID="c4eefad1a09bdc430b42c34e96aa6da2">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b36840f75ab2fa72e948bee9f8ce5ee3"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Oznake slika"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1FD064-F934-4163-94B6-CFBF0F0FF7E0}">
  <ds:schemaRefs>
    <ds:schemaRef ds:uri="http://schemas.microsoft.com/office/2006/metadata/properties"/>
    <ds:schemaRef ds:uri="http://schemas.microsoft.com/office/infopath/2007/PartnerControls"/>
    <ds:schemaRef ds:uri="f915974b-6f1e-4350-9f7e-2d11fb1812c4"/>
    <ds:schemaRef ds:uri="cb3740f1-362a-4884-a648-7855dba250b9"/>
  </ds:schemaRefs>
</ds:datastoreItem>
</file>

<file path=customXml/itemProps2.xml><?xml version="1.0" encoding="utf-8"?>
<ds:datastoreItem xmlns:ds="http://schemas.openxmlformats.org/officeDocument/2006/customXml" ds:itemID="{44187438-4197-4F8B-8EF2-B20E67E32786}">
  <ds:schemaRefs>
    <ds:schemaRef ds:uri="http://schemas.microsoft.com/sharepoint/v3/contenttype/forms"/>
  </ds:schemaRefs>
</ds:datastoreItem>
</file>

<file path=customXml/itemProps3.xml><?xml version="1.0" encoding="utf-8"?>
<ds:datastoreItem xmlns:ds="http://schemas.openxmlformats.org/officeDocument/2006/customXml" ds:itemID="{B859EB92-5214-47CD-8020-CEDD579E675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NASLOVNICA</vt:lpstr>
      <vt:lpstr>OPĆI UVJETI</vt:lpstr>
      <vt:lpstr>4. GRAĐEVINSKO - OBRTNIČKI RADO</vt:lpstr>
      <vt:lpstr>'4. GRAĐEVINSKO - OBRTNIČKI RADO'!Print_Area</vt:lpstr>
      <vt:lpstr>'4. GRAĐEVINSKO - OBRTNIČKI RADO'!Print_Titles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Ivana Radovac</dc:creator>
  <cp:lastModifiedBy>Vedran Zderic</cp:lastModifiedBy>
  <dcterms:created xsi:type="dcterms:W3CDTF">2025-10-23T08:18:35Z</dcterms:created>
  <dcterms:modified xsi:type="dcterms:W3CDTF">2025-12-01T09:27:14Z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y fmtid="{D5CDD505-2E9C-101B-9397-08002B2CF9AE}" pid="3" name="MediaServiceImageTags">
    <vt:lpwstr/>
  </property>
</Properties>
</file>
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activeTab="1"/>
  </bookViews>
  <sheets>
    <sheet name="bez cijena" sheetId="4" r:id="rId1"/>
    <sheet name="sa cijenama" sheetId="5" r:id="rId2"/>
    <sheet name="naslovnica" sheetId="2" r:id="rId3"/>
  </sheets>
  <calcPr calcId="162913"/>
</workbook>
</file>

<file path=xl/calcChain.xml><?xml version="1.0" encoding="utf-8"?>
<calcChain xmlns="http://schemas.openxmlformats.org/spreadsheetml/2006/main">
  <c r="F327" i="5" l="1"/>
  <c r="F325" i="5"/>
  <c r="F323" i="5"/>
  <c r="F307" i="5"/>
  <c r="F321" i="5" l="1"/>
  <c r="F175" i="5"/>
  <c r="F207" i="5" l="1"/>
  <c r="F209" i="5" s="1"/>
  <c r="F263" i="5" s="1"/>
  <c r="F196" i="5"/>
  <c r="F197" i="5"/>
  <c r="F198" i="5"/>
  <c r="F199" i="5"/>
  <c r="F200" i="5"/>
  <c r="F195" i="5"/>
  <c r="F179" i="5"/>
  <c r="F180" i="5"/>
  <c r="F181" i="5"/>
  <c r="F182" i="5"/>
  <c r="F183" i="5"/>
  <c r="F185" i="5"/>
  <c r="F186" i="5"/>
  <c r="F178" i="5"/>
  <c r="F165" i="5"/>
  <c r="F166" i="5"/>
  <c r="F167" i="5"/>
  <c r="F164" i="5"/>
  <c r="F156" i="5"/>
  <c r="F155" i="5"/>
  <c r="F143" i="5"/>
  <c r="F144" i="5"/>
  <c r="F145" i="5"/>
  <c r="F146" i="5"/>
  <c r="F142" i="5"/>
  <c r="F130" i="5"/>
  <c r="F131" i="5"/>
  <c r="F132" i="5"/>
  <c r="F133" i="5"/>
  <c r="F134" i="5"/>
  <c r="F129" i="5"/>
  <c r="F108" i="5"/>
  <c r="F109" i="5"/>
  <c r="F110" i="5"/>
  <c r="F107" i="5"/>
  <c r="F100" i="5"/>
  <c r="F99" i="5"/>
  <c r="F86" i="5"/>
  <c r="F87" i="5"/>
  <c r="F88" i="5"/>
  <c r="F85" i="5"/>
  <c r="F65" i="5"/>
  <c r="F66" i="5"/>
  <c r="F67" i="5"/>
  <c r="F68" i="5"/>
  <c r="F69" i="5"/>
  <c r="F70" i="5"/>
  <c r="F71" i="5"/>
  <c r="F72" i="5"/>
  <c r="F73" i="5"/>
  <c r="F64" i="5"/>
  <c r="F57" i="5"/>
  <c r="F59" i="5" s="1"/>
  <c r="F235" i="5" s="1"/>
  <c r="F37" i="5"/>
  <c r="F38" i="5"/>
  <c r="F39" i="5"/>
  <c r="F40" i="5"/>
  <c r="F41" i="5"/>
  <c r="F42" i="5"/>
  <c r="F43" i="5"/>
  <c r="F44" i="5"/>
  <c r="F45" i="5"/>
  <c r="F46" i="5"/>
  <c r="F47" i="5"/>
  <c r="F48" i="5"/>
  <c r="F49" i="5"/>
  <c r="F36" i="5"/>
  <c r="F19" i="5"/>
  <c r="F20" i="5"/>
  <c r="F21" i="5"/>
  <c r="F18" i="5"/>
  <c r="F11" i="5"/>
  <c r="F12" i="5"/>
  <c r="F10" i="5"/>
  <c r="F158" i="5" l="1"/>
  <c r="F255" i="5" s="1"/>
  <c r="F202" i="5"/>
  <c r="F261" i="5" s="1"/>
  <c r="F102" i="5"/>
  <c r="F241" i="5" s="1"/>
  <c r="F136" i="5"/>
  <c r="F251" i="5" s="1"/>
  <c r="F148" i="5"/>
  <c r="F253" i="5" s="1"/>
  <c r="F169" i="5"/>
  <c r="F257" i="5" s="1"/>
  <c r="F188" i="5"/>
  <c r="F259" i="5" s="1"/>
  <c r="F90" i="5"/>
  <c r="F239" i="5" s="1"/>
  <c r="F112" i="5"/>
  <c r="F243" i="5" s="1"/>
  <c r="F14" i="5"/>
  <c r="F229" i="5" s="1"/>
  <c r="F75" i="5"/>
  <c r="F237" i="5" s="1"/>
  <c r="F23" i="5"/>
  <c r="F231" i="5" s="1"/>
  <c r="F51" i="5"/>
  <c r="F233" i="5" s="1"/>
  <c r="F245" i="5" l="1"/>
  <c r="F317" i="5" s="1"/>
  <c r="F265" i="5"/>
  <c r="F267" i="5" l="1"/>
  <c r="F319" i="5"/>
</calcChain>
</file>

<file path=xl/sharedStrings.xml><?xml version="1.0" encoding="utf-8"?>
<sst xmlns="http://schemas.openxmlformats.org/spreadsheetml/2006/main" count="747" uniqueCount="243">
  <si>
    <t>kom</t>
  </si>
  <si>
    <t>m²</t>
  </si>
  <si>
    <t>kg</t>
  </si>
  <si>
    <t>m³</t>
  </si>
  <si>
    <t>m′</t>
  </si>
  <si>
    <t>Dovoz potrebnog materijala i alata na gradilište i izrada nanosne skele za kolčenje objekta na terenu u prirodnoj velčini. Na nanosnu skelu prenijeti sve debljine nosivih zidova i potrebne osi zidova ili drugih konstruktivnih dijelova objekta.</t>
  </si>
  <si>
    <t>Dovoz kontejnera za kancelariju i alatnicu na gradilištu.</t>
  </si>
  <si>
    <r>
      <t>Nabava materijala, dovoz i postavljanje</t>
    </r>
    <r>
      <rPr>
        <b/>
        <sz val="10"/>
        <color theme="1"/>
        <rFont val="Arial"/>
        <family val="2"/>
        <charset val="238"/>
      </rPr>
      <t xml:space="preserve"> </t>
    </r>
    <r>
      <rPr>
        <sz val="10"/>
        <color theme="1"/>
        <rFont val="Arial"/>
        <family val="2"/>
        <charset val="238"/>
      </rPr>
      <t>vanjskih kamenih pragova u cementni mort, debljine 3 cm. Pragovi širine do 20 cm. Kamen Brački ili sl. U cijenu uključeno fugiranje i silikoniziranje spojeva.</t>
    </r>
  </si>
  <si>
    <t>A. GRAĐEVINSKI RADOVI</t>
  </si>
  <si>
    <t>A. 01. PRIPREMNI RADOVI</t>
  </si>
  <si>
    <t>A.01.1</t>
  </si>
  <si>
    <t>investitor:</t>
  </si>
  <si>
    <t>NEĐO ZUBAC</t>
  </si>
  <si>
    <t>građevina:</t>
  </si>
  <si>
    <t>STAMBENA ZGRADA</t>
  </si>
  <si>
    <t>lokacija:</t>
  </si>
  <si>
    <t>DUBRAVICA - GLUŠCI</t>
  </si>
  <si>
    <t>sadržaj:</t>
  </si>
  <si>
    <t>TROŠKOVNIK RADOVA</t>
  </si>
  <si>
    <t>izradio:</t>
  </si>
  <si>
    <t>projektantska tvrtka:</t>
  </si>
  <si>
    <t>direktor:</t>
  </si>
  <si>
    <t>Opći i posebni uvjeti sastavni dio su ovog troškovnika. Sve navedeno u općim uvjetima što utječe na ukupnu cijenu obavezno ukalkulirati u jediničnu cijenu svake pojedine stavke troškovnika. Naknadni zahtjevi nakon ugovaranja neće se priznavati.</t>
  </si>
  <si>
    <t>A. 02. ZEMLJANI RADOVI</t>
  </si>
  <si>
    <t>Radove treba izvesti prema opisu iz troškovnika, a u stavkama gdje nije objašnjen način rada izvođač je dužan pridržavati se uobičajenog načina rada, uvažavajući odredbe važećih standarda.</t>
  </si>
  <si>
    <t xml:space="preserve">Izvođač je obvezan pridržavati se uputa projektanta i nadzornog inženjera po svim pitanjima koja se odnose na izbor materijala i način izvedbe pojedinih detalja, ukoliko to nije već detaljno opisano troškovnikom, a naročito u slučajevima kada se zahtjeva izvedba van propisanih standarda.                     </t>
  </si>
  <si>
    <t>A.01.2</t>
  </si>
  <si>
    <t>A.01.3</t>
  </si>
  <si>
    <t>kolčina</t>
  </si>
  <si>
    <t>jed.cijena</t>
  </si>
  <si>
    <t>ukupna cijena</t>
  </si>
  <si>
    <t>Nabava, dovoz i postavljanje montažne ograde na gradilištu minimalne visine 2 metra sa potrebnim oznakama zaštite na radu i zaštite prolaznika. Postaviti i gradilišnu tablu sa svim podacima o objektu (izvođač, projektant, nadzor,….).</t>
  </si>
  <si>
    <t>A. 03. BETONSKI I AB RADOVI</t>
  </si>
  <si>
    <t>A.02.1</t>
  </si>
  <si>
    <t>A.02.2</t>
  </si>
  <si>
    <t>A.02.3</t>
  </si>
  <si>
    <t>A.02.4</t>
  </si>
  <si>
    <t>A.03.1</t>
  </si>
  <si>
    <t>U cijeni pojedine stavke armirano - betonskih radova obuhvaćeno:</t>
  </si>
  <si>
    <t>Dobava betona, ugradba u konstrukciju sa potrebnim vibriranjem i njegovanjem betona.</t>
  </si>
  <si>
    <t>Potrebna glatka daščana oplata, montaža, demontža i čišćenje.</t>
  </si>
  <si>
    <t>Svi potrebni popravci betoniranih elemenata nakon skidanja oplate.</t>
  </si>
  <si>
    <t>Prije početka betoniranja svih zidova potrebno je u oplati postaviti potrebne šablone za otvore vrata i prozora, ugradbe dovoda i odvoda V+K, te raznih instalacija i ventilacija, sve prema planu oplate i detalju projektanta.</t>
  </si>
  <si>
    <t>Prije betoniranja svih ploča potrebno je u oplati postaviti šablone za otvore raznih velčina radi kasnijeg postavljanja dovoda i odvoda V+K, ventilacije i slično, sve prema planu oplate i detalju projektanta.</t>
  </si>
  <si>
    <t>Prije izvedbe proučiti planove oplate i detalje radi ostavljanja potrebnih čeličnih trnova i pločica koje se vare za rubnu armaturu.</t>
  </si>
  <si>
    <t>Sve troškove oko izrade projekta betona i svih njegovih sastavnih dijelova snosi izvoditelj radova. Sve troškove oko redovitog ili izvanrednog ispitivanja kvalitete betona snosi izvoditelj radova. Prilikom betoniranja naročito treba paziti da armatura ostane u položaju predviđenom statičkim proračunom i nacrtom. U jediničnim cijenama betonskih i ab konstrukcija sadržani su svi pripremni radovi, skele, zaštita betona od niskih i visokih temperatura, te ispitivanje uzoraka. Obračun radova za betonske i ab konstrukcije izvoditi prema važećim propisima i prosječnim normama u građevinarstvu.</t>
  </si>
  <si>
    <r>
      <t xml:space="preserve">Nabava materijala, dovoz, montaža rubne daščane oplate i </t>
    </r>
    <r>
      <rPr>
        <b/>
        <sz val="10"/>
        <color theme="1"/>
        <rFont val="Arial"/>
        <family val="2"/>
        <charset val="238"/>
      </rPr>
      <t xml:space="preserve">betoniranje podložnog betona </t>
    </r>
    <r>
      <rPr>
        <sz val="10"/>
        <color theme="1"/>
        <rFont val="Arial"/>
        <family val="2"/>
        <charset val="238"/>
      </rPr>
      <t>potrebnog slaganje armature a prije betoniranja trakastih temelja, betonom C15/20, debljine 6 cm. U cijenu uključen kompletan materijal, montaža oplate, demontaža oplate nakon sušenja, čišćenje i odvoz kao i potrebno njegovanje betona.</t>
    </r>
  </si>
  <si>
    <r>
      <rPr>
        <b/>
        <sz val="10"/>
        <color theme="1"/>
        <rFont val="Arial"/>
        <family val="2"/>
        <charset val="238"/>
      </rPr>
      <t>Strojni iskop trakastih temelja</t>
    </r>
    <r>
      <rPr>
        <sz val="10"/>
        <color theme="1"/>
        <rFont val="Arial"/>
        <family val="2"/>
        <charset val="238"/>
      </rPr>
      <t xml:space="preserve"> u materijalu B i C kategorije. Iskopani materijal deponirati na privremenu deponiju u krugu gradilišta. Širina iskopa je 140 cm a prosječna dubina iskopa je 60-70 cm. Kopa se do kote dna sloja tampona ispod podložnog betona.</t>
    </r>
  </si>
  <si>
    <r>
      <t xml:space="preserve">Nasipanje, planiranje i zbijanje usitnjenog </t>
    </r>
    <r>
      <rPr>
        <b/>
        <sz val="10"/>
        <color theme="1"/>
        <rFont val="Arial"/>
        <family val="2"/>
        <charset val="238"/>
      </rPr>
      <t>kamenog materijala</t>
    </r>
    <r>
      <rPr>
        <sz val="10"/>
        <color theme="1"/>
        <rFont val="Arial"/>
        <family val="2"/>
        <charset val="238"/>
      </rPr>
      <t xml:space="preserve"> iz iskopa, između temelja i nadtemeljnih zidova nakon betoniranja istih.</t>
    </r>
  </si>
  <si>
    <r>
      <t xml:space="preserve">Nabava, dovoz, nasipanje, planiranje i nabijanje </t>
    </r>
    <r>
      <rPr>
        <b/>
        <sz val="10"/>
        <color theme="1"/>
        <rFont val="Arial"/>
        <family val="2"/>
        <charset val="238"/>
      </rPr>
      <t>tampona</t>
    </r>
    <r>
      <rPr>
        <sz val="10"/>
        <color theme="1"/>
        <rFont val="Arial"/>
        <family val="2"/>
        <charset val="238"/>
      </rPr>
      <t xml:space="preserve"> u sloju od 15 cm kao podloge prije betoniranja podložnog betona ispod temelja.</t>
    </r>
  </si>
  <si>
    <t>A.03.2</t>
  </si>
  <si>
    <t>A.03.3</t>
  </si>
  <si>
    <r>
      <t>Nabava materijala, dovoz, montaža dvostrane glatke daščane oplate i</t>
    </r>
    <r>
      <rPr>
        <b/>
        <sz val="10"/>
        <color theme="1"/>
        <rFont val="Arial"/>
        <family val="2"/>
        <charset val="238"/>
      </rPr>
      <t xml:space="preserve"> betoniranje nadtemeljnih zidova </t>
    </r>
    <r>
      <rPr>
        <sz val="10"/>
        <color theme="1"/>
        <rFont val="Arial"/>
        <family val="2"/>
        <charset val="238"/>
      </rPr>
      <t>betonom C25/30 uz upotrebu vibratora. Nadtemeljne zidove armirati prema statičkom proračunu i planu armature. Armatura je obračunata u zasebnoj stavci. U cijenu uključen kompletan materijal, montaža oplate, demontaža oplate nakon sušenja, čišćenje i odvoz kao i potrebno njegovanje betona. Debljina zidova je 25 cm.</t>
    </r>
  </si>
  <si>
    <r>
      <t>Nabava materijala, dovoz, montaža dvostrane glatke daščane oplate i</t>
    </r>
    <r>
      <rPr>
        <b/>
        <sz val="10"/>
        <color theme="1"/>
        <rFont val="Arial"/>
        <family val="2"/>
        <charset val="238"/>
      </rPr>
      <t xml:space="preserve"> betoniranje temeljnih traka </t>
    </r>
    <r>
      <rPr>
        <sz val="10"/>
        <color theme="1"/>
        <rFont val="Arial"/>
        <family val="2"/>
        <charset val="238"/>
      </rPr>
      <t>betonom C25/30 uz upotrebu vibratora. Temelje armirati prema statičkom proračunu i planu armature. Armatura je obračunata u zasebnoj stavci. U cijenu uključen kompletan materijal, montaža oplate, demontaža oplate nakon sušenja, čišćenje i odvoz kao i potrebno njegovanje betona. Dimenzije presjeka temelja su 40x65 cm, 80x65 cm i 90x65 cm.</t>
    </r>
  </si>
  <si>
    <t>A.03.4</t>
  </si>
  <si>
    <r>
      <t xml:space="preserve">Nabava materijala, dovoz, montaža rubne glatke daščane oplate i </t>
    </r>
    <r>
      <rPr>
        <b/>
        <sz val="10"/>
        <color theme="1"/>
        <rFont val="Arial"/>
        <family val="2"/>
        <charset val="238"/>
      </rPr>
      <t>betoniranje podne armirano betonske ploče</t>
    </r>
    <r>
      <rPr>
        <sz val="10"/>
        <color theme="1"/>
        <rFont val="Arial"/>
        <family val="2"/>
        <charset val="238"/>
      </rPr>
      <t xml:space="preserve"> betonom C25/30 uz upotrebu vibratora, debljine 12 cm. Ploču armirati prema statičkom proračunu i planu armature. Armatura je obračunata u zasebnoj stavci. U cijenu uključen kompletan materijal, montaža oplate, demontaža oplate nakon sušenja, čišćenje i odvoz kao i potrebno njegovanje betona. Podna ploča na koti</t>
    </r>
    <r>
      <rPr>
        <b/>
        <sz val="10"/>
        <color theme="1"/>
        <rFont val="Arial"/>
        <family val="2"/>
        <charset val="238"/>
      </rPr>
      <t xml:space="preserve"> -0,14</t>
    </r>
    <r>
      <rPr>
        <sz val="10"/>
        <color theme="1"/>
        <rFont val="Arial"/>
        <family val="2"/>
        <charset val="238"/>
      </rPr>
      <t xml:space="preserve"> m.</t>
    </r>
  </si>
  <si>
    <r>
      <t xml:space="preserve">Nabava materijala, dovoz, montaža rubne glatke daščane oplate i </t>
    </r>
    <r>
      <rPr>
        <b/>
        <sz val="10"/>
        <color theme="1"/>
        <rFont val="Arial"/>
        <family val="2"/>
        <charset val="238"/>
      </rPr>
      <t>betoniranje podne armirano betonske ploče</t>
    </r>
    <r>
      <rPr>
        <sz val="10"/>
        <color theme="1"/>
        <rFont val="Arial"/>
        <family val="2"/>
        <charset val="238"/>
      </rPr>
      <t xml:space="preserve"> betonom C25/30 uz upotrebu vibratora, debljine 12 cm. Ploču armirati prema statičkom proračunu i planu armature. Armatura je obračunata u zasebnoj stavci. U cijenu uključen kompletan materijal, montaža oplate, demontaža oplate nakon sušenja, čišćenje i odvoz kao i potrebno njegovanje betona. Podna ploča na koti </t>
    </r>
    <r>
      <rPr>
        <b/>
        <sz val="10"/>
        <color theme="1"/>
        <rFont val="Arial"/>
        <family val="2"/>
        <charset val="238"/>
      </rPr>
      <t xml:space="preserve">-1,59 </t>
    </r>
    <r>
      <rPr>
        <sz val="10"/>
        <color theme="1"/>
        <rFont val="Arial"/>
        <family val="2"/>
        <charset val="238"/>
      </rPr>
      <t>m.</t>
    </r>
  </si>
  <si>
    <t>A.03.5</t>
  </si>
  <si>
    <t>A.03.6</t>
  </si>
  <si>
    <t>A.03.7</t>
  </si>
  <si>
    <r>
      <t>Nabava, dovoz, nasipanje, planiranje i nabijanje</t>
    </r>
    <r>
      <rPr>
        <b/>
        <sz val="10"/>
        <color theme="1"/>
        <rFont val="Arial"/>
        <family val="2"/>
        <charset val="238"/>
      </rPr>
      <t xml:space="preserve"> tampona</t>
    </r>
    <r>
      <rPr>
        <sz val="10"/>
        <color theme="1"/>
        <rFont val="Arial"/>
        <family val="2"/>
        <charset val="238"/>
      </rPr>
      <t xml:space="preserve"> </t>
    </r>
    <r>
      <rPr>
        <b/>
        <sz val="10"/>
        <color theme="1"/>
        <rFont val="Arial"/>
        <family val="2"/>
        <charset val="238"/>
      </rPr>
      <t>između temelja i nadtemeljnih zidova</t>
    </r>
    <r>
      <rPr>
        <sz val="10"/>
        <color theme="1"/>
        <rFont val="Arial"/>
        <family val="2"/>
        <charset val="238"/>
      </rPr>
      <t>.</t>
    </r>
  </si>
  <si>
    <r>
      <t xml:space="preserve">Nabava materijala, dovoz, montaža četverostrane glatke daščane oplate i </t>
    </r>
    <r>
      <rPr>
        <b/>
        <sz val="10"/>
        <color theme="1"/>
        <rFont val="Arial"/>
        <family val="2"/>
        <charset val="238"/>
      </rPr>
      <t>betoniranje armirano betonskih stupova samaca</t>
    </r>
    <r>
      <rPr>
        <sz val="10"/>
        <color theme="1"/>
        <rFont val="Arial"/>
        <family val="2"/>
        <charset val="238"/>
      </rPr>
      <t xml:space="preserve">, betonom C25/30. Stupove armirati prema statičkom proračunu i planu armature. Armatura je obračunata u zasebnoj stavci. U cijenu uključen kompletan materijal, montaža oplate, demontaža oplate nakon sušenja, čišćenje i odvoz kao i potrebno njegovanje betona. Stupovi ispod vanjske terase sa kote </t>
    </r>
    <r>
      <rPr>
        <b/>
        <sz val="10"/>
        <color theme="1"/>
        <rFont val="Arial"/>
        <family val="2"/>
        <charset val="238"/>
      </rPr>
      <t xml:space="preserve">-1,59 </t>
    </r>
    <r>
      <rPr>
        <sz val="10"/>
        <color theme="1"/>
        <rFont val="Arial"/>
        <family val="2"/>
        <charset val="238"/>
      </rPr>
      <t>m.</t>
    </r>
  </si>
  <si>
    <r>
      <t xml:space="preserve">Nabava materijala, dovoz, montaža četverostrane glatke daščane oplate i </t>
    </r>
    <r>
      <rPr>
        <b/>
        <sz val="10"/>
        <color theme="1"/>
        <rFont val="Arial"/>
        <family val="2"/>
        <charset val="238"/>
      </rPr>
      <t>betoniranje armirano betonskih stupova samaca</t>
    </r>
    <r>
      <rPr>
        <sz val="10"/>
        <color theme="1"/>
        <rFont val="Arial"/>
        <family val="2"/>
        <charset val="238"/>
      </rPr>
      <t xml:space="preserve">, betonom C25/30. Stupove armirati prema statičkom proračunu i planu armature. Armatura je obračunata u zasebnoj stavci. U cijenu uključen kompletan materijal, montaža oplate, demontaža oplate nakon sušenja, čišćenje i odvoz kao i potrebno njegovanje betona. Stupovi na ab ploči vanjske terase sa kote </t>
    </r>
    <r>
      <rPr>
        <b/>
        <sz val="10"/>
        <color theme="1"/>
        <rFont val="Arial"/>
        <family val="2"/>
        <charset val="238"/>
      </rPr>
      <t xml:space="preserve">-0,14 </t>
    </r>
    <r>
      <rPr>
        <sz val="10"/>
        <color theme="1"/>
        <rFont val="Arial"/>
        <family val="2"/>
        <charset val="238"/>
      </rPr>
      <t>m.</t>
    </r>
  </si>
  <si>
    <t>A.03.8</t>
  </si>
  <si>
    <r>
      <t xml:space="preserve">Nabava materijala, dovoz, montaža trostrane glatke daščane oplate i </t>
    </r>
    <r>
      <rPr>
        <b/>
        <sz val="10"/>
        <color theme="1"/>
        <rFont val="Arial"/>
        <family val="2"/>
        <charset val="238"/>
      </rPr>
      <t>betoniranje AB greda</t>
    </r>
    <r>
      <rPr>
        <sz val="10"/>
        <color theme="1"/>
        <rFont val="Arial"/>
        <family val="2"/>
        <charset val="238"/>
      </rPr>
      <t>, betonom C25/30. Grede armirati prema statičkom proračunu i planu armature. Armatura je obračunata u zasebnoj stavci. U cijenu uključeno podupiranje greda prije betoniranja, demontaža oplate, čišćenje i odvoz kao i potrebno njegovanje betona.</t>
    </r>
  </si>
  <si>
    <t>A.03.9</t>
  </si>
  <si>
    <r>
      <t>Nabava materijala, dovoz, montaža glatke daščane oplate i</t>
    </r>
    <r>
      <rPr>
        <b/>
        <sz val="10"/>
        <color theme="1"/>
        <rFont val="Arial"/>
        <family val="2"/>
        <charset val="238"/>
      </rPr>
      <t xml:space="preserve"> betoniranje armirano betonske ploče vanjske terase</t>
    </r>
    <r>
      <rPr>
        <sz val="10"/>
        <color theme="1"/>
        <rFont val="Arial"/>
        <family val="2"/>
        <charset val="238"/>
      </rPr>
      <t>, betonom C25/30, debljine 15</t>
    </r>
    <r>
      <rPr>
        <b/>
        <sz val="10"/>
        <color theme="1"/>
        <rFont val="Arial"/>
        <family val="2"/>
        <charset val="238"/>
      </rPr>
      <t xml:space="preserve"> </t>
    </r>
    <r>
      <rPr>
        <sz val="10"/>
        <color theme="1"/>
        <rFont val="Arial"/>
        <family val="2"/>
        <charset val="238"/>
      </rPr>
      <t xml:space="preserve"> cm. Podupiranje oplate do 1,5 metar. AB ploče armirati prema statičkom proračunu i planu armature. Armatura je obračunata u zasebnoj stavci. U cijenu uključena demontaža oplate, čišćenje i odvoz kao i potrebno njegovanje betona.</t>
    </r>
  </si>
  <si>
    <t>A.03.10</t>
  </si>
  <si>
    <r>
      <t xml:space="preserve">Nabava materijala, dovoz, montaža glatke daščane oplate i </t>
    </r>
    <r>
      <rPr>
        <b/>
        <sz val="10"/>
        <color theme="1"/>
        <rFont val="Arial"/>
        <family val="2"/>
        <charset val="238"/>
      </rPr>
      <t>betoniranje vertikalnih serklaža</t>
    </r>
    <r>
      <rPr>
        <sz val="10"/>
        <color theme="1"/>
        <rFont val="Arial"/>
        <family val="2"/>
        <charset val="238"/>
      </rPr>
      <t>, betonom C25/30. Serklaže armirati prema statičkom proračunu i planu armature. Armatura je obračunata u zasebnoj stavci. U cijenu uključen kompletan materijal, montaža oplate, demontaža oplate nakon sušenja, čišćenje i odvoz kao i potrebno njegovanje betona.</t>
    </r>
  </si>
  <si>
    <t>A.03.11</t>
  </si>
  <si>
    <r>
      <t xml:space="preserve">Nabava materijala, dovoz, montaža dvostrane glatke daščane oplate i </t>
    </r>
    <r>
      <rPr>
        <b/>
        <sz val="10"/>
        <color theme="1"/>
        <rFont val="Arial"/>
        <family val="2"/>
        <charset val="238"/>
      </rPr>
      <t>betoniranje horizontalnih serklaža</t>
    </r>
    <r>
      <rPr>
        <sz val="10"/>
        <color theme="1"/>
        <rFont val="Arial"/>
        <family val="2"/>
        <charset val="238"/>
      </rPr>
      <t>, betonom C25/30. Serklaže armirati prema statičkom proračunu i planu armature. Armatura je obračunata u zasebnoj stavci. U cijenu uključen kompletan materijal, montaža oplate, demontaža oplate nakon sušenja, čišćenje i odvoz kao i potrebno njegovanje betona. Presjek betona je 25x20 cm.</t>
    </r>
  </si>
  <si>
    <t>A.03.12</t>
  </si>
  <si>
    <r>
      <t>Nabava materijala, dovoz, montaža trostrne glatke daščane oplate i</t>
    </r>
    <r>
      <rPr>
        <b/>
        <sz val="10"/>
        <color theme="1"/>
        <rFont val="Arial"/>
        <family val="2"/>
        <charset val="238"/>
      </rPr>
      <t xml:space="preserve"> betoniranje AB nadvoja</t>
    </r>
    <r>
      <rPr>
        <sz val="10"/>
        <color theme="1"/>
        <rFont val="Arial"/>
        <family val="2"/>
        <charset val="238"/>
      </rPr>
      <t>, betonom C25/30. Nadvoje armirati prema statičkom proračunu i planu armature. Armatura je obračunata u zasebnoj stavci. U cijenu uključena demontaža oplate, čišćenje i odvoz kao i potrebno njegovanje betona.</t>
    </r>
  </si>
  <si>
    <t>A.03.13</t>
  </si>
  <si>
    <t>A.03.14</t>
  </si>
  <si>
    <r>
      <t xml:space="preserve">Nabava materijala, dovoz, montaža dvostrane glatke daščane oplate i </t>
    </r>
    <r>
      <rPr>
        <b/>
        <sz val="10"/>
        <color theme="1"/>
        <rFont val="Arial"/>
        <family val="2"/>
        <charset val="238"/>
      </rPr>
      <t>betoniranje horizontalnih serklaža</t>
    </r>
    <r>
      <rPr>
        <sz val="10"/>
        <color theme="1"/>
        <rFont val="Arial"/>
        <family val="2"/>
        <charset val="238"/>
      </rPr>
      <t>, betonom C25/30. Serklaže armirati prema statičkom proračunu i planu armature. Armatura je obračunata u zasebnoj stavci. U cijenu uključen kompletan materijal, montaža oplate, demontaža oplate nakon sušenja, čišćenje i odvoz kao i potrebno njegovanje betona. Presjek betona je 25x20 cm. Serklaži na zidu koji je ozidan na izbetoniranoj ab ploči iznad prizemlja.</t>
    </r>
  </si>
  <si>
    <r>
      <t>Nabava materijala, dovoz, montaža glatke daščane oplate i</t>
    </r>
    <r>
      <rPr>
        <b/>
        <sz val="10"/>
        <color theme="1"/>
        <rFont val="Arial"/>
        <family val="2"/>
        <charset val="238"/>
      </rPr>
      <t xml:space="preserve"> betoniranje armirano betonske ploče iznad prizemlja</t>
    </r>
    <r>
      <rPr>
        <sz val="10"/>
        <color theme="1"/>
        <rFont val="Arial"/>
        <family val="2"/>
        <charset val="238"/>
      </rPr>
      <t>, betonom C25/30, debljine 15</t>
    </r>
    <r>
      <rPr>
        <b/>
        <sz val="10"/>
        <color theme="1"/>
        <rFont val="Arial"/>
        <family val="2"/>
        <charset val="238"/>
      </rPr>
      <t xml:space="preserve"> </t>
    </r>
    <r>
      <rPr>
        <sz val="10"/>
        <color theme="1"/>
        <rFont val="Arial"/>
        <family val="2"/>
        <charset val="238"/>
      </rPr>
      <t xml:space="preserve"> cm, skupa sa dijelom grandala (istak na ploči). Podupiranje oplate do 3 metra. AB ploče armirati prema statičkom proračunu i planu armature. Armatura je obračunata u zasebnoj stavci. U cijenu uključena demontaža oplate, čišćenje i odvoz kao i potrebno njegovanje betona.</t>
    </r>
  </si>
  <si>
    <t>A. 04. ARMIRAČKI RADOVI</t>
  </si>
  <si>
    <t>Betonsko željezo mora odgovarati tehničkim propisima, te mora biti savijeno i uredno položeno prema statičkim nacrtima. Željezo po planu savijanja mora biti od jednog komada, ne smije se spajati od dva ili više kraćih komada. Željezo očistiti prije betoniranje, dobro povezati i podložiti da se nakon skidanja oplate ne vidi na površini betona. Prije betoniranja treba izvršiti pregled i preuzimanje armature od nadzornog inženjera, a kod složenih konstrukcija provjeru može izvršiti i statičar. Nakon pregleda upisati u građevinski dnevnik. Kvaliteta čelika za armiranje je B500B.</t>
  </si>
  <si>
    <t>A.04.1</t>
  </si>
  <si>
    <r>
      <t xml:space="preserve">Nabava, dovoz, </t>
    </r>
    <r>
      <rPr>
        <b/>
        <sz val="10"/>
        <color theme="1"/>
        <rFont val="Arial"/>
        <family val="2"/>
        <charset val="238"/>
      </rPr>
      <t>izmjera, sječenje, savijanje, vezanje i ugradnja armature</t>
    </r>
    <r>
      <rPr>
        <sz val="10"/>
        <color theme="1"/>
        <rFont val="Arial"/>
        <family val="2"/>
        <charset val="238"/>
      </rPr>
      <t>. Armatura za temeljne konstrukcije, AB zidove, međukatne ravne i kose ploče, stubišta, grede i ostale ab konstrukcije. Izvesti sve prema planu armature. Obračun kolčine armature prema planu armature što znači da je obračunata netto armatura ugrađena u betonski presjek. U jediničnu cijenu uključiti sav otpadni materijal i rad. Kolčine u troškovniku dane su aproksimativno dok će se točne kolčine utvrditi u iskazu armature.</t>
    </r>
  </si>
  <si>
    <t>A. 05. ZIDARSKI RADOVI</t>
  </si>
  <si>
    <t>A.05.1</t>
  </si>
  <si>
    <t>A. 01. PRIPREMNI RADOVI:     Kuna</t>
  </si>
  <si>
    <t>A. 02. ZEMLJANI RADOVI:     Kuna</t>
  </si>
  <si>
    <t>A. 03. BETONSKI I AB RADOVI:     Kuna</t>
  </si>
  <si>
    <t>A. 04. ARMIRAČKI RADOVI:     Kuna</t>
  </si>
  <si>
    <t>A. 05. ZIDARSKI RADOVI:     Kuna</t>
  </si>
  <si>
    <r>
      <t xml:space="preserve">Nabava materijala, dovoz i </t>
    </r>
    <r>
      <rPr>
        <b/>
        <sz val="10"/>
        <color theme="1"/>
        <rFont val="Arial"/>
        <family val="2"/>
        <charset val="238"/>
      </rPr>
      <t>krpljenje šliceva</t>
    </r>
    <r>
      <rPr>
        <sz val="10"/>
        <color theme="1"/>
        <rFont val="Arial"/>
        <family val="2"/>
        <charset val="238"/>
      </rPr>
      <t xml:space="preserve"> nakon izvedbe instalaterskih radova. Šliceve krpiti u dva sloja cementnim mortom Rofix 620.</t>
    </r>
  </si>
  <si>
    <t>A.05.2</t>
  </si>
  <si>
    <t>A.05.3</t>
  </si>
  <si>
    <r>
      <t xml:space="preserve">Nabava materijala, dovoz i </t>
    </r>
    <r>
      <rPr>
        <b/>
        <sz val="10"/>
        <color theme="1"/>
        <rFont val="Arial"/>
        <family val="2"/>
        <charset val="238"/>
      </rPr>
      <t>zidanje pregradnih zidova blok opekom kao POROTHERM 10</t>
    </r>
    <r>
      <rPr>
        <sz val="10"/>
        <color theme="1"/>
        <rFont val="Arial"/>
        <family val="2"/>
        <charset val="238"/>
      </rPr>
      <t>, dim. 100x600x238 cm u produžnom cementnom mortu marke MM-25. U cijenu je uključen sav rad i materijal, pomoćna sredstva, oplata i pomoćni materijali, zapunjavanje fuga, rezanje blok opeka za zidarski vez, završna obrada vertikalnih špaleta otvora, kao i poklopnih ploha prozorskih parapeta (podrazumjeva se ravna zaglađena površina), te potrebna radna skela. Prvi red blokova potrebno je postaviti na idealno ravan u oba smjera sloj cementnog morta 1:2 debljine 2-5 cm ovisno o točnosti izvedene podloge. Prilikom zudanja nije dozvoljeno preklapanje vertikalnih sljubnica. U cijeni sav rad i materijal po uputi proizvođača do potpune gotovosti. U cijeni je uključena potrebna pokretna radna skela visine 2-3 metra i čišćenje radnog mjesta nakon završetka radova. Obračun po m2 izvedenog zida.</t>
    </r>
  </si>
  <si>
    <r>
      <t xml:space="preserve">Nabava materijala, dovoz i </t>
    </r>
    <r>
      <rPr>
        <b/>
        <sz val="10"/>
        <color theme="1"/>
        <rFont val="Arial"/>
        <family val="2"/>
        <charset val="238"/>
      </rPr>
      <t>zidanje nosivih zidova blok opekom kao POROTHERM 25</t>
    </r>
    <r>
      <rPr>
        <sz val="10"/>
        <color theme="1"/>
        <rFont val="Arial"/>
        <family val="2"/>
        <charset val="238"/>
      </rPr>
      <t>, dim. 250x375x238 cm u produžnom cementnom mortu marke MM-25. U cijenu je uključen sav rad i materijal, pomoćna sredstva, oplata i pomoćni materijali, zapunjavanje fuga, rezanje blok opeka za zidarski vez, završna obrada vertikalnih špaleta otvora, kao i poklopnih ploha prozorskih parapeta (podrazumjeva se ravna zaglađena površina), te potrebna radna skela. Prvi red blokova potrebno je postaviti na idealno ravan u oba smjera sloj cementnog morta 1:2 debljine 2-5 cm ovisno o točnosti izvedene podloge. Prilikom zudanja nije dozvoljeno preklapanje vertikalnih sljubnica. U cijeni sav rad i materijal po uputi proizvođača do potpune gotovosti. U cijeni je uključena potrebna pokretna radna skela visine 2-3 metra i čišćenje radnog mjesta nakon završetka radova. Obračun po m3 izvedenog zida.</t>
    </r>
  </si>
  <si>
    <t>A.05.4</t>
  </si>
  <si>
    <r>
      <t>Nabava, dovoz i</t>
    </r>
    <r>
      <rPr>
        <b/>
        <sz val="10"/>
        <color theme="1"/>
        <rFont val="Arial"/>
        <family val="2"/>
        <charset val="238"/>
      </rPr>
      <t xml:space="preserve"> ugradnja tipskih tvorničkih nadvoja</t>
    </r>
    <r>
      <rPr>
        <sz val="10"/>
        <color theme="1"/>
        <rFont val="Arial"/>
        <family val="2"/>
        <charset val="238"/>
      </rPr>
      <t xml:space="preserve"> na pregradnim zidovima iznad sobnih vrata dužina od 100 do 120 cm. Ugradnja pomoću produžnog morta.</t>
    </r>
  </si>
  <si>
    <t>A.05.5</t>
  </si>
  <si>
    <t>A.05.6</t>
  </si>
  <si>
    <t>A.05.7</t>
  </si>
  <si>
    <t>A.05.8</t>
  </si>
  <si>
    <t>A.05.9</t>
  </si>
  <si>
    <t>A.05.10</t>
  </si>
  <si>
    <r>
      <t xml:space="preserve">Nabava materijala, dovoz i </t>
    </r>
    <r>
      <rPr>
        <b/>
        <sz val="10"/>
        <color theme="1"/>
        <rFont val="Arial"/>
        <family val="2"/>
        <charset val="238"/>
      </rPr>
      <t>strojno žbukanje unutrašnjih zidova</t>
    </r>
    <r>
      <rPr>
        <sz val="10"/>
        <color theme="1"/>
        <rFont val="Arial"/>
        <family val="2"/>
        <charset val="238"/>
      </rPr>
      <t xml:space="preserve"> vapneno cementnom žbukom kao Rofix 510 uz prethodno špricanje zidova rijetkim cementnim mortom kao Rofix 670 ili premazivanje betonskih površina Beton kontaktom (Baumit). U cijenu uključena i pomoćna radna skela za žbukanje. Debljina žbuke je 2 cm. Sve betonske površine prethodno premazati SN vezom. Sve spojeve različitih materijala potrebno je rabicirati rabic pletivom. Svi otvori na nosivim zidovima manji od 3m2 se ne odbijaju od ukupne površine zbog obrade špaleta. Sve izvesti prema uputi proizvođača i općim uvjetima. Obračun po m2 izvedene žbuke.</t>
    </r>
  </si>
  <si>
    <r>
      <t xml:space="preserve">Nabava materijala, dovoz i </t>
    </r>
    <r>
      <rPr>
        <b/>
        <sz val="10"/>
        <color theme="1"/>
        <rFont val="Arial"/>
        <family val="2"/>
        <charset val="238"/>
      </rPr>
      <t>strojno žbukanje stropova</t>
    </r>
    <r>
      <rPr>
        <sz val="10"/>
        <color theme="1"/>
        <rFont val="Arial"/>
        <family val="2"/>
        <charset val="238"/>
      </rPr>
      <t xml:space="preserve"> (AB ploče) i kosih ploča stubišta vapneno cementnom žbukom kao Rofix 510 uz prethodno špricanje stropova rijetkim cementnim mortom kao Rofix 670 ili premazivanje betonskih površina Beton kontaktom (Baumit). U cijenu uključena i pomoćna radna skela za žbukanje. Debljina žbuke do 2 cm.</t>
    </r>
  </si>
  <si>
    <r>
      <rPr>
        <b/>
        <sz val="10"/>
        <color theme="1"/>
        <rFont val="Arial"/>
        <family val="2"/>
        <charset val="238"/>
      </rPr>
      <t>Čišćenje gradilišta</t>
    </r>
    <r>
      <rPr>
        <sz val="10"/>
        <color theme="1"/>
        <rFont val="Arial"/>
        <family val="2"/>
        <charset val="238"/>
      </rPr>
      <t xml:space="preserve"> tijekom izvođenja i završetka zidarskih radova.</t>
    </r>
  </si>
  <si>
    <r>
      <rPr>
        <b/>
        <sz val="10"/>
        <color theme="1"/>
        <rFont val="Arial"/>
        <family val="2"/>
        <charset val="238"/>
      </rPr>
      <t>Zidarska pripomoć</t>
    </r>
    <r>
      <rPr>
        <sz val="10"/>
        <color theme="1"/>
        <rFont val="Arial"/>
        <family val="2"/>
        <charset val="238"/>
      </rPr>
      <t xml:space="preserve"> prilikom ugradnje otvora bez obzira na velčinu.</t>
    </r>
  </si>
  <si>
    <r>
      <t xml:space="preserve">Nabava materijala, dovoz i </t>
    </r>
    <r>
      <rPr>
        <b/>
        <sz val="10"/>
        <color theme="1"/>
        <rFont val="Arial"/>
        <family val="2"/>
        <charset val="238"/>
      </rPr>
      <t>izrada cementnog estriha</t>
    </r>
    <r>
      <rPr>
        <sz val="10"/>
        <color theme="1"/>
        <rFont val="Arial"/>
        <family val="2"/>
        <charset val="238"/>
      </rPr>
      <t xml:space="preserve"> debljine 5-6 cm. Estrih fino zagladiti jer se na njega lijepe keramičke pločice ili polaže laminat. U cijenu uključena i vlakna za vezu. Estrih na svim podovima i vanjskim terasama.</t>
    </r>
  </si>
  <si>
    <r>
      <rPr>
        <b/>
        <sz val="10"/>
        <color theme="1"/>
        <rFont val="Arial"/>
        <family val="2"/>
        <charset val="238"/>
      </rPr>
      <t>Zidanje dimnjaka ukupne visine 6,5 m, tip kao Schiedl fi 16 cm</t>
    </r>
    <r>
      <rPr>
        <sz val="10"/>
        <color theme="1"/>
        <rFont val="Arial"/>
        <family val="2"/>
        <charset val="238"/>
      </rPr>
      <t>. Uključen kompletan set za ugradnju koji uključuje plašt od lakog betona, šamotne cijevi dužine 33 cm, priključak za ložište pod kutom od 90 stupnjeva (1 kom), posudu za kondezat (1 kom), ventilacijsku rešetku (1 kom), limena vratašca za čišćenje (1 kom), tervol izolaciju od kamene vune, završnu betonsku kapu i završnu dilatacijsku rozetu. Sve izvesti prema uputi proizvođača i općim uvjetima. Obračun po metru dužnom izvedenog dimnjaka.</t>
    </r>
  </si>
  <si>
    <t>A. 06. IZOLATERSKI RADOVI</t>
  </si>
  <si>
    <t>A. 06. IZOLATERSKI RADOVI:     Kuna</t>
  </si>
  <si>
    <r>
      <rPr>
        <b/>
        <sz val="10"/>
        <color theme="1"/>
        <rFont val="Arial"/>
        <family val="2"/>
        <charset val="238"/>
      </rPr>
      <t>HIDROIZOLACIJA</t>
    </r>
    <r>
      <rPr>
        <sz val="10"/>
        <color theme="1"/>
        <rFont val="Arial"/>
        <family val="2"/>
        <charset val="238"/>
      </rPr>
      <t xml:space="preserve">. Prije početka radova izvođač mora ustanoviti kvalitetu podloge na koju se izvodi izolacija, te ukoliko nije pogodna za rad mora o tome na osnovu relevantnih dokaza, pismeno izvijestiti nadzornog inženjera kako bi se podloga na vrijeme popravila i pripremila za izvođenje izolacije. Radovi se moraju izvesti u svemu prema pravilima struke, uvjetima i opisima iz troškovnika, te uputama proizvođača. </t>
    </r>
  </si>
  <si>
    <t>Podloga za hidroizolaciju mora biti suha i čvrsta, ravna i bez šupljina na površini, te očišćena od prašine i raznih nečistoća. Pažljivo izvesti savijanje traka i preklope prema uputama proizvođača, uz upotrebu tipskih prefabriciranih elemenata za složene spojeve, jer će sve manjkavosti i štete nastale lošom izvedbom izolacije snositi izvođač.</t>
  </si>
  <si>
    <t xml:space="preserve"> Ako se naknadno pojavi vlaga zbog loše izvedbe, neće se dozvoliti krpanje izolacije, već se mora ponovo izvesti izolacija cijele površine na trošak izvođača. Izvođač mora u tom slučaju o svom trošku izvesti i popravak pojedinih građevinskih i obrtničkih radova, koji se prilikom ponovne izvedbe oštete ili moraju demontirati.</t>
  </si>
  <si>
    <r>
      <t>TOPLINSKA I ZVUČNA IZOLACIJA</t>
    </r>
    <r>
      <rPr>
        <sz val="10"/>
        <color theme="1"/>
        <rFont val="Arial"/>
        <family val="2"/>
        <charset val="238"/>
      </rPr>
      <t>. Sva predložena riješenja moraju biti u skladu s postojećim propisima i standardima. Sav materijal mora odgovarati standardima koji se odnose na ugrađene proizvode, te mora imati ateste. Atesti moraju biti na gradilištu, predočeni na eventualni zahtjev nadzorne službe.</t>
    </r>
  </si>
  <si>
    <t>Prije početka radova i ugradnje Izvođač je obavezan nadzornom inžinjeru dostaviti važeće ateste i dokaze kvalitete za sve građevinske proizvode i radove koje planira ugraditi. Bez ispunjenja ovog uvjeta početak radova neće biti moguć, a sve zbog toga nastale troškove snosi izvođač radova.</t>
  </si>
  <si>
    <t>Opći i posebni uvjeti sastavni dio su ovog troškovnika. Sve navedeno u općim uvjetima što utječe na ukupnu cijenu obavezno ukalkulirati u jediničnu cijenu svake pojedine stavke troškovnika. Naknadni zahtjevi nakon ugovaranja neće se priznavati. Ovi opći uvjeti mjenjaju se ili nadopunjuju opisom pojedine stavke troškovnika.</t>
  </si>
  <si>
    <t>A.06.1</t>
  </si>
  <si>
    <r>
      <t xml:space="preserve">Nabava materijala, dovoz i </t>
    </r>
    <r>
      <rPr>
        <b/>
        <sz val="10"/>
        <color theme="1"/>
        <rFont val="Arial"/>
        <family val="2"/>
        <charset val="238"/>
      </rPr>
      <t>izrada horizontalne hidroizolacije podova prizemlja</t>
    </r>
    <r>
      <rPr>
        <sz val="10"/>
        <color theme="1"/>
        <rFont val="Arial"/>
        <family val="2"/>
        <charset val="238"/>
      </rPr>
      <t xml:space="preserve"> koja se sastoji od jednog hladnog premaza (kao Resitol) i jednog sloja varenom ljepenkom s uloškom od staklene tkanine. Uključena hidroizolacija ispod zidova od opeke i na vanjskim terasama. Hidroizolacija se izvodi sa preklopima od 10 cm koji su uključeni u jediničnu cijenu. Obračun po m2 tlocrtne plohe.</t>
    </r>
  </si>
  <si>
    <t>A.06.2</t>
  </si>
  <si>
    <r>
      <t xml:space="preserve">Nabava materijala, dovoz i </t>
    </r>
    <r>
      <rPr>
        <b/>
        <sz val="10"/>
        <color theme="1"/>
        <rFont val="Arial"/>
        <family val="2"/>
        <charset val="238"/>
      </rPr>
      <t>izrada horizontalne i vertikalne hidroizolacije WC-a i kupatila</t>
    </r>
    <r>
      <rPr>
        <sz val="10"/>
        <color theme="1"/>
        <rFont val="Arial"/>
        <family val="2"/>
        <charset val="238"/>
      </rPr>
      <t>. Hidroizolacija se izvodi nakon sušenja cementnog estriha u dva sloja. Na spoju poda i zida postavlja se hidroizolacijska traka, širine 12 cm i nanose se dva sloja hidroizolacijskog premaza kao Rofix AS 345 Optiseal 1K. Uklučeni zidovi tuš kabina visine do 220 cm.</t>
    </r>
  </si>
  <si>
    <t>A.06.3</t>
  </si>
  <si>
    <t>A.06.4</t>
  </si>
  <si>
    <r>
      <t>Nabava materijala, dovoz i</t>
    </r>
    <r>
      <rPr>
        <b/>
        <sz val="10"/>
        <color theme="1"/>
        <rFont val="Arial"/>
        <family val="2"/>
        <charset val="238"/>
      </rPr>
      <t xml:space="preserve"> postavljanje termoizolacijskog sloja na podove prizemlja</t>
    </r>
    <r>
      <rPr>
        <sz val="10"/>
        <color theme="1"/>
        <rFont val="Arial"/>
        <family val="2"/>
        <charset val="238"/>
      </rPr>
      <t>. Termo izolacija se sastoji od jednog sloja ekspandiranog polistirena (EPS) debljine 3 cm, ekstrudirane polistirenske pjene (XPS) debljine 3 cm i polietilenske folije debljine 0,02 cm. Na spojevima poda i zida postaviti trake od stiropora visine 10 cm.</t>
    </r>
  </si>
  <si>
    <r>
      <t xml:space="preserve">Nabava materijala, dovoz i </t>
    </r>
    <r>
      <rPr>
        <b/>
        <sz val="10"/>
        <color theme="1"/>
        <rFont val="Arial"/>
        <family val="2"/>
        <charset val="238"/>
      </rPr>
      <t>postavljanje termoizolacijskog sloja na ab ploču ispod krovnog pokrova</t>
    </r>
    <r>
      <rPr>
        <sz val="10"/>
        <color theme="1"/>
        <rFont val="Arial"/>
        <family val="2"/>
        <charset val="238"/>
      </rPr>
      <t>. Termo izolacija se sastoji od sloja parne brane na koju se postavlja sloj mineralne vune debljine12 cm. Sve izvesti prema uputama proizvođača.</t>
    </r>
  </si>
  <si>
    <t>A. 07. FASADERSKI RADOVI</t>
  </si>
  <si>
    <t>A. 07. FASADERSKI RADOVI:     Kuna</t>
  </si>
  <si>
    <t>A.07.1</t>
  </si>
  <si>
    <t>A.07.2</t>
  </si>
  <si>
    <t>Toplinski kontaktni sustav pročelja (svi elementi) mora biti klasificirani sustav koji zadovoljava zahtjev o uvjetima požara vezan uz reakciju na požar i doprinos razvoju dima minimalno -C-d1. Prije početka izvedbe fasaderskih radova treba projektantu i nadzornom inženjeru dostaviti dokumentaciju koja dokazuje gore navedene uvjete. Nije dozvoljena ugradnja sustava koji ne zadovoljava gore navedene uvjete.</t>
  </si>
  <si>
    <t>Prije početka izvedbe radova i davanja ponude, izvođač je obvezan prekontrolirati vertikalnost konstrukcije i dimenzije elemenata iste koji se oblažu toplinskim slojem.</t>
  </si>
  <si>
    <t>Sve komponente sustava moraju biti međusobno usklađene, njihova svojstva utvrđena ispitivanjima, s sustav kao cjelina mora posjedovati certifikat suglasnosti: HRN EN 13499:2004 u skladu s HRN EN 13172:2002.</t>
  </si>
  <si>
    <t>Projektna vrijednost toplinskog otpora ugrađenog u sustav treba biti R≥2,5 m2 K/W. Vlačna čvrstoća prionjivosti između ljepila i podloge te ljepila i temeljnog armiranog sloja na EPS ploču ne smije biti manja od po 80kPa.</t>
  </si>
  <si>
    <t>U podnožju zida (sokl) visine od 30 do 60 cm od razine tla umjesto EPS ploča ugraditi će se XPS ploča debljine 8 cm s hrapavom površinom radi bolje prionjivosti ljepila.</t>
  </si>
  <si>
    <r>
      <t xml:space="preserve">Nabava materijala, dovoz i </t>
    </r>
    <r>
      <rPr>
        <b/>
        <sz val="10"/>
        <color theme="1"/>
        <rFont val="Arial"/>
        <family val="2"/>
        <charset val="238"/>
      </rPr>
      <t>nanošenje dva sloja fasadnog</t>
    </r>
    <r>
      <rPr>
        <sz val="10"/>
        <color theme="1"/>
        <rFont val="Arial"/>
        <family val="2"/>
        <charset val="238"/>
      </rPr>
      <t xml:space="preserve"> ljepila kao Rofix 622 </t>
    </r>
    <r>
      <rPr>
        <b/>
        <sz val="10"/>
        <color theme="1"/>
        <rFont val="Arial"/>
        <family val="2"/>
        <charset val="238"/>
      </rPr>
      <t>na betonske površine</t>
    </r>
    <r>
      <rPr>
        <sz val="10"/>
        <color theme="1"/>
        <rFont val="Arial"/>
        <family val="2"/>
        <charset val="238"/>
      </rPr>
      <t xml:space="preserve"> na koje se ne ljepi toplinski sloj.  U cijenu uključeno i prethodno premazivanje zidova i podgleda balkona kontakt podlogom. Uključen završni sloj od </t>
    </r>
    <r>
      <rPr>
        <b/>
        <sz val="10"/>
        <color theme="1"/>
        <rFont val="Arial"/>
        <family val="2"/>
        <charset val="238"/>
      </rPr>
      <t>silikatne žbuke</t>
    </r>
    <r>
      <rPr>
        <sz val="10"/>
        <color theme="1"/>
        <rFont val="Arial"/>
        <family val="2"/>
        <charset val="238"/>
      </rPr>
      <t xml:space="preserve"> kao i fasadna aluminijska skela.</t>
    </r>
  </si>
  <si>
    <r>
      <t>Nabava materijala, dovoz i</t>
    </r>
    <r>
      <rPr>
        <b/>
        <sz val="10"/>
        <color theme="1"/>
        <rFont val="Arial"/>
        <family val="2"/>
        <charset val="238"/>
      </rPr>
      <t xml:space="preserve"> izrada toplinske fasade od ekspandiranog polistirena debljine 8 cm</t>
    </r>
    <r>
      <rPr>
        <sz val="10"/>
        <color theme="1"/>
        <rFont val="Arial"/>
        <family val="2"/>
        <charset val="238"/>
      </rPr>
      <t xml:space="preserve">. Na očišćene vanjske zidove zalijepiti toplinsku izolaciju debljine 8 cm pomoću odgovarajućeg ljepila kao Rofix 622. Na toplinsku izolaciju nanijeti dva sloja ljepila za izravnavanje stim da se u prvi sloj postavi staklena armaturna mrežica kao Rofix P50. Drugi sloj fino izravnati metalnom gladilicom jer se na njega nanosi sloj završne silikatne žbuke. U cijenu uključen kompletan materijal: toplinski sloj, sokl pocinčani komad, kutni komad za špalete, plastični vijci za pričvršćivanje toplinskog sloja, mrežica, ostali sitni potrošni materijal i pribor i </t>
    </r>
    <r>
      <rPr>
        <b/>
        <sz val="10"/>
        <color theme="1"/>
        <rFont val="Arial"/>
        <family val="2"/>
        <charset val="238"/>
      </rPr>
      <t>silikatni završni sloj</t>
    </r>
    <r>
      <rPr>
        <sz val="10"/>
        <color theme="1"/>
        <rFont val="Arial"/>
        <family val="2"/>
        <charset val="238"/>
      </rPr>
      <t xml:space="preserve"> po izboru investitora kao i fasadna aluminijska skela. Sve izvesti prema uputama proizvođača. Obračun po m2 završno obrađene fasade do potpune funkcionalnosti.</t>
    </r>
  </si>
  <si>
    <t>A. 08. KROVOPOKRIVAČKI RADOVI</t>
  </si>
  <si>
    <t>A.08.1</t>
  </si>
  <si>
    <t>A.08.2</t>
  </si>
  <si>
    <r>
      <t xml:space="preserve">Nabava materijala, dovoz i </t>
    </r>
    <r>
      <rPr>
        <b/>
        <sz val="10"/>
        <color theme="1"/>
        <rFont val="Arial"/>
        <family val="2"/>
        <charset val="238"/>
      </rPr>
      <t>montaža čelične krovne konstrukcije</t>
    </r>
    <r>
      <rPr>
        <sz val="10"/>
        <color theme="1"/>
        <rFont val="Arial"/>
        <family val="2"/>
        <charset val="238"/>
      </rPr>
      <t xml:space="preserve"> na AB ploči u padu od 7%. Konstrukcija se sastoji od željeznih stupića dim.40/40/3 mm (96 komada visine od 25 do 45 cm) i uzdužnih profila dim.40/60/3 mm (dužine cca 112,40 m). Kompletnu konstrukciju obojiti dva put temeljnom bojom i dva puta uljanom bojom. Uključen kompletan pričvrsni materijal i pribor. Obračun po m2 tlocrtne površine.</t>
    </r>
  </si>
  <si>
    <r>
      <t xml:space="preserve">Nabava materijala, dovoz i </t>
    </r>
    <r>
      <rPr>
        <b/>
        <sz val="10"/>
        <color theme="1"/>
        <rFont val="Arial"/>
        <family val="2"/>
        <charset val="238"/>
      </rPr>
      <t>montaža profiliranih krovnih tabli</t>
    </r>
    <r>
      <rPr>
        <sz val="10"/>
        <color theme="1"/>
        <rFont val="Arial"/>
        <family val="2"/>
        <charset val="238"/>
      </rPr>
      <t xml:space="preserve"> od čeličnog lima u boji koji se pričvršćuje na postojeću čeličnu konstrukciju. Lim po izboru investitora, debljine 0,07 cm. Uključen kompletan pričvrsni i materijal i pribor. U cijenu uključen i lim na sudaru krovnih ploha (površni lim).</t>
    </r>
  </si>
  <si>
    <t>REKAPITULACIJA</t>
  </si>
  <si>
    <t>kuna</t>
  </si>
  <si>
    <t>B. OBRTNIČKI RADOVI</t>
  </si>
  <si>
    <t xml:space="preserve">B. 01. LIMARSKI RADOVI </t>
  </si>
  <si>
    <t>A.08.3</t>
  </si>
  <si>
    <t>A.08.4</t>
  </si>
  <si>
    <r>
      <t xml:space="preserve">Nabava materijala, dovoz i </t>
    </r>
    <r>
      <rPr>
        <b/>
        <sz val="10"/>
        <color theme="1"/>
        <rFont val="Arial"/>
        <family val="2"/>
        <charset val="238"/>
      </rPr>
      <t>montaža čelične krovne konstrukcije</t>
    </r>
    <r>
      <rPr>
        <sz val="10"/>
        <color theme="1"/>
        <rFont val="Arial"/>
        <family val="2"/>
        <charset val="238"/>
      </rPr>
      <t xml:space="preserve"> iznad vanjske terase u padu od 7%. Konstrukcija se sastoji od željeznih profila dim.40/80/3 mm. Kompletnu konstrukciju obojiti dva put temeljnom bojom i dva puta uljanom bojom. Uključen kompletan pričvrsni materijal i pribor. Obračun po m2 tlocrtne površine.</t>
    </r>
  </si>
  <si>
    <r>
      <t xml:space="preserve">Nabava materijala, dovoz i </t>
    </r>
    <r>
      <rPr>
        <b/>
        <sz val="10"/>
        <color theme="1"/>
        <rFont val="Arial"/>
        <family val="2"/>
        <charset val="238"/>
      </rPr>
      <t>montaža profiliranih krovnih tabli</t>
    </r>
    <r>
      <rPr>
        <sz val="10"/>
        <color theme="1"/>
        <rFont val="Arial"/>
        <family val="2"/>
        <charset val="238"/>
      </rPr>
      <t xml:space="preserve"> ( iznad terase) od čeličnog lima u boji koji se pričvršćuje na postojeću čeličnu konstrukciju. Lim po izboru investitora, debljine 0,07 cm. Uključen kompletan pričvrsni i materijal i pribor.</t>
    </r>
  </si>
  <si>
    <t>Sve izvesti prema opisu u troškovniku. Materijali moraju zadovoljavati određene propise i standarde.</t>
  </si>
  <si>
    <t>B.01.1</t>
  </si>
  <si>
    <r>
      <t xml:space="preserve">Prije izvedbe limarskih radova obavezno uzeti točne mjere na građevini. Osim ako to pojedinom stavkom nije drugačije specificirano. Sve radove izvesti </t>
    </r>
    <r>
      <rPr>
        <b/>
        <sz val="10"/>
        <color theme="1"/>
        <rFont val="Arial"/>
        <family val="2"/>
        <charset val="238"/>
      </rPr>
      <t>obojenim pocinčanim limom</t>
    </r>
    <r>
      <rPr>
        <sz val="10"/>
        <color theme="1"/>
        <rFont val="Arial"/>
        <family val="2"/>
        <charset val="238"/>
      </rPr>
      <t xml:space="preserve"> boje po izboru projektanta, debljine 0,55 mm ili debljim.</t>
    </r>
  </si>
  <si>
    <t>B.01.2</t>
  </si>
  <si>
    <t>B.01.3</t>
  </si>
  <si>
    <t>B.01.4</t>
  </si>
  <si>
    <t>B.01.5</t>
  </si>
  <si>
    <t>B.01.6</t>
  </si>
  <si>
    <r>
      <t xml:space="preserve">Nabava materijala, izrada i </t>
    </r>
    <r>
      <rPr>
        <b/>
        <sz val="10"/>
        <color theme="1"/>
        <rFont val="Arial"/>
        <family val="2"/>
        <charset val="238"/>
      </rPr>
      <t>montaža horizontalnog oluka</t>
    </r>
    <r>
      <rPr>
        <sz val="10"/>
        <color theme="1"/>
        <rFont val="Arial"/>
        <family val="2"/>
        <charset val="238"/>
      </rPr>
      <t xml:space="preserve"> u skrivenom krovu sa obojenim pocinčanim limom. Presjek oluka je 15x15 cm sa dijelom lima uz zid. U cijenu uključeni potrebni nosači i ostali potrošni materijal i pribor. Razvijena širina 60 cm.</t>
    </r>
  </si>
  <si>
    <r>
      <t xml:space="preserve">Nabava materijala, izrada i </t>
    </r>
    <r>
      <rPr>
        <b/>
        <sz val="10"/>
        <color theme="1"/>
        <rFont val="Arial"/>
        <family val="2"/>
        <charset val="238"/>
      </rPr>
      <t>montaža opšava zida na krovu</t>
    </r>
    <r>
      <rPr>
        <sz val="10"/>
        <color theme="1"/>
        <rFont val="Arial"/>
        <family val="2"/>
        <charset val="238"/>
      </rPr>
      <t xml:space="preserve"> i vertikalno u horizontalni oluk sa obojenim pocinčanim limom.  U cijenu uključeni potrebni nosači i ostali potrošni materijal i pribor. Razvijena širina 80 cm.</t>
    </r>
  </si>
  <si>
    <r>
      <t xml:space="preserve">Nabava materijala, izrada i </t>
    </r>
    <r>
      <rPr>
        <b/>
        <sz val="10"/>
        <color theme="1"/>
        <rFont val="Arial"/>
        <family val="2"/>
        <charset val="238"/>
      </rPr>
      <t>montaža opšava zabatnih zidova na krovu</t>
    </r>
    <r>
      <rPr>
        <sz val="10"/>
        <color theme="1"/>
        <rFont val="Arial"/>
        <family val="2"/>
        <charset val="238"/>
      </rPr>
      <t xml:space="preserve"> sa obojenim pocinčanim limom.  U cijenu uključeni potrebni nosači i ostali potrošni materijal i pribor. Razvijena širina 45/80 cm.</t>
    </r>
  </si>
  <si>
    <r>
      <t xml:space="preserve">Nabava materijala, izrada i </t>
    </r>
    <r>
      <rPr>
        <b/>
        <sz val="10"/>
        <color theme="1"/>
        <rFont val="Arial"/>
        <family val="2"/>
        <charset val="238"/>
      </rPr>
      <t xml:space="preserve">montaža opšava na krovu iznad terase </t>
    </r>
    <r>
      <rPr>
        <sz val="10"/>
        <color theme="1"/>
        <rFont val="Arial"/>
        <family val="2"/>
        <charset val="238"/>
      </rPr>
      <t>sa zida na krovni lim, sa obojenim pocinčanim limom.  U cijenu uključeni potrebni nosači i ostali potrošni materijal i pribor. Razvijena širina 50 cm.</t>
    </r>
  </si>
  <si>
    <r>
      <t xml:space="preserve">Nabava materijala, izrada i </t>
    </r>
    <r>
      <rPr>
        <b/>
        <sz val="10"/>
        <color theme="1"/>
        <rFont val="Arial"/>
        <family val="2"/>
        <charset val="238"/>
      </rPr>
      <t xml:space="preserve">montaža opšava na krovu iznad terase </t>
    </r>
    <r>
      <rPr>
        <sz val="10"/>
        <color theme="1"/>
        <rFont val="Arial"/>
        <family val="2"/>
        <charset val="238"/>
      </rPr>
      <t>sa greda na krovni lim, sa obojenim pocinčanim limom.  U cijenu uključeni potrebni nosači i ostali potrošni materijal i pribor. Razvijena širina 30 cm.</t>
    </r>
  </si>
  <si>
    <r>
      <t xml:space="preserve">Nabava materijala, izrada i </t>
    </r>
    <r>
      <rPr>
        <b/>
        <sz val="10"/>
        <color theme="1"/>
        <rFont val="Arial"/>
        <family val="2"/>
        <charset val="238"/>
      </rPr>
      <t>montaža vertikalnih oluka</t>
    </r>
    <r>
      <rPr>
        <sz val="10"/>
        <color theme="1"/>
        <rFont val="Arial"/>
        <family val="2"/>
        <charset val="238"/>
      </rPr>
      <t>, sa obojenim pocinčanim limom.  U cijenu uključeni potrebni nosači i ostali potrošni materijal i pribor. Promjera 10 cm.</t>
    </r>
  </si>
  <si>
    <t>A. 08. KROVOPOKRIVAČKI RADOVI:     Kuna</t>
  </si>
  <si>
    <t>B. 01. LIMARSKI RADOVI:    Kuna</t>
  </si>
  <si>
    <t>B. 02. KERAMIČARSKI RADOVI</t>
  </si>
  <si>
    <t>B. 02. KERAMIČARSKI RADOVI:     Kuna</t>
  </si>
  <si>
    <t>U cijenu za svaku pojedinu stavku uključiti sav osnovni materijal, lagane skele, neizbježne otpatke, transport na gradilištu, troškove izrade, te uklanjanje nečistoća nastalih tokom rada, kao i odvoz sveg pratećeg suvišnog materijala i smeća.</t>
  </si>
  <si>
    <t>B.02.1</t>
  </si>
  <si>
    <r>
      <t>Nabava materijala,</t>
    </r>
    <r>
      <rPr>
        <b/>
        <sz val="10"/>
        <color theme="1"/>
        <rFont val="Arial"/>
        <family val="2"/>
        <charset val="238"/>
      </rPr>
      <t xml:space="preserve"> </t>
    </r>
    <r>
      <rPr>
        <sz val="10"/>
        <color theme="1"/>
        <rFont val="Arial"/>
        <family val="2"/>
        <charset val="238"/>
      </rPr>
      <t>dovoz i</t>
    </r>
    <r>
      <rPr>
        <b/>
        <sz val="10"/>
        <color theme="1"/>
        <rFont val="Arial"/>
        <family val="2"/>
        <charset val="238"/>
      </rPr>
      <t xml:space="preserve"> postavljanje podnih keramičkih pločica unutar objekta</t>
    </r>
    <r>
      <rPr>
        <sz val="10"/>
        <color theme="1"/>
        <rFont val="Arial"/>
        <family val="2"/>
        <charset val="238"/>
      </rPr>
      <t xml:space="preserve"> pomoću fleksibilnog građevinskog ljepila. Keramičke pločice su I.klase. U cijenu uključeno i fugiranje keramičkih pločica fuger masom u tonu prema izboru investitora. Pločice vrijednosti do 200 kn/m2. Keramičke pločice se postavljaju pomoću distancera (podloška) i kajli.</t>
    </r>
  </si>
  <si>
    <r>
      <t xml:space="preserve">Nabava materijala, dovoz i postavljanje </t>
    </r>
    <r>
      <rPr>
        <b/>
        <sz val="10"/>
        <color theme="1"/>
        <rFont val="Arial"/>
        <family val="2"/>
        <charset val="238"/>
      </rPr>
      <t>sokla od  keramičkih pločica na sudaru unutarnjih zidova i podova</t>
    </r>
    <r>
      <rPr>
        <sz val="10"/>
        <color theme="1"/>
        <rFont val="Arial"/>
        <family val="2"/>
        <charset val="238"/>
      </rPr>
      <t xml:space="preserve"> pomoću fleksibilnog građevinskog ljepila. Soklo je od keramičkih pločica I.klase visine do 10 cm. U cijenu uključeno i fugiranje keramičkih pločica fuger masom u tonu prema izboru investitora.</t>
    </r>
  </si>
  <si>
    <t>B.02.2</t>
  </si>
  <si>
    <t>B.02.3</t>
  </si>
  <si>
    <r>
      <t>Nabava materijala, dovoz i</t>
    </r>
    <r>
      <rPr>
        <b/>
        <sz val="10"/>
        <color theme="1"/>
        <rFont val="Arial"/>
        <family val="2"/>
        <charset val="238"/>
      </rPr>
      <t xml:space="preserve"> postavljanje zidnih keramičkih pločica</t>
    </r>
    <r>
      <rPr>
        <sz val="10"/>
        <color theme="1"/>
        <rFont val="Arial"/>
        <family val="2"/>
        <charset val="238"/>
      </rPr>
      <t xml:space="preserve"> pomoću fleksibilnog građevinskog ljepila. Keramičke pločice su I.klase. Visina oblaganja u kuhinji 150 cm a u kupatilima do vrha zida. U cijenu uključeno i fugiranje keramičkih pločica fuger masom u tonu prema izboru investitora. Pločice vrijednosti do 200 kn/m2. Keramičke pločice se postavljaju pomoću distancera (podloška) i kajli. U cijenu uključene i potrebne kutne ukrasne lajsne po izboru investitora.</t>
    </r>
  </si>
  <si>
    <t>B.02.4</t>
  </si>
  <si>
    <t>B.02.5</t>
  </si>
  <si>
    <r>
      <t>Nabava materijala, dovoz i</t>
    </r>
    <r>
      <rPr>
        <b/>
        <sz val="10"/>
        <color theme="1"/>
        <rFont val="Arial"/>
        <family val="2"/>
        <charset val="238"/>
      </rPr>
      <t xml:space="preserve"> postavljanje podnih keramičkih pločica na balkone i terase</t>
    </r>
    <r>
      <rPr>
        <sz val="10"/>
        <color theme="1"/>
        <rFont val="Arial"/>
        <family val="2"/>
        <charset val="238"/>
      </rPr>
      <t>, pomoću fleksibilnog građevinskog ljepila. Keramičke pločice su I.klase otporne na atmosferilije. U cijenu uključeno i fugiranje keramičkih pločica fuger masom u tonu prema izboru investitora. Pločice vrijednosti do 200 kn/m2. Keramičke pločice se postavljaju pomoću distancera (podloška) i kajli.</t>
    </r>
  </si>
  <si>
    <r>
      <t xml:space="preserve">Nabava materijala, dovoz i </t>
    </r>
    <r>
      <rPr>
        <b/>
        <sz val="10"/>
        <color theme="1"/>
        <rFont val="Arial"/>
        <family val="2"/>
        <charset val="238"/>
      </rPr>
      <t>postavljanje sokla od  keramičkih pločica na sudaru zidova i podova balokna i terasa</t>
    </r>
    <r>
      <rPr>
        <sz val="10"/>
        <color theme="1"/>
        <rFont val="Arial"/>
        <family val="2"/>
        <charset val="238"/>
      </rPr>
      <t xml:space="preserve"> pomoću fleksibilnog građevinskog ljepila. Soklo je od keramičkih pločica I.klase visine 10 cm. U cijenu uključeno i fugiranje keramičkih pločica fuger masom u tonu prema izboru investitora.</t>
    </r>
  </si>
  <si>
    <t>B. 03. SOBOSLIKARSKO-LIČILAČKI RADOVI</t>
  </si>
  <si>
    <t>B. 03. SOBOSLIKARSKO-LIČILAČKI RADOVI:     Kuna</t>
  </si>
  <si>
    <t>Prije početka radova izvođač mora ustanoviti kvalitetu podloge. Ukoliko odstupanja prelaze normativom definirana za tu grupu radova, izvoditelj ima pravo traženja povećane naknade za saniranje podloge. Trošak investitor zaračunava izvoditelju radova za ab ili zidane konstrukcije.</t>
  </si>
  <si>
    <t>Jedinična cijena sadržava sav materijal, horizontalne i vertikalne transporte, pomoćnu radnu skelu, čišćenje radnog prostora nakon izvedenih radova i odvoz viška materijala.</t>
  </si>
  <si>
    <t>B.03.1</t>
  </si>
  <si>
    <r>
      <t>Nabava materijala,</t>
    </r>
    <r>
      <rPr>
        <b/>
        <sz val="10"/>
        <color theme="1"/>
        <rFont val="Arial"/>
        <family val="2"/>
        <charset val="238"/>
      </rPr>
      <t xml:space="preserve"> dovoz i bojanje unutrašnjih zidova disperzivnim bojama</t>
    </r>
    <r>
      <rPr>
        <sz val="10"/>
        <color theme="1"/>
        <rFont val="Arial"/>
        <family val="2"/>
        <charset val="238"/>
      </rPr>
      <t xml:space="preserve"> u tonu po izboru investitora dva puta, kao Jupol, uz prethodno gletanje dva puta, fino brušenje i premazivanje površina kontakt podlogom prije bojanja. U cijenu uključena pomoćna radna skela za bojanje.</t>
    </r>
  </si>
  <si>
    <t>B.03.2</t>
  </si>
  <si>
    <r>
      <t>Nabava materijala i</t>
    </r>
    <r>
      <rPr>
        <b/>
        <sz val="10"/>
        <color theme="1"/>
        <rFont val="Arial"/>
        <family val="2"/>
        <charset val="238"/>
      </rPr>
      <t xml:space="preserve"> bojanje unutrašnjih stropova disperzivnim bojama </t>
    </r>
    <r>
      <rPr>
        <sz val="10"/>
        <color theme="1"/>
        <rFont val="Arial"/>
        <family val="2"/>
        <charset val="238"/>
      </rPr>
      <t>u tonu po izboru investitora dva puta, kao Jupol, uz prethodno gletanje stropova izravnavajućom masom kao Teranil extra dva puta,  prethodno premazivanje površina kontakt podlogom. U cijenu uključena pomoćna radna skela za bojanje.</t>
    </r>
  </si>
  <si>
    <t>B. 04. KAMENOREZAČKI RADOVI</t>
  </si>
  <si>
    <t>B.04.1</t>
  </si>
  <si>
    <r>
      <t>Nabava materijala, dovoz i</t>
    </r>
    <r>
      <rPr>
        <b/>
        <sz val="10"/>
        <color theme="1"/>
        <rFont val="Arial"/>
        <family val="2"/>
        <charset val="238"/>
      </rPr>
      <t xml:space="preserve"> postavljanje unutrašnjih kamenih klupica</t>
    </r>
    <r>
      <rPr>
        <sz val="10"/>
        <color theme="1"/>
        <rFont val="Arial"/>
        <family val="2"/>
        <charset val="238"/>
      </rPr>
      <t xml:space="preserve"> u cementni mort, debljine 2 cm. Klupice širine od 12 do 15 cm. Kamen Brački ili sl. U cijenu uključeno fugiranje i silikoniziranje spojeva.</t>
    </r>
  </si>
  <si>
    <t>B.04.2</t>
  </si>
  <si>
    <r>
      <t>Nabava materijala, dovoz i</t>
    </r>
    <r>
      <rPr>
        <b/>
        <sz val="10"/>
        <color theme="1"/>
        <rFont val="Arial"/>
        <family val="2"/>
        <charset val="238"/>
      </rPr>
      <t xml:space="preserve"> postavljanje vanjskih kamenih klupica</t>
    </r>
    <r>
      <rPr>
        <sz val="10"/>
        <color theme="1"/>
        <rFont val="Arial"/>
        <family val="2"/>
        <charset val="238"/>
      </rPr>
      <t xml:space="preserve"> u cementni mort, debljine 3 cm. Klupice širine do 20 cm. Kamen Brački ili sl. U cijenu uključeno fugiranje i silikoniziranje spojeva.</t>
    </r>
  </si>
  <si>
    <t>B.04.3</t>
  </si>
  <si>
    <r>
      <t xml:space="preserve">Nabava materijala, dovoz i </t>
    </r>
    <r>
      <rPr>
        <b/>
        <sz val="10"/>
        <color theme="1"/>
        <rFont val="Arial"/>
        <family val="2"/>
        <charset val="238"/>
      </rPr>
      <t>postavljanje unutrašnjih kamenih pragova</t>
    </r>
    <r>
      <rPr>
        <sz val="10"/>
        <color theme="1"/>
        <rFont val="Arial"/>
        <family val="2"/>
        <charset val="238"/>
      </rPr>
      <t xml:space="preserve"> u cementni mort, debljine 3 cm. Pragovi širine do 15 cm. Kamen Brački ili sl. U cijenu uključeno fugiranje i silikoniziranje spojeva.</t>
    </r>
  </si>
  <si>
    <t>B.04.4</t>
  </si>
  <si>
    <t>B. 05. PVC RADOVI</t>
  </si>
  <si>
    <t>B. 05. PVC RADOVI:     Kuna</t>
  </si>
  <si>
    <t>B. 04. KAMENOREZAČKI RADOVI:     Kuna</t>
  </si>
  <si>
    <t>Obveza izvoditelja je izrada radioničkih nacrta i nacrta detalja zatvaranja kliznih vratnih krila. Radioničke nacrte potrebno je dostaviti projektantu na ovjeru.</t>
  </si>
  <si>
    <t>B.05.1</t>
  </si>
  <si>
    <r>
      <t xml:space="preserve">Nabava materijala, izrada i </t>
    </r>
    <r>
      <rPr>
        <b/>
        <sz val="10"/>
        <color theme="1"/>
        <rFont val="Arial"/>
        <family val="2"/>
        <charset val="238"/>
      </rPr>
      <t>montaža ulaznih vrata</t>
    </r>
    <r>
      <rPr>
        <sz val="10"/>
        <color theme="1"/>
        <rFont val="Arial"/>
        <family val="2"/>
        <charset val="238"/>
      </rPr>
      <t xml:space="preserve"> od PVC peterokomornih profila. U cijenu uključene sve gumene brtve, okovi, kvake, štitnici, cilindar brava sa tri ključa, odbojnik i ostali sitni potrošni materijal i pribor za montažu. Zidarska mjera 101x211 cm. Ispuna vrata od ukrasnog profiliranog termo panela. POZ 1.</t>
    </r>
  </si>
  <si>
    <t>B.05.2</t>
  </si>
  <si>
    <r>
      <t xml:space="preserve">Nabava materijala, izrada i </t>
    </r>
    <r>
      <rPr>
        <b/>
        <sz val="10"/>
        <color theme="1"/>
        <rFont val="Arial"/>
        <family val="2"/>
        <charset val="238"/>
      </rPr>
      <t>montaža prozora, balkonskih vrata i balkonskih stijena</t>
    </r>
    <r>
      <rPr>
        <sz val="10"/>
        <color theme="1"/>
        <rFont val="Arial"/>
        <family val="2"/>
        <charset val="238"/>
      </rPr>
      <t xml:space="preserve"> od PVC peterokomornih profila. U cijenu uključene sve gumene brtve, okovi, kvake, štitnici i ostali sitni potrošni materijal i pribor za montažu kao i IZO staklo na otvorima dim. 4+16+4 mm sa LOW premazom. Zidarske mjere. </t>
    </r>
    <r>
      <rPr>
        <b/>
        <sz val="10"/>
        <color theme="1"/>
        <rFont val="Arial"/>
        <family val="2"/>
        <charset val="238"/>
      </rPr>
      <t>Svi prozori i vrata su opremljeni sa pvc kutijom i aluminijskim roletnama.</t>
    </r>
  </si>
  <si>
    <t>Prozori</t>
  </si>
  <si>
    <t>a)</t>
  </si>
  <si>
    <t>b)</t>
  </si>
  <si>
    <t>c)</t>
  </si>
  <si>
    <t>d)</t>
  </si>
  <si>
    <t>e)</t>
  </si>
  <si>
    <t>f)</t>
  </si>
  <si>
    <t>Balkonska vrata</t>
  </si>
  <si>
    <t>g)</t>
  </si>
  <si>
    <t>B.05.3</t>
  </si>
  <si>
    <t>Nabava materijala, izrada, dovoz i montaža ograde na vanjskoj terasi. Ograda je izrađena od horizontalnih profila 40x40x3 mm i vertikalnih prečki 20x20x3 mm. Uključen kompletan pričvrsni materijal i pribor. Sve obojano dva puta temeljnom bojom i dva puta uljanom bojom po izboru investitora.</t>
  </si>
  <si>
    <t xml:space="preserve">B. 06. STOLARSKI RADOVI </t>
  </si>
  <si>
    <t>B. 06. STOLARSKI RADOVI:     Kuna</t>
  </si>
  <si>
    <t>Sheme stolarije su sastavni dio ponudbenog troškovnika. Obveza izvoditelja je izrada radioničkih nacrta koje je potrebno dostaviti projektantu na ovjeru.</t>
  </si>
  <si>
    <t>B.06.1</t>
  </si>
  <si>
    <r>
      <t xml:space="preserve">Nabava materijala, </t>
    </r>
    <r>
      <rPr>
        <b/>
        <sz val="10"/>
        <color theme="1"/>
        <rFont val="Arial"/>
        <family val="2"/>
        <charset val="238"/>
      </rPr>
      <t>izrada i montaža jednokrilnih unutrašnjih vrata</t>
    </r>
    <r>
      <rPr>
        <sz val="10"/>
        <color theme="1"/>
        <rFont val="Arial"/>
        <family val="2"/>
        <charset val="238"/>
      </rPr>
      <t>. Krilo vrata je duplo šperovano hrastovim furnirom i ispunom od presovane iverice kao Iverkol, a štokovi su od masivnog drveta bojeni prema izboru investitora. U cijenu uključeni svi okovi, ručke, štitnici, cilindar brava sa cilindrom i tri ključa i gumene brtve. Izvesti sve prema shemi. Stolarske mjere.</t>
    </r>
  </si>
  <si>
    <t>dvokrilni otklopno/zaokretni prozor na sobi (zapad) dim.111x141 cm, POZ 2.</t>
  </si>
  <si>
    <t>dvokrilni otklopno/zaokretni prozor na sobi (sjevero/zapad) dim.161x141 cm, POZ 3.</t>
  </si>
  <si>
    <t>dvokrilni otklopno/zaokretni prozor na sobi (sjever) dim.141x141 cm, POZ 4.</t>
  </si>
  <si>
    <t>jednokrilni otklopno/zaokretni prozor na kupatilu i ostavi dim.61x81 cm, POZ 5.</t>
  </si>
  <si>
    <t>četverokrilni otklopno/zaokretni prozor na dnevnom boravku dim.261x141 cm, POZ 6.</t>
  </si>
  <si>
    <t>jednokrilni otklopno/zaokretni prozor na kuhinji dim.61x141 cm, POZ 8.</t>
  </si>
  <si>
    <t>dvokrilna balkonska vrata, dim.201x231 cm, POZ 7.</t>
  </si>
  <si>
    <t>soba zapad, desna, dim.81x205 cm, POZ 2;</t>
  </si>
  <si>
    <t>dnevni boravak, desna, dim.91x205 cm, POZ 1;</t>
  </si>
  <si>
    <t>soba sjeveroistok, lijeva, dim.81x205 cm, POZ 5;</t>
  </si>
  <si>
    <t>soba sjevero/zapad s nad, lijeva, dim.81x205 cm, POZ 4;</t>
  </si>
  <si>
    <t>kupatilo, lijeva, dim.71x205 cm, POZ 6;</t>
  </si>
  <si>
    <t>ostava, lijeva,dim.71x205 cm, POZ 7;</t>
  </si>
  <si>
    <t>B. 07. PARKETARSKI RADOVI</t>
  </si>
  <si>
    <t>B. 07. PARKETARSKI RADOVI:     Kuna</t>
  </si>
  <si>
    <t>B.07.1</t>
  </si>
  <si>
    <r>
      <t>Nabava materijala, dovoz i</t>
    </r>
    <r>
      <rPr>
        <b/>
        <sz val="10"/>
        <color theme="1"/>
        <rFont val="Arial"/>
        <family val="2"/>
        <charset val="238"/>
      </rPr>
      <t xml:space="preserve"> postavljanje laminata</t>
    </r>
    <r>
      <rPr>
        <sz val="10"/>
        <color theme="1"/>
        <rFont val="Arial"/>
        <family val="2"/>
        <charset val="238"/>
      </rPr>
      <t xml:space="preserve"> debljine 10 mm. U cijenu uključeno postavljanje spužvaste folije debljine 3 mm i postavljanje ukrasnih kutnih letvica.</t>
    </r>
  </si>
  <si>
    <t>C. INSTALATERSKI RADOVI</t>
  </si>
  <si>
    <t xml:space="preserve">C. 01. HIDROINSTALATERSKI RADOVI </t>
  </si>
  <si>
    <t>C. 02. ELEKTROINSTALATERSKI RADOVI</t>
  </si>
  <si>
    <t>C. 03. STROJARSKI RADOVI</t>
  </si>
  <si>
    <t>SVEUKUPNA  REKAPITULACIJA</t>
  </si>
  <si>
    <t>SVEUKUPNO RADOVI:</t>
  </si>
  <si>
    <t>PDV   (25%)</t>
  </si>
  <si>
    <t>SVEUKUPNO RADOVI S PDV-om:</t>
  </si>
  <si>
    <t xml:space="preserve">C. 01. VODOVOD I KANALIZACIJA </t>
  </si>
  <si>
    <t>C. 03. STROJARSKI TERMOTEHNIČKI RADOVI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</si>
</sst>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2"/>
      <color theme="1"/>
      <name val="Arial"/>
      <family val="2"/>
      <charset val="238"/>
    </font>
    <font>
      <sz val="10"/>
      <color theme="1"/>
      <name val="Arial"/>
      <family val="2"/>
      <charset val="238"/>
    </font>
    <font>
      <b/>
      <i/>
      <u/>
      <sz val="16"/>
      <color theme="1"/>
      <name val="Arial"/>
      <family val="2"/>
      <charset val="238"/>
    </font>
    <font>
      <b/>
      <u/>
      <sz val="11"/>
      <color theme="1"/>
      <name val="Arial"/>
      <family val="2"/>
      <charset val="238"/>
    </font>
    <font>
      <b/>
      <sz val="10"/>
      <color theme="1"/>
      <name val="Arial"/>
      <family val="2"/>
      <charset val="238"/>
    </font>
    <font>
      <b/>
      <u/>
      <sz val="10"/>
      <color theme="1"/>
      <name val="Arial"/>
      <family val="2"/>
      <charset val="238"/>
    </font>
    <font>
      <b/>
      <u/>
      <sz val="14"/>
      <color theme="1"/>
      <name val="Arial"/>
      <family val="2"/>
      <charset val="238"/>
    </font>
    <font>
      <b/>
      <sz val="11"/>
      <color theme="1"/>
      <name val="Arial"/>
      <family val="2"/>
      <charset val="238"/>
    </font>
    <font>
      <b/>
      <u/>
      <sz val="12"/>
      <color theme="1"/>
      <name val="Arial"/>
      <family val="2"/>
      <charset val="238"/>
    </font>
    <font>
      <b/>
      <i/>
      <sz val="16"/>
      <color theme="1"/>
      <name val="Arial"/>
      <family val="2"/>
      <charset val="238"/>
    </font>
    <font>
      <b/>
      <sz val="11"/>
      <name val="Arial"/>
      <family val="2"/>
      <charset val="238"/>
    </font>
  </fonts>
  <fills count="2">
    <fill>
      <patternFill patternType="none"/>
    </fill>
    <fill>
      <patternFill patternType="gray125"/>
    </fill>
  </fills>
  <borders count="5">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68">
    <xf numFmtId="0" fontId="0" fillId="0" borderId="0" xfId="0"/>
    <xf numFmtId="0" fontId="1" fillId="0" borderId="0" xfId="0" applyFont="1"/>
    <xf numFmtId="0" fontId="2" fillId="0" borderId="0" xfId="0" applyFont="1" applyAlignment="1">
      <alignment horizontal="right" vertical="top"/>
    </xf>
    <xf numFmtId="0" fontId="2" fillId="0" borderId="0" xfId="0" applyFont="1" applyAlignment="1">
      <alignment horizontal="justify" vertical="top" wrapText="1"/>
    </xf>
    <xf numFmtId="0" fontId="2" fillId="0" borderId="0" xfId="0" applyFont="1" applyAlignment="1">
      <alignment horizontal="right"/>
    </xf>
    <xf numFmtId="4" fontId="2" fillId="0" borderId="0" xfId="0" applyNumberFormat="1" applyFont="1" applyAlignment="1">
      <alignment horizontal="right"/>
    </xf>
    <xf numFmtId="0" fontId="2" fillId="0" borderId="0" xfId="0" applyFont="1"/>
    <xf numFmtId="0" fontId="4" fillId="0" borderId="0" xfId="0" applyFont="1" applyBorder="1" applyAlignment="1">
      <alignment horizontal="justify" vertical="top" wrapText="1"/>
    </xf>
    <xf numFmtId="0" fontId="2" fillId="0" borderId="0" xfId="0" applyFont="1" applyBorder="1" applyAlignment="1">
      <alignment horizontal="justify" vertical="top" wrapText="1"/>
    </xf>
    <xf numFmtId="0" fontId="5" fillId="0" borderId="1" xfId="0" applyFont="1" applyBorder="1" applyAlignment="1">
      <alignment horizontal="justify" vertical="top" wrapText="1"/>
    </xf>
    <xf numFmtId="0" fontId="2" fillId="0" borderId="1" xfId="0" applyFont="1" applyBorder="1" applyAlignment="1">
      <alignment horizontal="right"/>
    </xf>
    <xf numFmtId="4" fontId="5" fillId="0" borderId="1" xfId="0" applyNumberFormat="1" applyFont="1" applyBorder="1" applyAlignment="1">
      <alignment horizontal="right" vertical="center"/>
    </xf>
    <xf numFmtId="4" fontId="5" fillId="0" borderId="1" xfId="0" applyNumberFormat="1" applyFont="1" applyBorder="1" applyAlignment="1">
      <alignment horizontal="right"/>
    </xf>
    <xf numFmtId="0" fontId="2" fillId="0" borderId="0" xfId="0" applyFont="1" applyBorder="1" applyAlignment="1">
      <alignment horizontal="right"/>
    </xf>
    <xf numFmtId="4" fontId="2" fillId="0" borderId="0" xfId="0" applyNumberFormat="1" applyFont="1" applyBorder="1" applyAlignment="1">
      <alignment horizontal="right"/>
    </xf>
    <xf numFmtId="0" fontId="6" fillId="0" borderId="0" xfId="0" applyFont="1" applyAlignment="1">
      <alignment horizontal="justify" vertical="top" wrapText="1"/>
    </xf>
    <xf numFmtId="0" fontId="5" fillId="0" borderId="1" xfId="0" applyFont="1" applyBorder="1" applyAlignment="1">
      <alignment horizontal="justify" vertical="center" wrapText="1"/>
    </xf>
    <xf numFmtId="0" fontId="4" fillId="0" borderId="0" xfId="0" applyFont="1" applyFill="1" applyBorder="1" applyAlignment="1">
      <alignment horizontal="justify" vertical="top" wrapText="1"/>
    </xf>
    <xf numFmtId="4" fontId="5" fillId="0" borderId="0" xfId="0" applyNumberFormat="1" applyFont="1" applyBorder="1" applyAlignment="1">
      <alignment horizontal="right"/>
    </xf>
    <xf numFmtId="0" fontId="6" fillId="0" borderId="0" xfId="0" applyFont="1" applyBorder="1" applyAlignment="1">
      <alignment horizontal="justify" vertical="top" wrapText="1"/>
    </xf>
    <xf numFmtId="0" fontId="2" fillId="0" borderId="0" xfId="0" applyNumberFormat="1" applyFont="1" applyBorder="1" applyAlignment="1">
      <alignment horizontal="justify" vertical="top" wrapText="1"/>
    </xf>
    <xf numFmtId="0" fontId="5" fillId="0" borderId="0" xfId="0" applyFont="1" applyBorder="1" applyAlignment="1">
      <alignment horizontal="justify" vertical="top" wrapText="1"/>
    </xf>
    <xf numFmtId="0" fontId="2" fillId="0" borderId="0" xfId="0" applyFont="1" applyFill="1" applyAlignment="1">
      <alignment horizontal="justify" vertical="top" wrapText="1"/>
    </xf>
    <xf numFmtId="0" fontId="2" fillId="0" borderId="3" xfId="0" applyFont="1" applyBorder="1" applyAlignment="1">
      <alignment horizontal="right"/>
    </xf>
    <xf numFmtId="0" fontId="4" fillId="0" borderId="0" xfId="0" applyFont="1" applyAlignment="1">
      <alignment horizontal="justify" vertical="top" wrapText="1"/>
    </xf>
    <xf numFmtId="0" fontId="2" fillId="0" borderId="2" xfId="0" applyFont="1" applyBorder="1" applyAlignment="1">
      <alignment horizontal="right"/>
    </xf>
    <xf numFmtId="0" fontId="2" fillId="0" borderId="0" xfId="0" applyNumberFormat="1" applyFont="1" applyAlignment="1">
      <alignment horizontal="justify" vertical="top" wrapText="1"/>
    </xf>
    <xf numFmtId="0" fontId="5" fillId="0" borderId="0" xfId="0" applyFont="1" applyAlignment="1">
      <alignment horizontal="right" vertical="top"/>
    </xf>
    <xf numFmtId="0" fontId="5" fillId="0" borderId="0" xfId="0" applyFont="1"/>
    <xf numFmtId="4" fontId="5" fillId="0" borderId="1" xfId="0" applyNumberFormat="1" applyFont="1" applyBorder="1" applyAlignment="1">
      <alignment horizontal="right" vertical="center" wrapText="1"/>
    </xf>
    <xf numFmtId="4" fontId="5" fillId="0" borderId="1" xfId="0" applyNumberFormat="1" applyFont="1" applyBorder="1" applyAlignment="1">
      <alignment horizontal="right" wrapText="1"/>
    </xf>
    <xf numFmtId="0" fontId="2" fillId="0" borderId="0" xfId="0" applyFont="1" applyBorder="1" applyAlignment="1">
      <alignment horizontal="right" vertical="top" wrapText="1"/>
    </xf>
    <xf numFmtId="4" fontId="5" fillId="0" borderId="0" xfId="0" applyNumberFormat="1" applyFont="1" applyBorder="1" applyAlignment="1">
      <alignment horizontal="right" vertical="center" wrapText="1"/>
    </xf>
    <xf numFmtId="4" fontId="5" fillId="0" borderId="0" xfId="0" applyNumberFormat="1" applyFont="1" applyBorder="1" applyAlignment="1">
      <alignment horizontal="right" wrapText="1"/>
    </xf>
    <xf numFmtId="0" fontId="2" fillId="0" borderId="0" xfId="0" applyFont="1" applyAlignment="1">
      <alignment vertical="top" wrapText="1"/>
    </xf>
    <xf numFmtId="0" fontId="4" fillId="0" borderId="0" xfId="0" applyFont="1" applyAlignment="1">
      <alignment horizontal="left" vertical="top" wrapText="1"/>
    </xf>
    <xf numFmtId="0" fontId="6" fillId="0" borderId="0" xfId="0" applyFont="1" applyAlignment="1">
      <alignment horizontal="fill" vertical="top" wrapText="1"/>
    </xf>
    <xf numFmtId="0" fontId="5" fillId="0" borderId="1" xfId="0" applyFont="1" applyBorder="1" applyAlignment="1">
      <alignment horizontal="left" vertical="center" wrapText="1"/>
    </xf>
    <xf numFmtId="0" fontId="2" fillId="0" borderId="2" xfId="0" applyFont="1" applyBorder="1" applyAlignment="1">
      <alignment horizontal="justify" vertical="top" wrapText="1"/>
    </xf>
    <xf numFmtId="0" fontId="5" fillId="0" borderId="0" xfId="0" applyFont="1" applyAlignment="1">
      <alignment horizontal="justify" vertical="top" wrapText="1"/>
    </xf>
    <xf numFmtId="4" fontId="5" fillId="0" borderId="0" xfId="0" applyNumberFormat="1" applyFont="1" applyAlignment="1">
      <alignment horizontal="right"/>
    </xf>
    <xf numFmtId="0" fontId="8" fillId="0" borderId="0" xfId="0" applyFont="1" applyAlignment="1">
      <alignment horizontal="justify" vertical="top" wrapText="1"/>
    </xf>
    <xf numFmtId="4" fontId="8" fillId="0" borderId="0" xfId="0" applyNumberFormat="1" applyFont="1" applyAlignment="1">
      <alignment horizontal="right"/>
    </xf>
    <xf numFmtId="4" fontId="8" fillId="0" borderId="1" xfId="0" applyNumberFormat="1" applyFont="1" applyBorder="1" applyAlignment="1">
      <alignment horizontal="right"/>
    </xf>
    <xf numFmtId="0" fontId="2" fillId="0" borderId="0" xfId="0" applyFont="1" applyAlignment="1">
      <alignment horizontal="left" vertical="top" wrapText="1"/>
    </xf>
    <xf numFmtId="0" fontId="2" fillId="0" borderId="0" xfId="0" applyFont="1" applyAlignment="1">
      <alignment horizontal="center" vertical="center" wrapText="1"/>
    </xf>
    <xf numFmtId="0" fontId="5" fillId="0" borderId="0" xfId="0" applyFont="1" applyAlignment="1">
      <alignment horizontal="left" vertical="top" wrapText="1"/>
    </xf>
    <xf numFmtId="0" fontId="7" fillId="0" borderId="0" xfId="0" applyFont="1" applyBorder="1" applyAlignment="1">
      <alignment horizontal="left" vertical="top" wrapText="1"/>
    </xf>
    <xf numFmtId="0" fontId="3" fillId="0" borderId="0" xfId="0" applyFont="1" applyAlignment="1">
      <alignment horizontal="center" vertical="top" wrapText="1"/>
    </xf>
    <xf numFmtId="0" fontId="5" fillId="0" borderId="0" xfId="0" applyFont="1" applyAlignment="1">
      <alignment horizontal="right"/>
    </xf>
    <xf numFmtId="0" fontId="8" fillId="0" borderId="0" xfId="0" applyFont="1" applyBorder="1" applyAlignment="1">
      <alignment horizontal="justify" vertical="top" wrapText="1"/>
    </xf>
    <xf numFmtId="0" fontId="8" fillId="0" borderId="0" xfId="0" applyFont="1" applyFill="1" applyBorder="1" applyAlignment="1">
      <alignment horizontal="justify" vertical="top" wrapText="1"/>
    </xf>
    <xf numFmtId="0" fontId="9" fillId="0" borderId="0" xfId="0" applyFont="1" applyBorder="1" applyAlignment="1">
      <alignment horizontal="left" vertical="top" wrapText="1"/>
    </xf>
    <xf numFmtId="0" fontId="1" fillId="0" borderId="0" xfId="0" applyFont="1" applyBorder="1" applyAlignment="1">
      <alignment horizontal="left" vertical="top" wrapText="1"/>
    </xf>
    <xf numFmtId="0" fontId="1" fillId="0" borderId="1" xfId="0" applyFont="1" applyBorder="1" applyAlignment="1">
      <alignment horizontal="left" vertical="top" wrapText="1"/>
    </xf>
    <xf numFmtId="4" fontId="2" fillId="0" borderId="1" xfId="0" applyNumberFormat="1" applyFont="1" applyBorder="1" applyAlignment="1">
      <alignment horizontal="right"/>
    </xf>
    <xf numFmtId="0" fontId="8" fillId="0" borderId="0" xfId="0" applyFont="1" applyAlignment="1">
      <alignment horizontal="left" vertical="top" wrapText="1"/>
    </xf>
    <xf numFmtId="0" fontId="10" fillId="0" borderId="4" xfId="0" applyFont="1" applyBorder="1" applyAlignment="1">
      <alignment horizontal="center" vertical="top" wrapText="1"/>
    </xf>
    <xf numFmtId="0" fontId="8" fillId="0" borderId="0" xfId="0" applyFont="1" applyBorder="1" applyAlignment="1">
      <alignment horizontal="right"/>
    </xf>
    <xf numFmtId="0" fontId="8" fillId="0" borderId="1" xfId="0" applyFont="1" applyBorder="1" applyAlignment="1">
      <alignment horizontal="right"/>
    </xf>
    <xf numFmtId="0" fontId="1" fillId="0" borderId="1" xfId="0" applyFont="1" applyBorder="1" applyAlignment="1">
      <alignment horizontal="justify" vertical="top" wrapText="1"/>
    </xf>
    <xf numFmtId="0" fontId="1" fillId="0" borderId="0" xfId="0" applyFont="1" applyAlignment="1">
      <alignment horizontal="right" vertical="top"/>
    </xf>
    <xf numFmtId="4" fontId="1" fillId="0" borderId="1" xfId="0" applyNumberFormat="1" applyFont="1" applyBorder="1" applyAlignment="1">
      <alignment horizontal="right"/>
    </xf>
    <xf numFmtId="4" fontId="8" fillId="0" borderId="0" xfId="0" applyNumberFormat="1" applyFont="1" applyBorder="1" applyAlignment="1">
      <alignment horizontal="right"/>
    </xf>
    <xf numFmtId="2" fontId="2" fillId="0" borderId="0" xfId="0" applyNumberFormat="1" applyFont="1"/>
    <xf numFmtId="4" fontId="11" fillId="0" borderId="0" xfId="0" applyNumberFormat="1" applyFont="1" applyBorder="1" applyAlignment="1">
      <alignment horizontal="right"/>
    </xf>
    <xf numFmtId="4" fontId="11" fillId="0" borderId="1" xfId="0" applyNumberFormat="1" applyFont="1" applyBorder="1" applyAlignment="1">
      <alignment horizontal="right"/>
    </xf>
    <xf numFmtId="0" fontId="2" fillId="0" borderId="1" xfId="0" applyFont="1" applyBorder="1"/>
  </cellXfs>
  <cellStyles count="1">
    <cellStyle name="Normalno"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sustava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8"/>
  <sheetViews>
    <sheetView workbookViewId="0">
      <selection activeCell="D6" sqref="D6"/>
    </sheetView>
  </sheetViews>
  <sheetFormatPr defaultRowHeight="12.75" x14ac:dyDescent="0.2"/>
  <cols>
    <col min="1" max="1" width="8.5703125" style="2" customWidth="1"/>
    <col min="2" max="2" width="50.5703125" style="3" customWidth="1"/>
    <col min="3" max="3" width="7.7109375" style="4" customWidth="1"/>
    <col min="4" max="4" width="9.5703125" style="5" customWidth="1"/>
    <col min="5" max="5" width="9.28515625" style="5" customWidth="1"/>
    <col min="6" max="6" width="12.42578125" style="5" customWidth="1"/>
    <col min="7" max="16384" width="9.140625" style="6"/>
  </cols>
  <sheetData>
    <row r="1" spans="1:6" ht="9" customHeight="1" x14ac:dyDescent="0.2"/>
    <row r="2" spans="1:6" ht="21" customHeight="1" x14ac:dyDescent="0.2">
      <c r="B2" s="47" t="s">
        <v>8</v>
      </c>
    </row>
    <row r="3" spans="1:6" ht="6" customHeight="1" x14ac:dyDescent="0.2"/>
    <row r="4" spans="1:6" ht="68.25" customHeight="1" x14ac:dyDescent="0.2">
      <c r="B4" s="46" t="s">
        <v>22</v>
      </c>
      <c r="C4" s="44"/>
      <c r="D4" s="6"/>
      <c r="E4" s="44"/>
      <c r="F4" s="6"/>
    </row>
    <row r="5" spans="1:6" ht="55.5" customHeight="1" x14ac:dyDescent="0.2">
      <c r="B5" s="44" t="s">
        <v>24</v>
      </c>
      <c r="C5" s="44"/>
      <c r="D5" s="44"/>
      <c r="E5" s="44"/>
      <c r="F5" s="44"/>
    </row>
    <row r="6" spans="1:6" ht="79.5" customHeight="1" x14ac:dyDescent="0.2">
      <c r="B6" s="44" t="s">
        <v>25</v>
      </c>
      <c r="C6" s="44"/>
      <c r="D6" s="44"/>
      <c r="E6" s="44"/>
      <c r="F6" s="44"/>
    </row>
    <row r="7" spans="1:6" ht="6" customHeight="1" x14ac:dyDescent="0.2">
      <c r="B7" s="44"/>
      <c r="C7" s="6"/>
      <c r="D7" s="44"/>
      <c r="E7" s="44"/>
      <c r="F7" s="44"/>
    </row>
    <row r="8" spans="1:6" ht="18.75" customHeight="1" x14ac:dyDescent="0.2">
      <c r="B8" s="7" t="s">
        <v>9</v>
      </c>
      <c r="C8" s="6"/>
      <c r="D8" s="45" t="s">
        <v>28</v>
      </c>
      <c r="E8" s="45" t="s">
        <v>29</v>
      </c>
      <c r="F8" s="45" t="s">
        <v>30</v>
      </c>
    </row>
    <row r="9" spans="1:6" ht="6" customHeight="1" x14ac:dyDescent="0.2">
      <c r="B9" s="44"/>
      <c r="C9" s="6"/>
      <c r="D9" s="44"/>
      <c r="E9" s="44"/>
      <c r="F9" s="44"/>
    </row>
    <row r="10" spans="1:6" ht="68.25" customHeight="1" x14ac:dyDescent="0.2">
      <c r="A10" s="2" t="s">
        <v>10</v>
      </c>
      <c r="B10" s="3" t="s">
        <v>5</v>
      </c>
      <c r="C10" s="4" t="s">
        <v>0</v>
      </c>
      <c r="D10" s="5">
        <v>1</v>
      </c>
    </row>
    <row r="11" spans="1:6" ht="19.5" customHeight="1" x14ac:dyDescent="0.2">
      <c r="A11" s="2" t="s">
        <v>26</v>
      </c>
      <c r="B11" s="3" t="s">
        <v>6</v>
      </c>
      <c r="C11" s="4" t="s">
        <v>0</v>
      </c>
      <c r="D11" s="5">
        <v>1</v>
      </c>
    </row>
    <row r="12" spans="1:6" ht="55.5" customHeight="1" x14ac:dyDescent="0.2">
      <c r="A12" s="2" t="s">
        <v>27</v>
      </c>
      <c r="B12" s="3" t="s">
        <v>31</v>
      </c>
      <c r="C12" s="4" t="s">
        <v>1</v>
      </c>
      <c r="D12" s="5">
        <v>60</v>
      </c>
    </row>
    <row r="13" spans="1:6" ht="6" customHeight="1" x14ac:dyDescent="0.2"/>
    <row r="14" spans="1:6" x14ac:dyDescent="0.2">
      <c r="B14" s="9" t="s">
        <v>83</v>
      </c>
      <c r="C14" s="10"/>
      <c r="D14" s="11"/>
      <c r="E14" s="11"/>
      <c r="F14" s="12"/>
    </row>
    <row r="16" spans="1:6" ht="15" x14ac:dyDescent="0.2">
      <c r="B16" s="7" t="s">
        <v>23</v>
      </c>
    </row>
    <row r="17" spans="1:6" ht="6" customHeight="1" x14ac:dyDescent="0.2">
      <c r="B17" s="8"/>
    </row>
    <row r="18" spans="1:6" ht="69" customHeight="1" x14ac:dyDescent="0.2">
      <c r="A18" s="2" t="s">
        <v>33</v>
      </c>
      <c r="B18" s="8" t="s">
        <v>47</v>
      </c>
      <c r="C18" s="13" t="s">
        <v>3</v>
      </c>
      <c r="D18" s="5">
        <v>60</v>
      </c>
    </row>
    <row r="19" spans="1:6" ht="45" customHeight="1" x14ac:dyDescent="0.2">
      <c r="A19" s="2" t="s">
        <v>34</v>
      </c>
      <c r="B19" s="8" t="s">
        <v>48</v>
      </c>
      <c r="C19" s="13" t="s">
        <v>3</v>
      </c>
      <c r="D19" s="14">
        <v>50</v>
      </c>
      <c r="E19" s="14"/>
    </row>
    <row r="20" spans="1:6" ht="45" customHeight="1" x14ac:dyDescent="0.2">
      <c r="A20" s="2" t="s">
        <v>35</v>
      </c>
      <c r="B20" s="8" t="s">
        <v>49</v>
      </c>
      <c r="C20" s="13" t="s">
        <v>3</v>
      </c>
      <c r="D20" s="14">
        <v>14</v>
      </c>
      <c r="E20" s="14"/>
    </row>
    <row r="21" spans="1:6" ht="29.25" customHeight="1" x14ac:dyDescent="0.2">
      <c r="A21" s="2" t="s">
        <v>36</v>
      </c>
      <c r="B21" s="8" t="s">
        <v>60</v>
      </c>
      <c r="C21" s="13" t="s">
        <v>3</v>
      </c>
      <c r="D21" s="14">
        <v>90</v>
      </c>
      <c r="E21" s="14"/>
    </row>
    <row r="22" spans="1:6" ht="6" customHeight="1" x14ac:dyDescent="0.2">
      <c r="B22" s="8"/>
      <c r="C22" s="13"/>
      <c r="D22" s="14"/>
      <c r="E22" s="14"/>
    </row>
    <row r="23" spans="1:6" x14ac:dyDescent="0.2">
      <c r="B23" s="9" t="s">
        <v>84</v>
      </c>
      <c r="C23" s="10"/>
      <c r="D23" s="11"/>
      <c r="E23" s="11"/>
      <c r="F23" s="12"/>
    </row>
    <row r="25" spans="1:6" ht="15" x14ac:dyDescent="0.2">
      <c r="B25" s="7" t="s">
        <v>32</v>
      </c>
    </row>
    <row r="26" spans="1:6" ht="6" customHeight="1" x14ac:dyDescent="0.2">
      <c r="B26" s="8"/>
    </row>
    <row r="27" spans="1:6" ht="70.5" customHeight="1" x14ac:dyDescent="0.2">
      <c r="B27" s="46" t="s">
        <v>22</v>
      </c>
    </row>
    <row r="28" spans="1:6" ht="28.5" customHeight="1" x14ac:dyDescent="0.2">
      <c r="B28" s="8" t="s">
        <v>38</v>
      </c>
    </row>
    <row r="29" spans="1:6" ht="28.5" customHeight="1" x14ac:dyDescent="0.2">
      <c r="B29" s="8" t="s">
        <v>39</v>
      </c>
    </row>
    <row r="30" spans="1:6" ht="28.5" customHeight="1" x14ac:dyDescent="0.2">
      <c r="B30" s="8" t="s">
        <v>40</v>
      </c>
    </row>
    <row r="31" spans="1:6" ht="28.5" customHeight="1" x14ac:dyDescent="0.2">
      <c r="B31" s="8" t="s">
        <v>41</v>
      </c>
    </row>
    <row r="32" spans="1:6" ht="57" customHeight="1" x14ac:dyDescent="0.2">
      <c r="B32" s="8" t="s">
        <v>42</v>
      </c>
    </row>
    <row r="33" spans="1:4" ht="57" customHeight="1" x14ac:dyDescent="0.2">
      <c r="B33" s="8" t="s">
        <v>43</v>
      </c>
    </row>
    <row r="34" spans="1:4" ht="42" customHeight="1" x14ac:dyDescent="0.2">
      <c r="B34" s="8" t="s">
        <v>44</v>
      </c>
    </row>
    <row r="35" spans="1:4" ht="146.25" customHeight="1" x14ac:dyDescent="0.2">
      <c r="B35" s="8" t="s">
        <v>45</v>
      </c>
    </row>
    <row r="36" spans="1:4" ht="82.5" customHeight="1" x14ac:dyDescent="0.2">
      <c r="A36" s="2" t="s">
        <v>37</v>
      </c>
      <c r="B36" s="3" t="s">
        <v>46</v>
      </c>
      <c r="C36" s="4" t="s">
        <v>3</v>
      </c>
      <c r="D36" s="5">
        <v>4.2</v>
      </c>
    </row>
    <row r="37" spans="1:4" ht="120" customHeight="1" x14ac:dyDescent="0.2">
      <c r="A37" s="2" t="s">
        <v>50</v>
      </c>
      <c r="B37" s="3" t="s">
        <v>53</v>
      </c>
      <c r="C37" s="4" t="s">
        <v>3</v>
      </c>
      <c r="D37" s="5">
        <v>35</v>
      </c>
    </row>
    <row r="38" spans="1:4" ht="106.5" customHeight="1" x14ac:dyDescent="0.2">
      <c r="A38" s="2" t="s">
        <v>51</v>
      </c>
      <c r="B38" s="3" t="s">
        <v>52</v>
      </c>
      <c r="C38" s="4" t="s">
        <v>3</v>
      </c>
      <c r="D38" s="5">
        <v>9</v>
      </c>
    </row>
    <row r="39" spans="1:4" ht="107.25" customHeight="1" x14ac:dyDescent="0.2">
      <c r="A39" s="2" t="s">
        <v>54</v>
      </c>
      <c r="B39" s="3" t="s">
        <v>56</v>
      </c>
      <c r="C39" s="4" t="s">
        <v>3</v>
      </c>
      <c r="D39" s="5">
        <v>1.5</v>
      </c>
    </row>
    <row r="40" spans="1:4" ht="107.25" customHeight="1" x14ac:dyDescent="0.2">
      <c r="A40" s="2" t="s">
        <v>57</v>
      </c>
      <c r="B40" s="3" t="s">
        <v>55</v>
      </c>
      <c r="C40" s="4" t="s">
        <v>3</v>
      </c>
      <c r="D40" s="5">
        <v>13</v>
      </c>
    </row>
    <row r="41" spans="1:4" ht="105.75" customHeight="1" x14ac:dyDescent="0.2">
      <c r="A41" s="2" t="s">
        <v>58</v>
      </c>
      <c r="B41" s="3" t="s">
        <v>61</v>
      </c>
      <c r="C41" s="4" t="s">
        <v>3</v>
      </c>
      <c r="D41" s="5">
        <v>0.15</v>
      </c>
    </row>
    <row r="42" spans="1:4" ht="111.75" customHeight="1" x14ac:dyDescent="0.2">
      <c r="A42" s="2" t="s">
        <v>59</v>
      </c>
      <c r="B42" s="3" t="s">
        <v>62</v>
      </c>
      <c r="C42" s="4" t="s">
        <v>3</v>
      </c>
      <c r="D42" s="5">
        <v>0.3</v>
      </c>
    </row>
    <row r="43" spans="1:4" ht="83.25" customHeight="1" x14ac:dyDescent="0.2">
      <c r="A43" s="2" t="s">
        <v>63</v>
      </c>
      <c r="B43" s="3" t="s">
        <v>64</v>
      </c>
      <c r="C43" s="4" t="s">
        <v>3</v>
      </c>
      <c r="D43" s="5">
        <v>1.2</v>
      </c>
    </row>
    <row r="44" spans="1:4" ht="96" customHeight="1" x14ac:dyDescent="0.2">
      <c r="A44" s="2" t="s">
        <v>65</v>
      </c>
      <c r="B44" s="3" t="s">
        <v>66</v>
      </c>
      <c r="C44" s="4" t="s">
        <v>3</v>
      </c>
      <c r="D44" s="5">
        <v>2</v>
      </c>
    </row>
    <row r="45" spans="1:4" ht="98.25" customHeight="1" x14ac:dyDescent="0.2">
      <c r="A45" s="2" t="s">
        <v>67</v>
      </c>
      <c r="B45" s="3" t="s">
        <v>68</v>
      </c>
      <c r="C45" s="4" t="s">
        <v>3</v>
      </c>
      <c r="D45" s="5">
        <v>2.9</v>
      </c>
    </row>
    <row r="46" spans="1:4" ht="108" customHeight="1" x14ac:dyDescent="0.2">
      <c r="A46" s="2" t="s">
        <v>69</v>
      </c>
      <c r="B46" s="3" t="s">
        <v>70</v>
      </c>
      <c r="C46" s="4" t="s">
        <v>3</v>
      </c>
      <c r="D46" s="5">
        <v>2.4</v>
      </c>
    </row>
    <row r="47" spans="1:4" ht="81" customHeight="1" x14ac:dyDescent="0.2">
      <c r="A47" s="2" t="s">
        <v>71</v>
      </c>
      <c r="B47" s="3" t="s">
        <v>72</v>
      </c>
      <c r="C47" s="4" t="s">
        <v>3</v>
      </c>
      <c r="D47" s="5">
        <v>1</v>
      </c>
    </row>
    <row r="48" spans="1:4" ht="105.75" customHeight="1" x14ac:dyDescent="0.2">
      <c r="A48" s="2" t="s">
        <v>73</v>
      </c>
      <c r="B48" s="3" t="s">
        <v>76</v>
      </c>
      <c r="C48" s="4" t="s">
        <v>3</v>
      </c>
      <c r="D48" s="5">
        <v>18</v>
      </c>
    </row>
    <row r="49" spans="1:6" ht="121.5" customHeight="1" x14ac:dyDescent="0.2">
      <c r="A49" s="2" t="s">
        <v>74</v>
      </c>
      <c r="B49" s="3" t="s">
        <v>75</v>
      </c>
      <c r="C49" s="4" t="s">
        <v>3</v>
      </c>
      <c r="D49" s="5">
        <v>2.2000000000000002</v>
      </c>
    </row>
    <row r="50" spans="1:6" ht="6" customHeight="1" x14ac:dyDescent="0.2"/>
    <row r="51" spans="1:6" ht="15" customHeight="1" x14ac:dyDescent="0.2">
      <c r="B51" s="16" t="s">
        <v>85</v>
      </c>
      <c r="C51" s="10"/>
      <c r="D51" s="11"/>
      <c r="E51" s="11"/>
      <c r="F51" s="12"/>
    </row>
    <row r="52" spans="1:6" x14ac:dyDescent="0.2">
      <c r="C52" s="13"/>
    </row>
    <row r="53" spans="1:6" ht="15" x14ac:dyDescent="0.2">
      <c r="B53" s="7" t="s">
        <v>77</v>
      </c>
    </row>
    <row r="54" spans="1:6" ht="6" customHeight="1" x14ac:dyDescent="0.2">
      <c r="C54" s="13"/>
    </row>
    <row r="55" spans="1:6" ht="67.5" customHeight="1" x14ac:dyDescent="0.2">
      <c r="B55" s="46" t="s">
        <v>22</v>
      </c>
      <c r="C55" s="13"/>
    </row>
    <row r="56" spans="1:6" ht="129" customHeight="1" x14ac:dyDescent="0.2">
      <c r="B56" s="3" t="s">
        <v>78</v>
      </c>
      <c r="C56" s="13"/>
    </row>
    <row r="57" spans="1:6" ht="120" customHeight="1" x14ac:dyDescent="0.2">
      <c r="A57" s="2" t="s">
        <v>79</v>
      </c>
      <c r="B57" s="3" t="s">
        <v>80</v>
      </c>
      <c r="C57" s="13" t="s">
        <v>2</v>
      </c>
      <c r="D57" s="5">
        <v>9000</v>
      </c>
    </row>
    <row r="58" spans="1:6" ht="6" customHeight="1" x14ac:dyDescent="0.2">
      <c r="C58" s="13"/>
    </row>
    <row r="59" spans="1:6" ht="15" customHeight="1" x14ac:dyDescent="0.2">
      <c r="B59" s="16" t="s">
        <v>86</v>
      </c>
      <c r="C59" s="10"/>
      <c r="D59" s="11"/>
      <c r="E59" s="11"/>
      <c r="F59" s="12"/>
    </row>
    <row r="60" spans="1:6" x14ac:dyDescent="0.2">
      <c r="C60" s="13"/>
    </row>
    <row r="61" spans="1:6" ht="15" x14ac:dyDescent="0.2">
      <c r="B61" s="17" t="s">
        <v>81</v>
      </c>
      <c r="D61" s="18"/>
      <c r="E61" s="18"/>
      <c r="F61" s="18"/>
    </row>
    <row r="62" spans="1:6" ht="6" customHeight="1" x14ac:dyDescent="0.2">
      <c r="B62" s="19"/>
      <c r="C62" s="13"/>
      <c r="D62" s="18"/>
      <c r="E62" s="18"/>
      <c r="F62" s="18"/>
    </row>
    <row r="63" spans="1:6" ht="70.5" customHeight="1" x14ac:dyDescent="0.2">
      <c r="B63" s="46" t="s">
        <v>22</v>
      </c>
      <c r="C63" s="13"/>
      <c r="D63" s="18"/>
      <c r="E63" s="18"/>
      <c r="F63" s="18"/>
    </row>
    <row r="64" spans="1:6" ht="42.75" customHeight="1" x14ac:dyDescent="0.2">
      <c r="A64" s="2" t="s">
        <v>82</v>
      </c>
      <c r="B64" s="20" t="s">
        <v>88</v>
      </c>
      <c r="C64" s="13" t="s">
        <v>0</v>
      </c>
      <c r="D64" s="14">
        <v>1</v>
      </c>
      <c r="E64" s="14"/>
      <c r="F64" s="14"/>
    </row>
    <row r="65" spans="1:6" ht="210" customHeight="1" x14ac:dyDescent="0.2">
      <c r="A65" s="2" t="s">
        <v>89</v>
      </c>
      <c r="B65" s="20" t="s">
        <v>92</v>
      </c>
      <c r="C65" s="13" t="s">
        <v>3</v>
      </c>
      <c r="D65" s="14">
        <v>32</v>
      </c>
      <c r="E65" s="14"/>
      <c r="F65" s="14"/>
    </row>
    <row r="66" spans="1:6" ht="209.25" customHeight="1" x14ac:dyDescent="0.2">
      <c r="A66" s="2" t="s">
        <v>90</v>
      </c>
      <c r="B66" s="20" t="s">
        <v>91</v>
      </c>
      <c r="C66" s="13" t="s">
        <v>1</v>
      </c>
      <c r="D66" s="14">
        <v>45</v>
      </c>
      <c r="E66" s="14"/>
      <c r="F66" s="14"/>
    </row>
    <row r="67" spans="1:6" ht="46.5" customHeight="1" x14ac:dyDescent="0.2">
      <c r="A67" s="2" t="s">
        <v>93</v>
      </c>
      <c r="B67" s="20" t="s">
        <v>94</v>
      </c>
      <c r="C67" s="13" t="s">
        <v>0</v>
      </c>
      <c r="D67" s="14">
        <v>6</v>
      </c>
      <c r="E67" s="14"/>
      <c r="F67" s="14"/>
    </row>
    <row r="68" spans="1:6" ht="159" customHeight="1" x14ac:dyDescent="0.2">
      <c r="A68" s="2" t="s">
        <v>95</v>
      </c>
      <c r="B68" s="20" t="s">
        <v>101</v>
      </c>
      <c r="C68" s="13" t="s">
        <v>1</v>
      </c>
      <c r="D68" s="14">
        <v>265</v>
      </c>
      <c r="E68" s="14"/>
      <c r="F68" s="14"/>
    </row>
    <row r="69" spans="1:6" ht="83.25" customHeight="1" x14ac:dyDescent="0.2">
      <c r="A69" s="2" t="s">
        <v>96</v>
      </c>
      <c r="B69" s="20" t="s">
        <v>102</v>
      </c>
      <c r="C69" s="13" t="s">
        <v>1</v>
      </c>
      <c r="D69" s="14">
        <v>91</v>
      </c>
      <c r="E69" s="14"/>
      <c r="F69" s="14"/>
    </row>
    <row r="70" spans="1:6" ht="68.25" customHeight="1" x14ac:dyDescent="0.2">
      <c r="A70" s="2" t="s">
        <v>97</v>
      </c>
      <c r="B70" s="20" t="s">
        <v>105</v>
      </c>
      <c r="C70" s="13" t="s">
        <v>1</v>
      </c>
      <c r="D70" s="14">
        <v>104</v>
      </c>
      <c r="E70" s="14"/>
      <c r="F70" s="14"/>
    </row>
    <row r="71" spans="1:6" ht="122.25" customHeight="1" x14ac:dyDescent="0.2">
      <c r="A71" s="2" t="s">
        <v>98</v>
      </c>
      <c r="B71" s="20" t="s">
        <v>106</v>
      </c>
      <c r="C71" s="4" t="s">
        <v>4</v>
      </c>
      <c r="D71" s="14">
        <v>6.5</v>
      </c>
      <c r="E71" s="14"/>
      <c r="F71" s="14"/>
    </row>
    <row r="72" spans="1:6" ht="30" customHeight="1" x14ac:dyDescent="0.2">
      <c r="A72" s="2" t="s">
        <v>99</v>
      </c>
      <c r="B72" s="20" t="s">
        <v>104</v>
      </c>
      <c r="C72" s="13" t="s">
        <v>0</v>
      </c>
      <c r="D72" s="14">
        <v>15</v>
      </c>
      <c r="E72" s="14"/>
      <c r="F72" s="14"/>
    </row>
    <row r="73" spans="1:6" ht="31.5" customHeight="1" x14ac:dyDescent="0.2">
      <c r="A73" s="2" t="s">
        <v>100</v>
      </c>
      <c r="B73" s="20" t="s">
        <v>103</v>
      </c>
      <c r="C73" s="13" t="s">
        <v>0</v>
      </c>
      <c r="D73" s="14">
        <v>1</v>
      </c>
      <c r="E73" s="14"/>
      <c r="F73" s="14"/>
    </row>
    <row r="74" spans="1:6" ht="6" customHeight="1" x14ac:dyDescent="0.2">
      <c r="B74" s="20"/>
      <c r="C74" s="13"/>
      <c r="D74" s="14"/>
      <c r="E74" s="14"/>
      <c r="F74" s="14"/>
    </row>
    <row r="75" spans="1:6" ht="14.25" customHeight="1" x14ac:dyDescent="0.2">
      <c r="B75" s="9" t="s">
        <v>87</v>
      </c>
      <c r="C75" s="10"/>
      <c r="D75" s="11"/>
      <c r="E75" s="11"/>
      <c r="F75" s="12"/>
    </row>
    <row r="76" spans="1:6" ht="15" customHeight="1" x14ac:dyDescent="0.2">
      <c r="B76" s="21"/>
      <c r="C76" s="13"/>
      <c r="D76" s="18"/>
      <c r="E76" s="18"/>
      <c r="F76" s="18"/>
    </row>
    <row r="77" spans="1:6" ht="15" x14ac:dyDescent="0.2">
      <c r="B77" s="7" t="s">
        <v>107</v>
      </c>
      <c r="C77" s="13"/>
    </row>
    <row r="78" spans="1:6" ht="6" customHeight="1" x14ac:dyDescent="0.2">
      <c r="B78" s="19"/>
    </row>
    <row r="79" spans="1:6" ht="105" customHeight="1" x14ac:dyDescent="0.2">
      <c r="B79" s="8" t="s">
        <v>109</v>
      </c>
    </row>
    <row r="80" spans="1:6" ht="80.25" customHeight="1" x14ac:dyDescent="0.2">
      <c r="B80" s="8" t="s">
        <v>110</v>
      </c>
    </row>
    <row r="81" spans="1:6" ht="94.5" customHeight="1" x14ac:dyDescent="0.2">
      <c r="B81" s="21" t="s">
        <v>111</v>
      </c>
    </row>
    <row r="82" spans="1:6" ht="79.5" customHeight="1" x14ac:dyDescent="0.2">
      <c r="B82" s="21" t="s">
        <v>112</v>
      </c>
    </row>
    <row r="83" spans="1:6" ht="80.25" customHeight="1" x14ac:dyDescent="0.2">
      <c r="B83" s="8" t="s">
        <v>113</v>
      </c>
    </row>
    <row r="84" spans="1:6" ht="94.5" customHeight="1" x14ac:dyDescent="0.2">
      <c r="B84" s="46" t="s">
        <v>114</v>
      </c>
    </row>
    <row r="85" spans="1:6" ht="107.25" customHeight="1" x14ac:dyDescent="0.2">
      <c r="A85" s="2" t="s">
        <v>115</v>
      </c>
      <c r="B85" s="3" t="s">
        <v>116</v>
      </c>
      <c r="C85" s="4" t="s">
        <v>1</v>
      </c>
      <c r="D85" s="5">
        <v>108</v>
      </c>
    </row>
    <row r="86" spans="1:6" ht="93.75" customHeight="1" x14ac:dyDescent="0.2">
      <c r="A86" s="2" t="s">
        <v>117</v>
      </c>
      <c r="B86" s="3" t="s">
        <v>118</v>
      </c>
      <c r="C86" s="4" t="s">
        <v>1</v>
      </c>
      <c r="D86" s="5">
        <v>13</v>
      </c>
    </row>
    <row r="87" spans="1:6" ht="81.75" customHeight="1" x14ac:dyDescent="0.2">
      <c r="A87" s="2" t="s">
        <v>119</v>
      </c>
      <c r="B87" s="22" t="s">
        <v>121</v>
      </c>
      <c r="C87" s="4" t="s">
        <v>1</v>
      </c>
      <c r="D87" s="5">
        <v>91</v>
      </c>
    </row>
    <row r="88" spans="1:6" ht="69" customHeight="1" x14ac:dyDescent="0.2">
      <c r="A88" s="2" t="s">
        <v>120</v>
      </c>
      <c r="B88" s="22" t="s">
        <v>122</v>
      </c>
      <c r="C88" s="4" t="s">
        <v>1</v>
      </c>
      <c r="D88" s="5">
        <v>103</v>
      </c>
    </row>
    <row r="89" spans="1:6" ht="6" customHeight="1" x14ac:dyDescent="0.2">
      <c r="C89" s="23"/>
    </row>
    <row r="90" spans="1:6" x14ac:dyDescent="0.2">
      <c r="B90" s="9" t="s">
        <v>108</v>
      </c>
      <c r="C90" s="10"/>
      <c r="D90" s="11"/>
      <c r="E90" s="11"/>
      <c r="F90" s="12"/>
    </row>
    <row r="91" spans="1:6" x14ac:dyDescent="0.2">
      <c r="C91" s="13"/>
    </row>
    <row r="92" spans="1:6" ht="15" x14ac:dyDescent="0.2">
      <c r="B92" s="24" t="s">
        <v>123</v>
      </c>
    </row>
    <row r="93" spans="1:6" ht="6" customHeight="1" x14ac:dyDescent="0.2">
      <c r="B93" s="15"/>
    </row>
    <row r="94" spans="1:6" ht="107.25" customHeight="1" x14ac:dyDescent="0.2">
      <c r="B94" s="39" t="s">
        <v>127</v>
      </c>
    </row>
    <row r="95" spans="1:6" ht="41.25" customHeight="1" x14ac:dyDescent="0.2">
      <c r="B95" s="3" t="s">
        <v>128</v>
      </c>
    </row>
    <row r="96" spans="1:6" ht="54.75" customHeight="1" x14ac:dyDescent="0.2">
      <c r="B96" s="3" t="s">
        <v>129</v>
      </c>
    </row>
    <row r="97" spans="1:6" ht="57" customHeight="1" x14ac:dyDescent="0.2">
      <c r="B97" s="3" t="s">
        <v>130</v>
      </c>
    </row>
    <row r="98" spans="1:6" ht="43.5" customHeight="1" x14ac:dyDescent="0.2">
      <c r="B98" s="3" t="s">
        <v>131</v>
      </c>
    </row>
    <row r="99" spans="1:6" ht="196.5" customHeight="1" x14ac:dyDescent="0.2">
      <c r="A99" s="2" t="s">
        <v>125</v>
      </c>
      <c r="B99" s="20" t="s">
        <v>133</v>
      </c>
      <c r="C99" s="4" t="s">
        <v>1</v>
      </c>
      <c r="D99" s="14">
        <v>170</v>
      </c>
      <c r="E99" s="14"/>
      <c r="F99" s="14"/>
    </row>
    <row r="100" spans="1:6" ht="78.75" customHeight="1" x14ac:dyDescent="0.2">
      <c r="A100" s="2" t="s">
        <v>126</v>
      </c>
      <c r="B100" s="34" t="s">
        <v>132</v>
      </c>
      <c r="C100" s="4" t="s">
        <v>1</v>
      </c>
      <c r="D100" s="5">
        <v>38</v>
      </c>
      <c r="F100" s="14"/>
    </row>
    <row r="101" spans="1:6" ht="6" customHeight="1" x14ac:dyDescent="0.2">
      <c r="F101" s="14"/>
    </row>
    <row r="102" spans="1:6" s="28" customFormat="1" x14ac:dyDescent="0.2">
      <c r="A102" s="27"/>
      <c r="B102" s="9" t="s">
        <v>124</v>
      </c>
      <c r="C102" s="10"/>
      <c r="D102" s="11"/>
      <c r="E102" s="11"/>
      <c r="F102" s="12"/>
    </row>
    <row r="103" spans="1:6" x14ac:dyDescent="0.2">
      <c r="C103" s="13"/>
    </row>
    <row r="104" spans="1:6" ht="15" x14ac:dyDescent="0.2">
      <c r="B104" s="24" t="s">
        <v>134</v>
      </c>
    </row>
    <row r="105" spans="1:6" ht="6" customHeight="1" x14ac:dyDescent="0.2"/>
    <row r="106" spans="1:6" ht="69.75" customHeight="1" x14ac:dyDescent="0.2">
      <c r="B106" s="46" t="s">
        <v>22</v>
      </c>
    </row>
    <row r="107" spans="1:6" ht="106.5" customHeight="1" x14ac:dyDescent="0.2">
      <c r="A107" s="2" t="s">
        <v>135</v>
      </c>
      <c r="B107" s="3" t="s">
        <v>137</v>
      </c>
      <c r="C107" s="4" t="s">
        <v>1</v>
      </c>
      <c r="D107" s="5">
        <v>103</v>
      </c>
    </row>
    <row r="108" spans="1:6" ht="68.25" customHeight="1" x14ac:dyDescent="0.2">
      <c r="A108" s="2" t="s">
        <v>136</v>
      </c>
      <c r="B108" s="3" t="s">
        <v>138</v>
      </c>
      <c r="C108" s="4" t="s">
        <v>1</v>
      </c>
      <c r="D108" s="5">
        <v>100</v>
      </c>
    </row>
    <row r="109" spans="1:6" ht="84" customHeight="1" x14ac:dyDescent="0.2">
      <c r="A109" s="2" t="s">
        <v>143</v>
      </c>
      <c r="B109" s="3" t="s">
        <v>145</v>
      </c>
      <c r="C109" s="4" t="s">
        <v>1</v>
      </c>
      <c r="D109" s="5">
        <v>11</v>
      </c>
    </row>
    <row r="110" spans="1:6" ht="69" customHeight="1" x14ac:dyDescent="0.2">
      <c r="A110" s="2" t="s">
        <v>144</v>
      </c>
      <c r="B110" s="3" t="s">
        <v>146</v>
      </c>
      <c r="C110" s="4" t="s">
        <v>1</v>
      </c>
      <c r="D110" s="5">
        <v>11</v>
      </c>
    </row>
    <row r="111" spans="1:6" ht="6" customHeight="1" x14ac:dyDescent="0.2"/>
    <row r="112" spans="1:6" x14ac:dyDescent="0.2">
      <c r="B112" s="9" t="s">
        <v>161</v>
      </c>
      <c r="C112" s="10"/>
      <c r="D112" s="11"/>
      <c r="E112" s="11"/>
      <c r="F112" s="12"/>
    </row>
    <row r="113" spans="1:4" x14ac:dyDescent="0.2">
      <c r="C113" s="25"/>
    </row>
    <row r="114" spans="1:4" x14ac:dyDescent="0.2">
      <c r="C114" s="13"/>
    </row>
    <row r="115" spans="1:4" ht="18" x14ac:dyDescent="0.2">
      <c r="B115" s="47" t="s">
        <v>141</v>
      </c>
      <c r="C115" s="13"/>
    </row>
    <row r="116" spans="1:4" x14ac:dyDescent="0.2">
      <c r="C116" s="13"/>
    </row>
    <row r="117" spans="1:4" ht="15" x14ac:dyDescent="0.2">
      <c r="B117" s="24" t="s">
        <v>142</v>
      </c>
      <c r="C117" s="31"/>
    </row>
    <row r="118" spans="1:4" ht="6" customHeight="1" x14ac:dyDescent="0.2">
      <c r="B118" s="15"/>
    </row>
    <row r="119" spans="1:4" ht="91.5" customHeight="1" x14ac:dyDescent="0.2">
      <c r="B119" s="46" t="s">
        <v>114</v>
      </c>
    </row>
    <row r="120" spans="1:4" ht="28.5" customHeight="1" x14ac:dyDescent="0.2">
      <c r="B120" s="3" t="s">
        <v>147</v>
      </c>
    </row>
    <row r="121" spans="1:4" ht="68.25" customHeight="1" x14ac:dyDescent="0.2">
      <c r="B121" s="3" t="s">
        <v>149</v>
      </c>
    </row>
    <row r="122" spans="1:4" ht="69" customHeight="1" x14ac:dyDescent="0.2">
      <c r="A122" s="2" t="s">
        <v>148</v>
      </c>
      <c r="B122" s="3" t="s">
        <v>155</v>
      </c>
      <c r="C122" s="4" t="s">
        <v>4</v>
      </c>
      <c r="D122" s="5">
        <v>28.2</v>
      </c>
    </row>
    <row r="123" spans="1:4" ht="56.25" customHeight="1" x14ac:dyDescent="0.2">
      <c r="A123" s="2" t="s">
        <v>150</v>
      </c>
      <c r="B123" s="3" t="s">
        <v>156</v>
      </c>
      <c r="C123" s="4" t="s">
        <v>4</v>
      </c>
      <c r="D123" s="5">
        <v>28.2</v>
      </c>
    </row>
    <row r="124" spans="1:4" ht="53.25" customHeight="1" x14ac:dyDescent="0.2">
      <c r="A124" s="2" t="s">
        <v>151</v>
      </c>
      <c r="B124" s="3" t="s">
        <v>157</v>
      </c>
      <c r="C124" s="4" t="s">
        <v>4</v>
      </c>
      <c r="D124" s="5">
        <v>15</v>
      </c>
    </row>
    <row r="125" spans="1:4" ht="54.75" customHeight="1" x14ac:dyDescent="0.2">
      <c r="A125" s="2" t="s">
        <v>152</v>
      </c>
      <c r="B125" s="3" t="s">
        <v>158</v>
      </c>
      <c r="C125" s="4" t="s">
        <v>4</v>
      </c>
      <c r="D125" s="5">
        <v>3.3</v>
      </c>
    </row>
    <row r="126" spans="1:4" ht="59.25" customHeight="1" x14ac:dyDescent="0.2">
      <c r="A126" s="2" t="s">
        <v>153</v>
      </c>
      <c r="B126" s="3" t="s">
        <v>159</v>
      </c>
      <c r="C126" s="4" t="s">
        <v>4</v>
      </c>
      <c r="D126" s="5">
        <v>7</v>
      </c>
    </row>
    <row r="127" spans="1:4" ht="44.25" customHeight="1" x14ac:dyDescent="0.2">
      <c r="A127" s="2" t="s">
        <v>154</v>
      </c>
      <c r="B127" s="3" t="s">
        <v>160</v>
      </c>
      <c r="C127" s="4" t="s">
        <v>4</v>
      </c>
      <c r="D127" s="5">
        <v>9</v>
      </c>
    </row>
    <row r="128" spans="1:4" ht="6" customHeight="1" x14ac:dyDescent="0.2"/>
    <row r="129" spans="1:6" s="28" customFormat="1" x14ac:dyDescent="0.2">
      <c r="A129" s="27"/>
      <c r="B129" s="9" t="s">
        <v>162</v>
      </c>
      <c r="C129" s="10"/>
      <c r="D129" s="11"/>
      <c r="E129" s="11"/>
      <c r="F129" s="12"/>
    </row>
    <row r="130" spans="1:6" x14ac:dyDescent="0.2">
      <c r="C130" s="13"/>
    </row>
    <row r="131" spans="1:6" ht="15" x14ac:dyDescent="0.2">
      <c r="B131" s="24" t="s">
        <v>163</v>
      </c>
      <c r="C131" s="13"/>
    </row>
    <row r="132" spans="1:6" ht="6" customHeight="1" x14ac:dyDescent="0.2"/>
    <row r="133" spans="1:6" ht="69" customHeight="1" x14ac:dyDescent="0.2">
      <c r="B133" s="46" t="s">
        <v>22</v>
      </c>
    </row>
    <row r="134" spans="1:6" ht="66" customHeight="1" x14ac:dyDescent="0.2">
      <c r="B134" s="3" t="s">
        <v>165</v>
      </c>
    </row>
    <row r="135" spans="1:6" ht="96" customHeight="1" x14ac:dyDescent="0.2">
      <c r="A135" s="2" t="s">
        <v>166</v>
      </c>
      <c r="B135" s="26" t="s">
        <v>167</v>
      </c>
      <c r="C135" s="4" t="s">
        <v>1</v>
      </c>
      <c r="D135" s="5">
        <v>56</v>
      </c>
    </row>
    <row r="136" spans="1:6" ht="81.75" customHeight="1" x14ac:dyDescent="0.2">
      <c r="A136" s="2" t="s">
        <v>169</v>
      </c>
      <c r="B136" s="26" t="s">
        <v>168</v>
      </c>
      <c r="C136" s="4" t="s">
        <v>4</v>
      </c>
      <c r="D136" s="5">
        <v>41.3</v>
      </c>
    </row>
    <row r="137" spans="1:6" ht="117.75" customHeight="1" x14ac:dyDescent="0.2">
      <c r="A137" s="2" t="s">
        <v>170</v>
      </c>
      <c r="B137" s="26" t="s">
        <v>171</v>
      </c>
      <c r="C137" s="4" t="s">
        <v>1</v>
      </c>
      <c r="D137" s="5">
        <v>35</v>
      </c>
    </row>
    <row r="138" spans="1:6" ht="96.75" customHeight="1" x14ac:dyDescent="0.2">
      <c r="A138" s="2" t="s">
        <v>172</v>
      </c>
      <c r="B138" s="26" t="s">
        <v>174</v>
      </c>
      <c r="C138" s="4" t="s">
        <v>1</v>
      </c>
      <c r="D138" s="5">
        <v>15</v>
      </c>
    </row>
    <row r="139" spans="1:6" ht="82.5" customHeight="1" x14ac:dyDescent="0.2">
      <c r="A139" s="2" t="s">
        <v>173</v>
      </c>
      <c r="B139" s="26" t="s">
        <v>175</v>
      </c>
      <c r="C139" s="4" t="s">
        <v>4</v>
      </c>
      <c r="D139" s="5">
        <v>6.7</v>
      </c>
    </row>
    <row r="140" spans="1:6" ht="6" customHeight="1" x14ac:dyDescent="0.2">
      <c r="B140" s="26"/>
    </row>
    <row r="141" spans="1:6" s="28" customFormat="1" ht="15" customHeight="1" x14ac:dyDescent="0.2">
      <c r="A141" s="27"/>
      <c r="B141" s="9" t="s">
        <v>164</v>
      </c>
      <c r="C141" s="10"/>
      <c r="D141" s="11"/>
      <c r="E141" s="11"/>
      <c r="F141" s="12"/>
    </row>
    <row r="142" spans="1:6" x14ac:dyDescent="0.2">
      <c r="C142" s="13"/>
    </row>
    <row r="143" spans="1:6" ht="15" x14ac:dyDescent="0.2">
      <c r="B143" s="24" t="s">
        <v>176</v>
      </c>
    </row>
    <row r="144" spans="1:6" ht="6" customHeight="1" x14ac:dyDescent="0.2">
      <c r="B144" s="15"/>
    </row>
    <row r="145" spans="1:6" ht="67.5" customHeight="1" x14ac:dyDescent="0.2">
      <c r="B145" s="46" t="s">
        <v>22</v>
      </c>
      <c r="D145" s="14"/>
      <c r="E145" s="14"/>
      <c r="F145" s="14"/>
    </row>
    <row r="146" spans="1:6" ht="66" customHeight="1" x14ac:dyDescent="0.2">
      <c r="B146" s="20" t="s">
        <v>178</v>
      </c>
      <c r="D146" s="14"/>
      <c r="E146" s="14"/>
      <c r="F146" s="14"/>
    </row>
    <row r="147" spans="1:6" ht="42" customHeight="1" x14ac:dyDescent="0.2">
      <c r="B147" s="34" t="s">
        <v>179</v>
      </c>
      <c r="F147" s="14"/>
    </row>
    <row r="148" spans="1:6" ht="70.5" customHeight="1" x14ac:dyDescent="0.2">
      <c r="A148" s="2" t="s">
        <v>180</v>
      </c>
      <c r="B148" s="3" t="s">
        <v>181</v>
      </c>
      <c r="C148" s="4" t="s">
        <v>1</v>
      </c>
      <c r="D148" s="5">
        <v>270</v>
      </c>
      <c r="F148" s="14"/>
    </row>
    <row r="149" spans="1:6" ht="82.5" customHeight="1" x14ac:dyDescent="0.2">
      <c r="A149" s="2" t="s">
        <v>182</v>
      </c>
      <c r="B149" s="3" t="s">
        <v>183</v>
      </c>
      <c r="C149" s="4" t="s">
        <v>1</v>
      </c>
      <c r="D149" s="5">
        <v>91</v>
      </c>
      <c r="F149" s="14"/>
    </row>
    <row r="150" spans="1:6" ht="6" customHeight="1" x14ac:dyDescent="0.2">
      <c r="F150" s="14"/>
    </row>
    <row r="151" spans="1:6" s="28" customFormat="1" x14ac:dyDescent="0.2">
      <c r="A151" s="27"/>
      <c r="B151" s="9" t="s">
        <v>177</v>
      </c>
      <c r="C151" s="10"/>
      <c r="D151" s="11"/>
      <c r="E151" s="11"/>
      <c r="F151" s="12"/>
    </row>
    <row r="152" spans="1:6" x14ac:dyDescent="0.2">
      <c r="C152" s="13"/>
    </row>
    <row r="153" spans="1:6" ht="15" customHeight="1" x14ac:dyDescent="0.2">
      <c r="B153" s="24" t="s">
        <v>184</v>
      </c>
    </row>
    <row r="154" spans="1:6" ht="6" customHeight="1" x14ac:dyDescent="0.2"/>
    <row r="155" spans="1:6" ht="66.75" customHeight="1" x14ac:dyDescent="0.2">
      <c r="B155" s="46" t="s">
        <v>22</v>
      </c>
    </row>
    <row r="156" spans="1:6" ht="42" customHeight="1" x14ac:dyDescent="0.2">
      <c r="B156" s="34" t="s">
        <v>179</v>
      </c>
    </row>
    <row r="157" spans="1:6" ht="54.75" customHeight="1" x14ac:dyDescent="0.2">
      <c r="A157" s="2" t="s">
        <v>185</v>
      </c>
      <c r="B157" s="3" t="s">
        <v>186</v>
      </c>
      <c r="C157" s="4" t="s">
        <v>4</v>
      </c>
      <c r="D157" s="5">
        <v>8.5</v>
      </c>
    </row>
    <row r="158" spans="1:6" ht="59.25" customHeight="1" x14ac:dyDescent="0.2">
      <c r="A158" s="2" t="s">
        <v>187</v>
      </c>
      <c r="B158" s="3" t="s">
        <v>188</v>
      </c>
      <c r="C158" s="4" t="s">
        <v>4</v>
      </c>
      <c r="D158" s="5">
        <v>8.5</v>
      </c>
    </row>
    <row r="159" spans="1:6" ht="56.25" customHeight="1" x14ac:dyDescent="0.2">
      <c r="A159" s="2" t="s">
        <v>189</v>
      </c>
      <c r="B159" s="3" t="s">
        <v>190</v>
      </c>
      <c r="C159" s="4" t="s">
        <v>4</v>
      </c>
      <c r="D159" s="5">
        <v>3.7</v>
      </c>
    </row>
    <row r="160" spans="1:6" ht="57.75" customHeight="1" x14ac:dyDescent="0.2">
      <c r="A160" s="2" t="s">
        <v>191</v>
      </c>
      <c r="B160" s="3" t="s">
        <v>7</v>
      </c>
      <c r="C160" s="4" t="s">
        <v>4</v>
      </c>
      <c r="D160" s="5">
        <v>3</v>
      </c>
    </row>
    <row r="161" spans="1:6" ht="6" customHeight="1" x14ac:dyDescent="0.2"/>
    <row r="162" spans="1:6" x14ac:dyDescent="0.2">
      <c r="B162" s="9" t="s">
        <v>194</v>
      </c>
      <c r="C162" s="10"/>
      <c r="D162" s="29"/>
      <c r="E162" s="29"/>
      <c r="F162" s="30"/>
    </row>
    <row r="163" spans="1:6" x14ac:dyDescent="0.2">
      <c r="B163" s="21"/>
      <c r="C163" s="31"/>
      <c r="D163" s="32"/>
      <c r="E163" s="32"/>
      <c r="F163" s="33"/>
    </row>
    <row r="164" spans="1:6" ht="15" x14ac:dyDescent="0.2">
      <c r="B164" s="24" t="s">
        <v>192</v>
      </c>
      <c r="C164" s="13"/>
    </row>
    <row r="165" spans="1:6" ht="6" customHeight="1" x14ac:dyDescent="0.2">
      <c r="B165" s="15"/>
    </row>
    <row r="166" spans="1:6" ht="66.75" customHeight="1" x14ac:dyDescent="0.2">
      <c r="B166" s="46" t="s">
        <v>22</v>
      </c>
    </row>
    <row r="167" spans="1:6" ht="43.5" customHeight="1" x14ac:dyDescent="0.2">
      <c r="B167" s="3" t="s">
        <v>195</v>
      </c>
    </row>
    <row r="168" spans="1:6" ht="82.5" customHeight="1" x14ac:dyDescent="0.2">
      <c r="A168" s="2" t="s">
        <v>196</v>
      </c>
      <c r="B168" s="3" t="s">
        <v>197</v>
      </c>
      <c r="C168" s="4" t="s">
        <v>0</v>
      </c>
      <c r="D168" s="5">
        <v>1</v>
      </c>
    </row>
    <row r="169" spans="1:6" ht="91.5" customHeight="1" x14ac:dyDescent="0.2">
      <c r="A169" s="2" t="s">
        <v>198</v>
      </c>
      <c r="B169" s="3" t="s">
        <v>199</v>
      </c>
    </row>
    <row r="170" spans="1:6" ht="12.75" customHeight="1" x14ac:dyDescent="0.2">
      <c r="B170" s="15" t="s">
        <v>200</v>
      </c>
    </row>
    <row r="171" spans="1:6" ht="28.5" customHeight="1" x14ac:dyDescent="0.2">
      <c r="A171" s="2" t="s">
        <v>201</v>
      </c>
      <c r="B171" s="3" t="s">
        <v>216</v>
      </c>
      <c r="C171" s="4" t="s">
        <v>0</v>
      </c>
      <c r="D171" s="5">
        <v>1</v>
      </c>
    </row>
    <row r="172" spans="1:6" ht="28.5" customHeight="1" x14ac:dyDescent="0.2">
      <c r="A172" s="2" t="s">
        <v>202</v>
      </c>
      <c r="B172" s="3" t="s">
        <v>217</v>
      </c>
      <c r="C172" s="4" t="s">
        <v>0</v>
      </c>
      <c r="D172" s="5">
        <v>1</v>
      </c>
    </row>
    <row r="173" spans="1:6" ht="30.75" customHeight="1" x14ac:dyDescent="0.2">
      <c r="A173" s="2" t="s">
        <v>203</v>
      </c>
      <c r="B173" s="3" t="s">
        <v>218</v>
      </c>
      <c r="C173" s="4" t="s">
        <v>0</v>
      </c>
      <c r="D173" s="5">
        <v>1</v>
      </c>
    </row>
    <row r="174" spans="1:6" ht="30.75" customHeight="1" x14ac:dyDescent="0.2">
      <c r="A174" s="2" t="s">
        <v>204</v>
      </c>
      <c r="B174" s="3" t="s">
        <v>219</v>
      </c>
      <c r="C174" s="4" t="s">
        <v>0</v>
      </c>
      <c r="D174" s="5">
        <v>2</v>
      </c>
    </row>
    <row r="175" spans="1:6" ht="30.75" customHeight="1" x14ac:dyDescent="0.2">
      <c r="A175" s="2" t="s">
        <v>205</v>
      </c>
      <c r="B175" s="3" t="s">
        <v>220</v>
      </c>
      <c r="C175" s="4" t="s">
        <v>0</v>
      </c>
      <c r="D175" s="5">
        <v>1</v>
      </c>
    </row>
    <row r="176" spans="1:6" ht="32.25" customHeight="1" x14ac:dyDescent="0.2">
      <c r="A176" s="2" t="s">
        <v>206</v>
      </c>
      <c r="B176" s="3" t="s">
        <v>221</v>
      </c>
      <c r="C176" s="4" t="s">
        <v>0</v>
      </c>
      <c r="D176" s="5">
        <v>1</v>
      </c>
    </row>
    <row r="177" spans="1:6" ht="12.75" customHeight="1" x14ac:dyDescent="0.2">
      <c r="B177" s="15" t="s">
        <v>207</v>
      </c>
    </row>
    <row r="178" spans="1:6" ht="18.75" customHeight="1" x14ac:dyDescent="0.2">
      <c r="A178" s="2" t="s">
        <v>208</v>
      </c>
      <c r="B178" s="3" t="s">
        <v>222</v>
      </c>
      <c r="C178" s="4" t="s">
        <v>0</v>
      </c>
      <c r="D178" s="5">
        <v>1</v>
      </c>
    </row>
    <row r="179" spans="1:6" ht="81.75" customHeight="1" x14ac:dyDescent="0.2">
      <c r="A179" s="2" t="s">
        <v>209</v>
      </c>
      <c r="B179" s="3" t="s">
        <v>210</v>
      </c>
      <c r="C179" s="4" t="s">
        <v>4</v>
      </c>
      <c r="D179" s="5">
        <v>9.8000000000000007</v>
      </c>
    </row>
    <row r="180" spans="1:6" ht="6" customHeight="1" x14ac:dyDescent="0.2"/>
    <row r="181" spans="1:6" x14ac:dyDescent="0.2">
      <c r="B181" s="37" t="s">
        <v>193</v>
      </c>
      <c r="C181" s="10"/>
      <c r="D181" s="29"/>
      <c r="E181" s="29"/>
      <c r="F181" s="12"/>
    </row>
    <row r="182" spans="1:6" x14ac:dyDescent="0.2">
      <c r="C182" s="38"/>
    </row>
    <row r="183" spans="1:6" ht="15" x14ac:dyDescent="0.2">
      <c r="B183" s="24" t="s">
        <v>211</v>
      </c>
      <c r="C183" s="31"/>
    </row>
    <row r="184" spans="1:6" ht="6" customHeight="1" x14ac:dyDescent="0.2">
      <c r="B184" s="15"/>
    </row>
    <row r="185" spans="1:6" ht="67.5" customHeight="1" x14ac:dyDescent="0.2">
      <c r="B185" s="46" t="s">
        <v>22</v>
      </c>
    </row>
    <row r="186" spans="1:6" ht="43.5" customHeight="1" x14ac:dyDescent="0.2">
      <c r="B186" s="3" t="s">
        <v>213</v>
      </c>
    </row>
    <row r="187" spans="1:6" ht="92.25" customHeight="1" x14ac:dyDescent="0.2">
      <c r="A187" s="2" t="s">
        <v>214</v>
      </c>
      <c r="B187" s="3" t="s">
        <v>215</v>
      </c>
    </row>
    <row r="188" spans="1:6" ht="12.75" customHeight="1" x14ac:dyDescent="0.2">
      <c r="A188" s="2" t="s">
        <v>201</v>
      </c>
      <c r="B188" s="3" t="s">
        <v>224</v>
      </c>
      <c r="C188" s="4" t="s">
        <v>0</v>
      </c>
      <c r="D188" s="5">
        <v>1</v>
      </c>
    </row>
    <row r="189" spans="1:6" ht="12.75" customHeight="1" x14ac:dyDescent="0.2">
      <c r="A189" s="2" t="s">
        <v>202</v>
      </c>
      <c r="B189" s="3" t="s">
        <v>223</v>
      </c>
      <c r="C189" s="4" t="s">
        <v>0</v>
      </c>
      <c r="D189" s="5">
        <v>1</v>
      </c>
    </row>
    <row r="190" spans="1:6" ht="12.75" customHeight="1" x14ac:dyDescent="0.2">
      <c r="A190" s="2" t="s">
        <v>203</v>
      </c>
      <c r="B190" s="3" t="s">
        <v>226</v>
      </c>
      <c r="C190" s="4" t="s">
        <v>0</v>
      </c>
      <c r="D190" s="5">
        <v>1</v>
      </c>
    </row>
    <row r="191" spans="1:6" ht="12.75" customHeight="1" x14ac:dyDescent="0.2">
      <c r="A191" s="2" t="s">
        <v>204</v>
      </c>
      <c r="B191" s="3" t="s">
        <v>225</v>
      </c>
      <c r="C191" s="4" t="s">
        <v>0</v>
      </c>
      <c r="D191" s="5">
        <v>1</v>
      </c>
    </row>
    <row r="192" spans="1:6" ht="12.75" customHeight="1" x14ac:dyDescent="0.2">
      <c r="A192" s="2" t="s">
        <v>205</v>
      </c>
      <c r="B192" s="3" t="s">
        <v>227</v>
      </c>
      <c r="C192" s="4" t="s">
        <v>0</v>
      </c>
      <c r="D192" s="5">
        <v>1</v>
      </c>
    </row>
    <row r="193" spans="1:6" ht="12.75" customHeight="1" x14ac:dyDescent="0.2">
      <c r="A193" s="2" t="s">
        <v>206</v>
      </c>
      <c r="B193" s="3" t="s">
        <v>228</v>
      </c>
      <c r="C193" s="4" t="s">
        <v>0</v>
      </c>
      <c r="D193" s="5">
        <v>1</v>
      </c>
    </row>
    <row r="194" spans="1:6" ht="6" customHeight="1" x14ac:dyDescent="0.2"/>
    <row r="195" spans="1:6" s="28" customFormat="1" x14ac:dyDescent="0.2">
      <c r="A195" s="27"/>
      <c r="B195" s="9" t="s">
        <v>212</v>
      </c>
      <c r="C195" s="10"/>
      <c r="D195" s="11"/>
      <c r="E195" s="11"/>
      <c r="F195" s="12"/>
    </row>
    <row r="196" spans="1:6" x14ac:dyDescent="0.2">
      <c r="C196" s="25"/>
    </row>
    <row r="197" spans="1:6" ht="15" customHeight="1" x14ac:dyDescent="0.2">
      <c r="B197" s="35" t="s">
        <v>229</v>
      </c>
      <c r="C197" s="13"/>
    </row>
    <row r="198" spans="1:6" ht="6" customHeight="1" x14ac:dyDescent="0.2">
      <c r="B198" s="36"/>
    </row>
    <row r="199" spans="1:6" ht="70.5" customHeight="1" x14ac:dyDescent="0.2">
      <c r="B199" s="46" t="s">
        <v>22</v>
      </c>
    </row>
    <row r="200" spans="1:6" ht="43.5" customHeight="1" x14ac:dyDescent="0.2">
      <c r="A200" s="2" t="s">
        <v>231</v>
      </c>
      <c r="B200" s="3" t="s">
        <v>232</v>
      </c>
      <c r="C200" s="4" t="s">
        <v>1</v>
      </c>
      <c r="D200" s="5">
        <v>34</v>
      </c>
    </row>
    <row r="201" spans="1:6" ht="6" customHeight="1" x14ac:dyDescent="0.2"/>
    <row r="202" spans="1:6" s="28" customFormat="1" x14ac:dyDescent="0.2">
      <c r="A202" s="27"/>
      <c r="B202" s="9" t="s">
        <v>230</v>
      </c>
      <c r="C202" s="10"/>
      <c r="D202" s="11"/>
      <c r="E202" s="11"/>
      <c r="F202" s="12"/>
    </row>
    <row r="203" spans="1:6" x14ac:dyDescent="0.2">
      <c r="C203" s="8"/>
    </row>
    <row r="204" spans="1:6" x14ac:dyDescent="0.2">
      <c r="C204" s="8"/>
    </row>
    <row r="205" spans="1:6" x14ac:dyDescent="0.2">
      <c r="C205" s="13"/>
    </row>
    <row r="207" spans="1:6" s="28" customFormat="1" x14ac:dyDescent="0.2">
      <c r="A207" s="27"/>
      <c r="B207" s="39"/>
      <c r="C207" s="4"/>
      <c r="D207" s="40"/>
      <c r="E207" s="40"/>
      <c r="F207" s="40"/>
    </row>
    <row r="209" spans="2:3" ht="20.25" x14ac:dyDescent="0.2">
      <c r="B209" s="48" t="s">
        <v>139</v>
      </c>
    </row>
    <row r="210" spans="2:3" ht="12.75" customHeight="1" x14ac:dyDescent="0.2"/>
    <row r="211" spans="2:3" ht="15.75" x14ac:dyDescent="0.2">
      <c r="B211" s="52" t="s">
        <v>8</v>
      </c>
    </row>
    <row r="212" spans="2:3" ht="7.5" customHeight="1" x14ac:dyDescent="0.2"/>
    <row r="213" spans="2:3" ht="15" x14ac:dyDescent="0.2">
      <c r="B213" s="50" t="s">
        <v>9</v>
      </c>
      <c r="C213" s="49" t="s">
        <v>140</v>
      </c>
    </row>
    <row r="214" spans="2:3" ht="6" customHeight="1" x14ac:dyDescent="0.2"/>
    <row r="215" spans="2:3" ht="15" x14ac:dyDescent="0.2">
      <c r="B215" s="50" t="s">
        <v>23</v>
      </c>
      <c r="C215" s="49" t="s">
        <v>140</v>
      </c>
    </row>
    <row r="216" spans="2:3" ht="6" customHeight="1" x14ac:dyDescent="0.2"/>
    <row r="217" spans="2:3" ht="15" x14ac:dyDescent="0.2">
      <c r="B217" s="50" t="s">
        <v>32</v>
      </c>
      <c r="C217" s="49" t="s">
        <v>140</v>
      </c>
    </row>
    <row r="218" spans="2:3" ht="6" customHeight="1" x14ac:dyDescent="0.2"/>
    <row r="219" spans="2:3" ht="15" x14ac:dyDescent="0.2">
      <c r="B219" s="50" t="s">
        <v>77</v>
      </c>
      <c r="C219" s="49" t="s">
        <v>140</v>
      </c>
    </row>
    <row r="220" spans="2:3" ht="6" customHeight="1" x14ac:dyDescent="0.2"/>
    <row r="221" spans="2:3" ht="15" x14ac:dyDescent="0.2">
      <c r="B221" s="51" t="s">
        <v>81</v>
      </c>
      <c r="C221" s="49" t="s">
        <v>140</v>
      </c>
    </row>
    <row r="222" spans="2:3" ht="6" customHeight="1" x14ac:dyDescent="0.2"/>
    <row r="223" spans="2:3" ht="15" x14ac:dyDescent="0.2">
      <c r="B223" s="50" t="s">
        <v>107</v>
      </c>
      <c r="C223" s="49" t="s">
        <v>140</v>
      </c>
    </row>
    <row r="224" spans="2:3" ht="6" customHeight="1" x14ac:dyDescent="0.2"/>
    <row r="225" spans="2:6" ht="15" x14ac:dyDescent="0.2">
      <c r="B225" s="41" t="s">
        <v>123</v>
      </c>
      <c r="C225" s="49" t="s">
        <v>140</v>
      </c>
    </row>
    <row r="226" spans="2:6" ht="6" customHeight="1" x14ac:dyDescent="0.2"/>
    <row r="227" spans="2:6" ht="15" x14ac:dyDescent="0.2">
      <c r="B227" s="41" t="s">
        <v>134</v>
      </c>
      <c r="C227" s="49" t="s">
        <v>140</v>
      </c>
    </row>
    <row r="228" spans="2:6" ht="6.75" customHeight="1" x14ac:dyDescent="0.2"/>
    <row r="229" spans="2:6" ht="15.75" x14ac:dyDescent="0.25">
      <c r="B229" s="54" t="s">
        <v>8</v>
      </c>
      <c r="C229" s="59" t="s">
        <v>140</v>
      </c>
      <c r="D229" s="55"/>
      <c r="E229" s="55"/>
      <c r="F229" s="55"/>
    </row>
    <row r="233" spans="2:6" ht="15.75" x14ac:dyDescent="0.2">
      <c r="B233" s="52" t="s">
        <v>141</v>
      </c>
    </row>
    <row r="234" spans="2:6" ht="6" customHeight="1" x14ac:dyDescent="0.2"/>
    <row r="235" spans="2:6" ht="15" x14ac:dyDescent="0.2">
      <c r="B235" s="41" t="s">
        <v>142</v>
      </c>
      <c r="C235" s="49" t="s">
        <v>140</v>
      </c>
    </row>
    <row r="236" spans="2:6" ht="6" customHeight="1" x14ac:dyDescent="0.2"/>
    <row r="237" spans="2:6" ht="15" x14ac:dyDescent="0.2">
      <c r="B237" s="41" t="s">
        <v>163</v>
      </c>
      <c r="C237" s="49" t="s">
        <v>140</v>
      </c>
    </row>
    <row r="238" spans="2:6" ht="6" customHeight="1" x14ac:dyDescent="0.2"/>
    <row r="239" spans="2:6" ht="15" x14ac:dyDescent="0.2">
      <c r="B239" s="41" t="s">
        <v>176</v>
      </c>
      <c r="C239" s="49" t="s">
        <v>140</v>
      </c>
    </row>
    <row r="240" spans="2:6" ht="6" customHeight="1" x14ac:dyDescent="0.2"/>
    <row r="241" spans="2:6" ht="15" x14ac:dyDescent="0.2">
      <c r="B241" s="41" t="s">
        <v>184</v>
      </c>
      <c r="C241" s="49" t="s">
        <v>140</v>
      </c>
    </row>
    <row r="242" spans="2:6" ht="6" customHeight="1" x14ac:dyDescent="0.2"/>
    <row r="243" spans="2:6" ht="15" x14ac:dyDescent="0.2">
      <c r="B243" s="41" t="s">
        <v>192</v>
      </c>
      <c r="C243" s="49" t="s">
        <v>140</v>
      </c>
    </row>
    <row r="244" spans="2:6" ht="6" customHeight="1" x14ac:dyDescent="0.2"/>
    <row r="245" spans="2:6" ht="15" x14ac:dyDescent="0.2">
      <c r="B245" s="41" t="s">
        <v>211</v>
      </c>
      <c r="C245" s="49" t="s">
        <v>140</v>
      </c>
    </row>
    <row r="246" spans="2:6" ht="6" customHeight="1" x14ac:dyDescent="0.2"/>
    <row r="247" spans="2:6" ht="15" x14ac:dyDescent="0.2">
      <c r="B247" s="56" t="s">
        <v>229</v>
      </c>
      <c r="C247" s="49" t="s">
        <v>140</v>
      </c>
    </row>
    <row r="248" spans="2:6" ht="6" customHeight="1" x14ac:dyDescent="0.2"/>
    <row r="249" spans="2:6" ht="15.75" x14ac:dyDescent="0.25">
      <c r="B249" s="54" t="s">
        <v>141</v>
      </c>
      <c r="C249" s="59" t="s">
        <v>140</v>
      </c>
      <c r="D249" s="55"/>
      <c r="E249" s="55"/>
      <c r="F249" s="55"/>
    </row>
    <row r="253" spans="2:6" ht="15.75" x14ac:dyDescent="0.2">
      <c r="B253" s="52" t="s">
        <v>233</v>
      </c>
    </row>
    <row r="254" spans="2:6" ht="6" customHeight="1" x14ac:dyDescent="0.2"/>
    <row r="255" spans="2:6" ht="15" x14ac:dyDescent="0.2">
      <c r="B255" s="41" t="s">
        <v>234</v>
      </c>
      <c r="C255" s="49" t="s">
        <v>140</v>
      </c>
    </row>
    <row r="256" spans="2:6" ht="6" customHeight="1" x14ac:dyDescent="0.2"/>
    <row r="257" spans="2:6" ht="15" x14ac:dyDescent="0.2">
      <c r="B257" s="41" t="s">
        <v>235</v>
      </c>
      <c r="C257" s="49" t="s">
        <v>140</v>
      </c>
    </row>
    <row r="258" spans="2:6" ht="6" customHeight="1" x14ac:dyDescent="0.2"/>
    <row r="259" spans="2:6" ht="15" x14ac:dyDescent="0.2">
      <c r="B259" s="41" t="s">
        <v>236</v>
      </c>
      <c r="C259" s="49" t="s">
        <v>140</v>
      </c>
    </row>
    <row r="260" spans="2:6" ht="6" customHeight="1" x14ac:dyDescent="0.2"/>
    <row r="261" spans="2:6" ht="15.75" x14ac:dyDescent="0.25">
      <c r="B261" s="54" t="s">
        <v>233</v>
      </c>
      <c r="C261" s="59" t="s">
        <v>140</v>
      </c>
      <c r="D261" s="55"/>
      <c r="E261" s="55"/>
      <c r="F261" s="55"/>
    </row>
    <row r="265" spans="2:6" ht="13.5" thickBot="1" x14ac:dyDescent="0.25"/>
    <row r="266" spans="2:6" ht="21" thickBot="1" x14ac:dyDescent="0.25">
      <c r="B266" s="57" t="s">
        <v>237</v>
      </c>
    </row>
    <row r="268" spans="2:6" ht="15.75" x14ac:dyDescent="0.25">
      <c r="B268" s="53" t="s">
        <v>8</v>
      </c>
      <c r="C268" s="58" t="s">
        <v>140</v>
      </c>
      <c r="D268" s="14"/>
      <c r="E268" s="14"/>
      <c r="F268" s="14"/>
    </row>
    <row r="270" spans="2:6" ht="15.75" x14ac:dyDescent="0.25">
      <c r="B270" s="53" t="s">
        <v>141</v>
      </c>
      <c r="C270" s="58" t="s">
        <v>140</v>
      </c>
      <c r="D270" s="14"/>
      <c r="E270" s="14"/>
      <c r="F270" s="14"/>
    </row>
    <row r="272" spans="2:6" ht="15.75" x14ac:dyDescent="0.25">
      <c r="B272" s="53" t="s">
        <v>233</v>
      </c>
      <c r="C272" s="58" t="s">
        <v>140</v>
      </c>
      <c r="D272" s="14"/>
      <c r="E272" s="14"/>
      <c r="F272" s="14"/>
    </row>
    <row r="274" spans="1:6" s="1" customFormat="1" ht="15.75" x14ac:dyDescent="0.25">
      <c r="A274" s="61"/>
      <c r="B274" s="60" t="s">
        <v>238</v>
      </c>
      <c r="C274" s="59" t="s">
        <v>140</v>
      </c>
      <c r="D274" s="62"/>
      <c r="E274" s="62"/>
      <c r="F274" s="62"/>
    </row>
    <row r="276" spans="1:6" s="1" customFormat="1" ht="15.75" x14ac:dyDescent="0.25">
      <c r="A276" s="61"/>
      <c r="B276" s="60" t="s">
        <v>239</v>
      </c>
      <c r="C276" s="59" t="s">
        <v>140</v>
      </c>
      <c r="D276" s="62"/>
      <c r="E276" s="62"/>
      <c r="F276" s="62"/>
    </row>
    <row r="278" spans="1:6" s="1" customFormat="1" ht="15.75" x14ac:dyDescent="0.25">
      <c r="A278" s="61"/>
      <c r="B278" s="60" t="s">
        <v>240</v>
      </c>
      <c r="C278" s="59" t="s">
        <v>140</v>
      </c>
      <c r="D278" s="62"/>
      <c r="E278" s="62"/>
      <c r="F278" s="62"/>
    </row>
  </sheetData>
  <pageMargins left="0.25" right="0.25"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F327"/>
  <sheetViews>
    <sheetView tabSelected="1" topLeftCell="A293" zoomScaleNormal="100" workbookViewId="0">
      <selection activeCell="H323" sqref="H323"/>
    </sheetView>
  </sheetViews>
  <sheetFormatPr defaultRowHeight="12.75" x14ac:dyDescent="0.2"/>
  <cols>
    <col min="1" max="1" width="8.5703125" style="2" customWidth="1"/>
    <col min="2" max="2" width="50.5703125" style="3" customWidth="1"/>
    <col min="3" max="3" width="7.7109375" style="4" customWidth="1"/>
    <col min="4" max="4" width="9.5703125" style="5" customWidth="1"/>
    <col min="5" max="5" width="9.28515625" style="5" customWidth="1"/>
    <col min="6" max="6" width="12.42578125" style="5" customWidth="1"/>
    <col min="7" max="16384" width="9.140625" style="6"/>
  </cols>
  <sheetData>
    <row r="1" spans="1:6" ht="9" customHeight="1" x14ac:dyDescent="0.2"/>
    <row r="2" spans="1:6" ht="21" customHeight="1" x14ac:dyDescent="0.2">
      <c r="B2" s="47" t="s">
        <v>8</v>
      </c>
    </row>
    <row r="3" spans="1:6" ht="6" customHeight="1" x14ac:dyDescent="0.2"/>
    <row r="4" spans="1:6" ht="68.25" customHeight="1" x14ac:dyDescent="0.2">
      <c r="B4" s="46" t="s">
        <v>22</v>
      </c>
      <c r="C4" s="44"/>
      <c r="D4" s="6"/>
      <c r="E4" s="44"/>
      <c r="F4" s="6"/>
    </row>
    <row r="5" spans="1:6" ht="55.5" customHeight="1" x14ac:dyDescent="0.2">
      <c r="B5" s="44" t="s">
        <v>24</v>
      </c>
      <c r="C5" s="44"/>
      <c r="D5" s="44"/>
      <c r="E5" s="44"/>
      <c r="F5" s="44"/>
    </row>
    <row r="6" spans="1:6" ht="79.5" customHeight="1" x14ac:dyDescent="0.2">
      <c r="B6" s="44" t="s">
        <v>25</v>
      </c>
      <c r="C6" s="44"/>
      <c r="D6" s="44"/>
      <c r="E6" s="44"/>
      <c r="F6" s="44"/>
    </row>
    <row r="7" spans="1:6" ht="6" customHeight="1" x14ac:dyDescent="0.2">
      <c r="B7" s="44"/>
      <c r="C7" s="6"/>
      <c r="D7" s="44"/>
      <c r="E7" s="44"/>
      <c r="F7" s="44"/>
    </row>
    <row r="8" spans="1:6" ht="18.75" customHeight="1" x14ac:dyDescent="0.2">
      <c r="B8" s="7" t="s">
        <v>9</v>
      </c>
      <c r="C8" s="6"/>
      <c r="D8" s="45" t="s">
        <v>28</v>
      </c>
      <c r="E8" s="45" t="s">
        <v>29</v>
      </c>
      <c r="F8" s="45" t="s">
        <v>30</v>
      </c>
    </row>
    <row r="9" spans="1:6" ht="6" customHeight="1" x14ac:dyDescent="0.2">
      <c r="B9" s="44"/>
      <c r="C9" s="6"/>
      <c r="D9" s="44"/>
      <c r="E9" s="44"/>
      <c r="F9" s="44"/>
    </row>
    <row r="10" spans="1:6" ht="68.25" customHeight="1" x14ac:dyDescent="0.2">
      <c r="A10" s="2" t="s">
        <v>10</v>
      </c>
      <c r="B10" s="3" t="s">
        <v>5</v>
      </c>
      <c r="C10" s="4" t="s">
        <v>0</v>
      </c>
      <c r="D10" s="5">
        <v>1</v>
      </c>
      <c r="E10" s="64">
        <v>4735</v>
      </c>
      <c r="F10" s="5">
        <f>D10*E10</f>
        <v>4735</v>
      </c>
    </row>
    <row r="11" spans="1:6" ht="19.5" customHeight="1" x14ac:dyDescent="0.2">
      <c r="A11" s="2" t="s">
        <v>26</v>
      </c>
      <c r="B11" s="3" t="s">
        <v>6</v>
      </c>
      <c r="C11" s="4" t="s">
        <v>0</v>
      </c>
      <c r="D11" s="5">
        <v>1</v>
      </c>
      <c r="E11" s="64">
        <v>2841</v>
      </c>
      <c r="F11" s="5">
        <f t="shared" ref="F11:F12" si="0">D11*E11</f>
        <v>2841</v>
      </c>
    </row>
    <row r="12" spans="1:6" ht="55.5" customHeight="1" x14ac:dyDescent="0.2">
      <c r="A12" s="2" t="s">
        <v>27</v>
      </c>
      <c r="B12" s="3" t="s">
        <v>31</v>
      </c>
      <c r="C12" s="4" t="s">
        <v>1</v>
      </c>
      <c r="D12" s="5">
        <v>60</v>
      </c>
      <c r="E12" s="64">
        <v>66.289999999999992</v>
      </c>
      <c r="F12" s="5">
        <f t="shared" si="0"/>
        <v>3977.3999999999996</v>
      </c>
    </row>
    <row r="13" spans="1:6" ht="6" customHeight="1" x14ac:dyDescent="0.2"/>
    <row r="14" spans="1:6" x14ac:dyDescent="0.2">
      <c r="B14" s="9" t="s">
        <v>83</v>
      </c>
      <c r="C14" s="10"/>
      <c r="D14" s="11"/>
      <c r="E14" s="11"/>
      <c r="F14" s="12">
        <f>SUM(F10:F13)</f>
        <v>11553.4</v>
      </c>
    </row>
    <row r="16" spans="1:6" ht="15" x14ac:dyDescent="0.2">
      <c r="B16" s="7" t="s">
        <v>23</v>
      </c>
    </row>
    <row r="17" spans="1:6" ht="6" customHeight="1" x14ac:dyDescent="0.2">
      <c r="B17" s="8"/>
    </row>
    <row r="18" spans="1:6" ht="69" customHeight="1" x14ac:dyDescent="0.2">
      <c r="A18" s="2" t="s">
        <v>33</v>
      </c>
      <c r="B18" s="8" t="s">
        <v>47</v>
      </c>
      <c r="C18" s="13" t="s">
        <v>3</v>
      </c>
      <c r="D18" s="5">
        <v>60</v>
      </c>
      <c r="E18" s="64">
        <v>132.57999999999998</v>
      </c>
      <c r="F18" s="5">
        <f>D18*E18</f>
        <v>7954.7999999999993</v>
      </c>
    </row>
    <row r="19" spans="1:6" ht="45" customHeight="1" x14ac:dyDescent="0.2">
      <c r="A19" s="2" t="s">
        <v>34</v>
      </c>
      <c r="B19" s="8" t="s">
        <v>48</v>
      </c>
      <c r="C19" s="13" t="s">
        <v>3</v>
      </c>
      <c r="D19" s="14">
        <v>50</v>
      </c>
      <c r="E19" s="64">
        <v>37.879999999999995</v>
      </c>
      <c r="F19" s="5">
        <f t="shared" ref="F19:F21" si="1">D19*E19</f>
        <v>1893.9999999999998</v>
      </c>
    </row>
    <row r="20" spans="1:6" ht="45" customHeight="1" x14ac:dyDescent="0.2">
      <c r="A20" s="2" t="s">
        <v>35</v>
      </c>
      <c r="B20" s="8" t="s">
        <v>49</v>
      </c>
      <c r="C20" s="13" t="s">
        <v>3</v>
      </c>
      <c r="D20" s="14">
        <v>14</v>
      </c>
      <c r="E20" s="64">
        <v>151.51999999999998</v>
      </c>
      <c r="F20" s="5">
        <f t="shared" si="1"/>
        <v>2121.2799999999997</v>
      </c>
    </row>
    <row r="21" spans="1:6" ht="29.25" customHeight="1" x14ac:dyDescent="0.2">
      <c r="A21" s="2" t="s">
        <v>36</v>
      </c>
      <c r="B21" s="8" t="s">
        <v>60</v>
      </c>
      <c r="C21" s="13" t="s">
        <v>3</v>
      </c>
      <c r="D21" s="14">
        <v>90</v>
      </c>
      <c r="E21" s="64">
        <v>142.04999999999998</v>
      </c>
      <c r="F21" s="5">
        <f t="shared" si="1"/>
        <v>12784.499999999998</v>
      </c>
    </row>
    <row r="22" spans="1:6" ht="6" customHeight="1" x14ac:dyDescent="0.2">
      <c r="B22" s="8"/>
      <c r="C22" s="13"/>
      <c r="D22" s="14"/>
      <c r="E22" s="14"/>
    </row>
    <row r="23" spans="1:6" x14ac:dyDescent="0.2">
      <c r="B23" s="9" t="s">
        <v>84</v>
      </c>
      <c r="C23" s="10"/>
      <c r="D23" s="11"/>
      <c r="E23" s="11"/>
      <c r="F23" s="12">
        <f>SUM(F18:F22)</f>
        <v>24754.579999999994</v>
      </c>
    </row>
    <row r="25" spans="1:6" ht="15" x14ac:dyDescent="0.2">
      <c r="B25" s="7" t="s">
        <v>32</v>
      </c>
    </row>
    <row r="26" spans="1:6" ht="6" customHeight="1" x14ac:dyDescent="0.2">
      <c r="B26" s="8"/>
    </row>
    <row r="27" spans="1:6" ht="70.5" customHeight="1" x14ac:dyDescent="0.2">
      <c r="B27" s="46" t="s">
        <v>22</v>
      </c>
    </row>
    <row r="28" spans="1:6" ht="28.5" customHeight="1" x14ac:dyDescent="0.2">
      <c r="B28" s="8" t="s">
        <v>38</v>
      </c>
    </row>
    <row r="29" spans="1:6" ht="28.5" customHeight="1" x14ac:dyDescent="0.2">
      <c r="B29" s="8" t="s">
        <v>39</v>
      </c>
    </row>
    <row r="30" spans="1:6" ht="28.5" customHeight="1" x14ac:dyDescent="0.2">
      <c r="B30" s="8" t="s">
        <v>40</v>
      </c>
    </row>
    <row r="31" spans="1:6" ht="28.5" customHeight="1" x14ac:dyDescent="0.2">
      <c r="B31" s="8" t="s">
        <v>41</v>
      </c>
    </row>
    <row r="32" spans="1:6" ht="57" customHeight="1" x14ac:dyDescent="0.2">
      <c r="B32" s="8" t="s">
        <v>42</v>
      </c>
    </row>
    <row r="33" spans="1:6" ht="57" customHeight="1" x14ac:dyDescent="0.2">
      <c r="B33" s="8" t="s">
        <v>43</v>
      </c>
    </row>
    <row r="34" spans="1:6" ht="42" customHeight="1" x14ac:dyDescent="0.2">
      <c r="B34" s="8" t="s">
        <v>44</v>
      </c>
    </row>
    <row r="35" spans="1:6" ht="146.25" customHeight="1" x14ac:dyDescent="0.2">
      <c r="B35" s="8" t="s">
        <v>45</v>
      </c>
    </row>
    <row r="36" spans="1:6" ht="82.5" customHeight="1" x14ac:dyDescent="0.2">
      <c r="A36" s="2" t="s">
        <v>37</v>
      </c>
      <c r="B36" s="3" t="s">
        <v>46</v>
      </c>
      <c r="C36" s="4" t="s">
        <v>3</v>
      </c>
      <c r="D36" s="5">
        <v>4.2</v>
      </c>
      <c r="E36" s="64">
        <v>804.94999999999993</v>
      </c>
      <c r="F36" s="5">
        <f>D36*E36</f>
        <v>3380.79</v>
      </c>
    </row>
    <row r="37" spans="1:6" ht="120" customHeight="1" x14ac:dyDescent="0.2">
      <c r="A37" s="2" t="s">
        <v>50</v>
      </c>
      <c r="B37" s="3" t="s">
        <v>53</v>
      </c>
      <c r="C37" s="4" t="s">
        <v>3</v>
      </c>
      <c r="D37" s="5">
        <v>35</v>
      </c>
      <c r="E37" s="64">
        <v>1155.3399999999999</v>
      </c>
      <c r="F37" s="5">
        <f t="shared" ref="F37:F49" si="2">D37*E37</f>
        <v>40436.899999999994</v>
      </c>
    </row>
    <row r="38" spans="1:6" ht="106.5" customHeight="1" x14ac:dyDescent="0.2">
      <c r="A38" s="2" t="s">
        <v>51</v>
      </c>
      <c r="B38" s="3" t="s">
        <v>52</v>
      </c>
      <c r="C38" s="4" t="s">
        <v>3</v>
      </c>
      <c r="D38" s="5">
        <v>9</v>
      </c>
      <c r="E38" s="64">
        <v>1287.9199999999998</v>
      </c>
      <c r="F38" s="5">
        <f t="shared" si="2"/>
        <v>11591.279999999999</v>
      </c>
    </row>
    <row r="39" spans="1:6" ht="107.25" customHeight="1" x14ac:dyDescent="0.2">
      <c r="A39" s="2" t="s">
        <v>54</v>
      </c>
      <c r="B39" s="3" t="s">
        <v>56</v>
      </c>
      <c r="C39" s="4" t="s">
        <v>3</v>
      </c>
      <c r="D39" s="5">
        <v>1.5</v>
      </c>
      <c r="E39" s="64">
        <v>1231.0999999999999</v>
      </c>
      <c r="F39" s="5">
        <f t="shared" si="2"/>
        <v>1846.6499999999999</v>
      </c>
    </row>
    <row r="40" spans="1:6" ht="107.25" customHeight="1" x14ac:dyDescent="0.2">
      <c r="A40" s="2" t="s">
        <v>57</v>
      </c>
      <c r="B40" s="3" t="s">
        <v>55</v>
      </c>
      <c r="C40" s="4" t="s">
        <v>3</v>
      </c>
      <c r="D40" s="5">
        <v>13</v>
      </c>
      <c r="E40" s="64">
        <v>1250.04</v>
      </c>
      <c r="F40" s="5">
        <f t="shared" si="2"/>
        <v>16250.52</v>
      </c>
    </row>
    <row r="41" spans="1:6" ht="105.75" customHeight="1" x14ac:dyDescent="0.2">
      <c r="A41" s="2" t="s">
        <v>58</v>
      </c>
      <c r="B41" s="3" t="s">
        <v>61</v>
      </c>
      <c r="C41" s="4" t="s">
        <v>3</v>
      </c>
      <c r="D41" s="5">
        <v>0.15</v>
      </c>
      <c r="E41" s="64">
        <v>1799.3</v>
      </c>
      <c r="F41" s="5">
        <f t="shared" si="2"/>
        <v>269.89499999999998</v>
      </c>
    </row>
    <row r="42" spans="1:6" ht="111.75" customHeight="1" x14ac:dyDescent="0.2">
      <c r="A42" s="2" t="s">
        <v>59</v>
      </c>
      <c r="B42" s="3" t="s">
        <v>62</v>
      </c>
      <c r="C42" s="4" t="s">
        <v>3</v>
      </c>
      <c r="D42" s="5">
        <v>0.3</v>
      </c>
      <c r="E42" s="64">
        <v>1818.24</v>
      </c>
      <c r="F42" s="5">
        <f t="shared" si="2"/>
        <v>545.47199999999998</v>
      </c>
    </row>
    <row r="43" spans="1:6" ht="83.25" customHeight="1" x14ac:dyDescent="0.2">
      <c r="A43" s="2" t="s">
        <v>63</v>
      </c>
      <c r="B43" s="3" t="s">
        <v>64</v>
      </c>
      <c r="C43" s="4" t="s">
        <v>3</v>
      </c>
      <c r="D43" s="5">
        <v>1.2</v>
      </c>
      <c r="E43" s="64">
        <v>1401.56</v>
      </c>
      <c r="F43" s="5">
        <f t="shared" si="2"/>
        <v>1681.8719999999998</v>
      </c>
    </row>
    <row r="44" spans="1:6" ht="96" customHeight="1" x14ac:dyDescent="0.2">
      <c r="A44" s="2" t="s">
        <v>65</v>
      </c>
      <c r="B44" s="3" t="s">
        <v>66</v>
      </c>
      <c r="C44" s="4" t="s">
        <v>3</v>
      </c>
      <c r="D44" s="5">
        <v>2</v>
      </c>
      <c r="E44" s="64">
        <v>1373.1499999999999</v>
      </c>
      <c r="F44" s="5">
        <f t="shared" si="2"/>
        <v>2746.2999999999997</v>
      </c>
    </row>
    <row r="45" spans="1:6" ht="98.25" customHeight="1" x14ac:dyDescent="0.2">
      <c r="A45" s="2" t="s">
        <v>67</v>
      </c>
      <c r="B45" s="3" t="s">
        <v>68</v>
      </c>
      <c r="C45" s="4" t="s">
        <v>3</v>
      </c>
      <c r="D45" s="5">
        <v>2.9</v>
      </c>
      <c r="E45" s="64">
        <v>1477.32</v>
      </c>
      <c r="F45" s="5">
        <f t="shared" si="2"/>
        <v>4284.2280000000001</v>
      </c>
    </row>
    <row r="46" spans="1:6" ht="108" customHeight="1" x14ac:dyDescent="0.2">
      <c r="A46" s="2" t="s">
        <v>69</v>
      </c>
      <c r="B46" s="3" t="s">
        <v>70</v>
      </c>
      <c r="C46" s="4" t="s">
        <v>3</v>
      </c>
      <c r="D46" s="5">
        <v>2.4</v>
      </c>
      <c r="E46" s="64">
        <v>1420.5</v>
      </c>
      <c r="F46" s="5">
        <f t="shared" si="2"/>
        <v>3409.2</v>
      </c>
    </row>
    <row r="47" spans="1:6" ht="81" customHeight="1" x14ac:dyDescent="0.2">
      <c r="A47" s="2" t="s">
        <v>71</v>
      </c>
      <c r="B47" s="3" t="s">
        <v>72</v>
      </c>
      <c r="C47" s="4" t="s">
        <v>3</v>
      </c>
      <c r="D47" s="5">
        <v>1</v>
      </c>
      <c r="E47" s="64">
        <v>1657.25</v>
      </c>
      <c r="F47" s="5">
        <f t="shared" si="2"/>
        <v>1657.25</v>
      </c>
    </row>
    <row r="48" spans="1:6" ht="105.75" customHeight="1" x14ac:dyDescent="0.2">
      <c r="A48" s="2" t="s">
        <v>73</v>
      </c>
      <c r="B48" s="3" t="s">
        <v>76</v>
      </c>
      <c r="C48" s="4" t="s">
        <v>3</v>
      </c>
      <c r="D48" s="5">
        <v>18</v>
      </c>
      <c r="E48" s="64">
        <v>1382.62</v>
      </c>
      <c r="F48" s="5">
        <f t="shared" si="2"/>
        <v>24887.159999999996</v>
      </c>
    </row>
    <row r="49" spans="1:6" ht="121.5" customHeight="1" x14ac:dyDescent="0.2">
      <c r="A49" s="2" t="s">
        <v>74</v>
      </c>
      <c r="B49" s="3" t="s">
        <v>75</v>
      </c>
      <c r="C49" s="4" t="s">
        <v>3</v>
      </c>
      <c r="D49" s="5">
        <v>2.2000000000000002</v>
      </c>
      <c r="E49" s="64">
        <v>1467.85</v>
      </c>
      <c r="F49" s="5">
        <f t="shared" si="2"/>
        <v>3229.27</v>
      </c>
    </row>
    <row r="50" spans="1:6" ht="6" customHeight="1" x14ac:dyDescent="0.2"/>
    <row r="51" spans="1:6" ht="15" customHeight="1" x14ac:dyDescent="0.2">
      <c r="B51" s="16" t="s">
        <v>85</v>
      </c>
      <c r="C51" s="10"/>
      <c r="D51" s="11"/>
      <c r="E51" s="11"/>
      <c r="F51" s="12">
        <f>SUM(F36:F50)</f>
        <v>116216.787</v>
      </c>
    </row>
    <row r="52" spans="1:6" x14ac:dyDescent="0.2">
      <c r="C52" s="13"/>
    </row>
    <row r="53" spans="1:6" ht="15" x14ac:dyDescent="0.2">
      <c r="B53" s="7" t="s">
        <v>77</v>
      </c>
    </row>
    <row r="54" spans="1:6" ht="6" customHeight="1" x14ac:dyDescent="0.2">
      <c r="C54" s="13"/>
    </row>
    <row r="55" spans="1:6" ht="67.5" customHeight="1" x14ac:dyDescent="0.2">
      <c r="B55" s="46" t="s">
        <v>22</v>
      </c>
      <c r="C55" s="13"/>
    </row>
    <row r="56" spans="1:6" ht="129" customHeight="1" x14ac:dyDescent="0.2">
      <c r="B56" s="3" t="s">
        <v>78</v>
      </c>
      <c r="C56" s="13"/>
    </row>
    <row r="57" spans="1:6" ht="120" customHeight="1" x14ac:dyDescent="0.2">
      <c r="A57" s="2" t="s">
        <v>79</v>
      </c>
      <c r="B57" s="3" t="s">
        <v>80</v>
      </c>
      <c r="C57" s="13" t="s">
        <v>2</v>
      </c>
      <c r="D57" s="5">
        <v>9000</v>
      </c>
      <c r="E57" s="64">
        <v>10.417</v>
      </c>
      <c r="F57" s="5">
        <f>D57*E57</f>
        <v>93753</v>
      </c>
    </row>
    <row r="58" spans="1:6" ht="6" customHeight="1" x14ac:dyDescent="0.2">
      <c r="C58" s="13"/>
    </row>
    <row r="59" spans="1:6" ht="15" customHeight="1" x14ac:dyDescent="0.2">
      <c r="B59" s="16" t="s">
        <v>86</v>
      </c>
      <c r="C59" s="10"/>
      <c r="D59" s="11"/>
      <c r="E59" s="11"/>
      <c r="F59" s="12">
        <f>SUM(F57:F58)</f>
        <v>93753</v>
      </c>
    </row>
    <row r="60" spans="1:6" x14ac:dyDescent="0.2">
      <c r="C60" s="13"/>
    </row>
    <row r="61" spans="1:6" ht="15" x14ac:dyDescent="0.2">
      <c r="B61" s="17" t="s">
        <v>81</v>
      </c>
      <c r="D61" s="18"/>
      <c r="E61" s="18"/>
      <c r="F61" s="18"/>
    </row>
    <row r="62" spans="1:6" ht="6" customHeight="1" x14ac:dyDescent="0.2">
      <c r="B62" s="19"/>
      <c r="C62" s="13"/>
      <c r="D62" s="18"/>
      <c r="E62" s="18"/>
      <c r="F62" s="18"/>
    </row>
    <row r="63" spans="1:6" ht="70.5" customHeight="1" x14ac:dyDescent="0.2">
      <c r="B63" s="46" t="s">
        <v>22</v>
      </c>
      <c r="C63" s="13"/>
      <c r="D63" s="18"/>
      <c r="E63" s="18"/>
      <c r="F63" s="18"/>
    </row>
    <row r="64" spans="1:6" ht="42.75" customHeight="1" x14ac:dyDescent="0.2">
      <c r="A64" s="2" t="s">
        <v>82</v>
      </c>
      <c r="B64" s="20" t="s">
        <v>88</v>
      </c>
      <c r="C64" s="13" t="s">
        <v>0</v>
      </c>
      <c r="D64" s="14">
        <v>1</v>
      </c>
      <c r="E64" s="64">
        <v>1894</v>
      </c>
      <c r="F64" s="14">
        <f>D64*E64</f>
        <v>1894</v>
      </c>
    </row>
    <row r="65" spans="1:6" ht="210" customHeight="1" x14ac:dyDescent="0.2">
      <c r="A65" s="2" t="s">
        <v>89</v>
      </c>
      <c r="B65" s="20" t="s">
        <v>92</v>
      </c>
      <c r="C65" s="13" t="s">
        <v>3</v>
      </c>
      <c r="D65" s="14">
        <v>32</v>
      </c>
      <c r="E65" s="64">
        <v>1164.81</v>
      </c>
      <c r="F65" s="14">
        <f t="shared" ref="F65:F73" si="3">D65*E65</f>
        <v>37273.919999999998</v>
      </c>
    </row>
    <row r="66" spans="1:6" ht="209.25" customHeight="1" x14ac:dyDescent="0.2">
      <c r="A66" s="2" t="s">
        <v>90</v>
      </c>
      <c r="B66" s="20" t="s">
        <v>91</v>
      </c>
      <c r="C66" s="13" t="s">
        <v>1</v>
      </c>
      <c r="D66" s="14">
        <v>45</v>
      </c>
      <c r="E66" s="64">
        <v>184.66499999999999</v>
      </c>
      <c r="F66" s="14">
        <f t="shared" si="3"/>
        <v>8309.9249999999993</v>
      </c>
    </row>
    <row r="67" spans="1:6" ht="46.5" customHeight="1" x14ac:dyDescent="0.2">
      <c r="A67" s="2" t="s">
        <v>93</v>
      </c>
      <c r="B67" s="20" t="s">
        <v>94</v>
      </c>
      <c r="C67" s="13" t="s">
        <v>0</v>
      </c>
      <c r="D67" s="14">
        <v>6</v>
      </c>
      <c r="E67" s="64">
        <v>331.45</v>
      </c>
      <c r="F67" s="14">
        <f t="shared" si="3"/>
        <v>1988.6999999999998</v>
      </c>
    </row>
    <row r="68" spans="1:6" ht="159" customHeight="1" x14ac:dyDescent="0.2">
      <c r="A68" s="2" t="s">
        <v>95</v>
      </c>
      <c r="B68" s="20" t="s">
        <v>101</v>
      </c>
      <c r="C68" s="13" t="s">
        <v>1</v>
      </c>
      <c r="D68" s="14">
        <v>265</v>
      </c>
      <c r="E68" s="64">
        <v>71.024999999999991</v>
      </c>
      <c r="F68" s="14">
        <f t="shared" si="3"/>
        <v>18821.624999999996</v>
      </c>
    </row>
    <row r="69" spans="1:6" ht="83.25" customHeight="1" x14ac:dyDescent="0.2">
      <c r="A69" s="2" t="s">
        <v>96</v>
      </c>
      <c r="B69" s="20" t="s">
        <v>102</v>
      </c>
      <c r="C69" s="13" t="s">
        <v>1</v>
      </c>
      <c r="D69" s="14">
        <v>91</v>
      </c>
      <c r="E69" s="64">
        <v>75.759999999999991</v>
      </c>
      <c r="F69" s="14">
        <f t="shared" si="3"/>
        <v>6894.1599999999989</v>
      </c>
    </row>
    <row r="70" spans="1:6" ht="68.25" customHeight="1" x14ac:dyDescent="0.2">
      <c r="A70" s="2" t="s">
        <v>97</v>
      </c>
      <c r="B70" s="20" t="s">
        <v>105</v>
      </c>
      <c r="C70" s="13" t="s">
        <v>1</v>
      </c>
      <c r="D70" s="14">
        <v>104</v>
      </c>
      <c r="E70" s="64">
        <v>89.964999999999989</v>
      </c>
      <c r="F70" s="14">
        <f t="shared" si="3"/>
        <v>9356.3599999999988</v>
      </c>
    </row>
    <row r="71" spans="1:6" ht="122.25" customHeight="1" x14ac:dyDescent="0.2">
      <c r="A71" s="2" t="s">
        <v>98</v>
      </c>
      <c r="B71" s="20" t="s">
        <v>106</v>
      </c>
      <c r="C71" s="4" t="s">
        <v>4</v>
      </c>
      <c r="D71" s="14">
        <v>6.5</v>
      </c>
      <c r="E71" s="64">
        <v>1136.3999999999999</v>
      </c>
      <c r="F71" s="14">
        <f t="shared" si="3"/>
        <v>7386.5999999999995</v>
      </c>
    </row>
    <row r="72" spans="1:6" ht="30" customHeight="1" x14ac:dyDescent="0.2">
      <c r="A72" s="2" t="s">
        <v>99</v>
      </c>
      <c r="B72" s="20" t="s">
        <v>104</v>
      </c>
      <c r="C72" s="13" t="s">
        <v>0</v>
      </c>
      <c r="D72" s="14">
        <v>15</v>
      </c>
      <c r="E72" s="64">
        <v>47.349999999999994</v>
      </c>
      <c r="F72" s="14">
        <f t="shared" si="3"/>
        <v>710.24999999999989</v>
      </c>
    </row>
    <row r="73" spans="1:6" ht="31.5" customHeight="1" x14ac:dyDescent="0.2">
      <c r="A73" s="2" t="s">
        <v>100</v>
      </c>
      <c r="B73" s="20" t="s">
        <v>103</v>
      </c>
      <c r="C73" s="13" t="s">
        <v>0</v>
      </c>
      <c r="D73" s="14">
        <v>1</v>
      </c>
      <c r="E73" s="64">
        <v>2841</v>
      </c>
      <c r="F73" s="14">
        <f t="shared" si="3"/>
        <v>2841</v>
      </c>
    </row>
    <row r="74" spans="1:6" ht="6" customHeight="1" x14ac:dyDescent="0.2">
      <c r="B74" s="20"/>
      <c r="C74" s="13"/>
      <c r="D74" s="14"/>
      <c r="E74" s="14"/>
      <c r="F74" s="14"/>
    </row>
    <row r="75" spans="1:6" ht="14.25" customHeight="1" x14ac:dyDescent="0.2">
      <c r="B75" s="9" t="s">
        <v>87</v>
      </c>
      <c r="C75" s="10"/>
      <c r="D75" s="11"/>
      <c r="E75" s="11"/>
      <c r="F75" s="12">
        <f>SUM(F64:F74)</f>
        <v>95476.540000000008</v>
      </c>
    </row>
    <row r="76" spans="1:6" ht="15" customHeight="1" x14ac:dyDescent="0.2">
      <c r="B76" s="21"/>
      <c r="C76" s="13"/>
      <c r="D76" s="18"/>
      <c r="E76" s="18"/>
      <c r="F76" s="18"/>
    </row>
    <row r="77" spans="1:6" ht="15" x14ac:dyDescent="0.2">
      <c r="B77" s="7" t="s">
        <v>107</v>
      </c>
      <c r="C77" s="13"/>
    </row>
    <row r="78" spans="1:6" ht="6" customHeight="1" x14ac:dyDescent="0.2">
      <c r="B78" s="19"/>
    </row>
    <row r="79" spans="1:6" ht="105" customHeight="1" x14ac:dyDescent="0.2">
      <c r="B79" s="8" t="s">
        <v>109</v>
      </c>
    </row>
    <row r="80" spans="1:6" ht="80.25" customHeight="1" x14ac:dyDescent="0.2">
      <c r="B80" s="8" t="s">
        <v>110</v>
      </c>
    </row>
    <row r="81" spans="1:6" ht="94.5" customHeight="1" x14ac:dyDescent="0.2">
      <c r="B81" s="21" t="s">
        <v>111</v>
      </c>
    </row>
    <row r="82" spans="1:6" ht="79.5" customHeight="1" x14ac:dyDescent="0.2">
      <c r="B82" s="21" t="s">
        <v>112</v>
      </c>
    </row>
    <row r="83" spans="1:6" ht="80.25" customHeight="1" x14ac:dyDescent="0.2">
      <c r="B83" s="8" t="s">
        <v>113</v>
      </c>
    </row>
    <row r="84" spans="1:6" ht="94.5" customHeight="1" x14ac:dyDescent="0.2">
      <c r="B84" s="46" t="s">
        <v>114</v>
      </c>
    </row>
    <row r="85" spans="1:6" ht="107.25" customHeight="1" x14ac:dyDescent="0.2">
      <c r="A85" s="2" t="s">
        <v>115</v>
      </c>
      <c r="B85" s="3" t="s">
        <v>116</v>
      </c>
      <c r="C85" s="4" t="s">
        <v>1</v>
      </c>
      <c r="D85" s="5">
        <v>108</v>
      </c>
      <c r="E85" s="64">
        <v>108.905</v>
      </c>
      <c r="F85" s="5">
        <f>D85*E85</f>
        <v>11761.74</v>
      </c>
    </row>
    <row r="86" spans="1:6" ht="93.75" customHeight="1" x14ac:dyDescent="0.2">
      <c r="A86" s="2" t="s">
        <v>117</v>
      </c>
      <c r="B86" s="3" t="s">
        <v>118</v>
      </c>
      <c r="C86" s="4" t="s">
        <v>1</v>
      </c>
      <c r="D86" s="5">
        <v>13</v>
      </c>
      <c r="E86" s="64">
        <v>142.04999999999998</v>
      </c>
      <c r="F86" s="5">
        <f t="shared" ref="F86:F88" si="4">D86*E86</f>
        <v>1846.6499999999999</v>
      </c>
    </row>
    <row r="87" spans="1:6" ht="81.75" customHeight="1" x14ac:dyDescent="0.2">
      <c r="A87" s="2" t="s">
        <v>119</v>
      </c>
      <c r="B87" s="22" t="s">
        <v>121</v>
      </c>
      <c r="C87" s="4" t="s">
        <v>1</v>
      </c>
      <c r="D87" s="5">
        <v>91</v>
      </c>
      <c r="E87" s="64">
        <v>85.22999999999999</v>
      </c>
      <c r="F87" s="5">
        <f t="shared" si="4"/>
        <v>7755.9299999999994</v>
      </c>
    </row>
    <row r="88" spans="1:6" ht="69" customHeight="1" x14ac:dyDescent="0.2">
      <c r="A88" s="2" t="s">
        <v>120</v>
      </c>
      <c r="B88" s="22" t="s">
        <v>122</v>
      </c>
      <c r="C88" s="4" t="s">
        <v>1</v>
      </c>
      <c r="D88" s="5">
        <v>103</v>
      </c>
      <c r="E88" s="64">
        <v>119.32199999999999</v>
      </c>
      <c r="F88" s="5">
        <f t="shared" si="4"/>
        <v>12290.165999999999</v>
      </c>
    </row>
    <row r="89" spans="1:6" ht="6" customHeight="1" x14ac:dyDescent="0.2">
      <c r="C89" s="23"/>
    </row>
    <row r="90" spans="1:6" x14ac:dyDescent="0.2">
      <c r="B90" s="9" t="s">
        <v>108</v>
      </c>
      <c r="C90" s="10"/>
      <c r="D90" s="11"/>
      <c r="E90" s="11"/>
      <c r="F90" s="12">
        <f>SUM(F85:F89)</f>
        <v>33654.485999999997</v>
      </c>
    </row>
    <row r="91" spans="1:6" x14ac:dyDescent="0.2">
      <c r="C91" s="13"/>
    </row>
    <row r="92" spans="1:6" ht="15" x14ac:dyDescent="0.2">
      <c r="B92" s="24" t="s">
        <v>123</v>
      </c>
    </row>
    <row r="93" spans="1:6" ht="6" customHeight="1" x14ac:dyDescent="0.2">
      <c r="B93" s="15"/>
    </row>
    <row r="94" spans="1:6" ht="107.25" customHeight="1" x14ac:dyDescent="0.2">
      <c r="B94" s="39" t="s">
        <v>127</v>
      </c>
    </row>
    <row r="95" spans="1:6" ht="41.25" customHeight="1" x14ac:dyDescent="0.2">
      <c r="B95" s="3" t="s">
        <v>128</v>
      </c>
    </row>
    <row r="96" spans="1:6" ht="54.75" customHeight="1" x14ac:dyDescent="0.2">
      <c r="B96" s="3" t="s">
        <v>129</v>
      </c>
    </row>
    <row r="97" spans="1:6" ht="57" customHeight="1" x14ac:dyDescent="0.2">
      <c r="B97" s="3" t="s">
        <v>130</v>
      </c>
    </row>
    <row r="98" spans="1:6" ht="43.5" customHeight="1" x14ac:dyDescent="0.2">
      <c r="B98" s="3" t="s">
        <v>131</v>
      </c>
    </row>
    <row r="99" spans="1:6" ht="196.5" customHeight="1" x14ac:dyDescent="0.2">
      <c r="A99" s="2" t="s">
        <v>125</v>
      </c>
      <c r="B99" s="20" t="s">
        <v>133</v>
      </c>
      <c r="C99" s="4" t="s">
        <v>1</v>
      </c>
      <c r="D99" s="14">
        <v>170</v>
      </c>
      <c r="E99" s="64">
        <v>227.28</v>
      </c>
      <c r="F99" s="14">
        <f>D99*E99</f>
        <v>38637.599999999999</v>
      </c>
    </row>
    <row r="100" spans="1:6" ht="78.75" customHeight="1" x14ac:dyDescent="0.2">
      <c r="A100" s="2" t="s">
        <v>126</v>
      </c>
      <c r="B100" s="34" t="s">
        <v>132</v>
      </c>
      <c r="C100" s="4" t="s">
        <v>1</v>
      </c>
      <c r="D100" s="5">
        <v>38</v>
      </c>
      <c r="E100" s="64">
        <v>113.64</v>
      </c>
      <c r="F100" s="14">
        <f>D100*E100</f>
        <v>4318.32</v>
      </c>
    </row>
    <row r="101" spans="1:6" ht="6" customHeight="1" x14ac:dyDescent="0.2">
      <c r="F101" s="14"/>
    </row>
    <row r="102" spans="1:6" s="28" customFormat="1" x14ac:dyDescent="0.2">
      <c r="A102" s="27"/>
      <c r="B102" s="9" t="s">
        <v>124</v>
      </c>
      <c r="C102" s="10"/>
      <c r="D102" s="11"/>
      <c r="E102" s="11"/>
      <c r="F102" s="12">
        <f>SUM(F99:F101)</f>
        <v>42955.92</v>
      </c>
    </row>
    <row r="103" spans="1:6" x14ac:dyDescent="0.2">
      <c r="C103" s="13"/>
    </row>
    <row r="104" spans="1:6" ht="15" x14ac:dyDescent="0.2">
      <c r="B104" s="24" t="s">
        <v>134</v>
      </c>
    </row>
    <row r="105" spans="1:6" ht="6" customHeight="1" x14ac:dyDescent="0.2"/>
    <row r="106" spans="1:6" ht="69.75" customHeight="1" x14ac:dyDescent="0.2">
      <c r="B106" s="46" t="s">
        <v>22</v>
      </c>
    </row>
    <row r="107" spans="1:6" ht="106.5" customHeight="1" x14ac:dyDescent="0.2">
      <c r="A107" s="2" t="s">
        <v>135</v>
      </c>
      <c r="B107" s="3" t="s">
        <v>137</v>
      </c>
      <c r="C107" s="4" t="s">
        <v>1</v>
      </c>
      <c r="D107" s="5">
        <v>103</v>
      </c>
      <c r="E107" s="64">
        <v>104.17</v>
      </c>
      <c r="F107" s="5">
        <f>D107*E107</f>
        <v>10729.51</v>
      </c>
    </row>
    <row r="108" spans="1:6" ht="68.25" customHeight="1" x14ac:dyDescent="0.2">
      <c r="A108" s="2" t="s">
        <v>136</v>
      </c>
      <c r="B108" s="3" t="s">
        <v>138</v>
      </c>
      <c r="C108" s="4" t="s">
        <v>1</v>
      </c>
      <c r="D108" s="5">
        <v>100</v>
      </c>
      <c r="E108" s="64">
        <v>151.51999999999998</v>
      </c>
      <c r="F108" s="5">
        <f t="shared" ref="F108:F110" si="5">D108*E108</f>
        <v>15151.999999999998</v>
      </c>
    </row>
    <row r="109" spans="1:6" ht="84" customHeight="1" x14ac:dyDescent="0.2">
      <c r="A109" s="2" t="s">
        <v>143</v>
      </c>
      <c r="B109" s="3" t="s">
        <v>145</v>
      </c>
      <c r="C109" s="4" t="s">
        <v>1</v>
      </c>
      <c r="D109" s="5">
        <v>11</v>
      </c>
      <c r="E109" s="64">
        <v>94.699999999999989</v>
      </c>
      <c r="F109" s="5">
        <f t="shared" si="5"/>
        <v>1041.6999999999998</v>
      </c>
    </row>
    <row r="110" spans="1:6" ht="69" customHeight="1" x14ac:dyDescent="0.2">
      <c r="A110" s="2" t="s">
        <v>144</v>
      </c>
      <c r="B110" s="3" t="s">
        <v>146</v>
      </c>
      <c r="C110" s="4" t="s">
        <v>1</v>
      </c>
      <c r="D110" s="5">
        <v>11</v>
      </c>
      <c r="E110" s="64">
        <v>151.51999999999998</v>
      </c>
      <c r="F110" s="5">
        <f t="shared" si="5"/>
        <v>1666.7199999999998</v>
      </c>
    </row>
    <row r="111" spans="1:6" ht="6" customHeight="1" x14ac:dyDescent="0.2"/>
    <row r="112" spans="1:6" x14ac:dyDescent="0.2">
      <c r="B112" s="9" t="s">
        <v>161</v>
      </c>
      <c r="C112" s="10"/>
      <c r="D112" s="11"/>
      <c r="E112" s="11"/>
      <c r="F112" s="12">
        <f>SUM(F107:F111)</f>
        <v>28589.93</v>
      </c>
    </row>
    <row r="113" spans="2:3" x14ac:dyDescent="0.2">
      <c r="C113" s="25"/>
    </row>
    <row r="114" spans="2:3" x14ac:dyDescent="0.2">
      <c r="C114" s="13"/>
    </row>
    <row r="115" spans="2:3" x14ac:dyDescent="0.2">
      <c r="C115" s="13"/>
    </row>
    <row r="116" spans="2:3" x14ac:dyDescent="0.2">
      <c r="C116" s="13"/>
    </row>
    <row r="117" spans="2:3" x14ac:dyDescent="0.2">
      <c r="C117" s="13"/>
    </row>
    <row r="118" spans="2:3" x14ac:dyDescent="0.2">
      <c r="C118" s="13"/>
    </row>
    <row r="119" spans="2:3" x14ac:dyDescent="0.2">
      <c r="C119" s="13"/>
    </row>
    <row r="120" spans="2:3" x14ac:dyDescent="0.2">
      <c r="C120" s="13"/>
    </row>
    <row r="121" spans="2:3" x14ac:dyDescent="0.2">
      <c r="C121" s="13"/>
    </row>
    <row r="122" spans="2:3" ht="18" x14ac:dyDescent="0.2">
      <c r="B122" s="47" t="s">
        <v>141</v>
      </c>
      <c r="C122" s="13"/>
    </row>
    <row r="123" spans="2:3" x14ac:dyDescent="0.2">
      <c r="C123" s="13"/>
    </row>
    <row r="124" spans="2:3" ht="15" x14ac:dyDescent="0.2">
      <c r="B124" s="24" t="s">
        <v>142</v>
      </c>
      <c r="C124" s="31"/>
    </row>
    <row r="125" spans="2:3" ht="6" customHeight="1" x14ac:dyDescent="0.2">
      <c r="B125" s="15"/>
    </row>
    <row r="126" spans="2:3" ht="91.5" customHeight="1" x14ac:dyDescent="0.2">
      <c r="B126" s="46" t="s">
        <v>114</v>
      </c>
    </row>
    <row r="127" spans="2:3" ht="28.5" customHeight="1" x14ac:dyDescent="0.2">
      <c r="B127" s="3" t="s">
        <v>147</v>
      </c>
    </row>
    <row r="128" spans="2:3" ht="68.25" customHeight="1" x14ac:dyDescent="0.2">
      <c r="B128" s="3" t="s">
        <v>149</v>
      </c>
    </row>
    <row r="129" spans="1:6" ht="69" customHeight="1" x14ac:dyDescent="0.2">
      <c r="A129" s="2" t="s">
        <v>148</v>
      </c>
      <c r="B129" s="3" t="s">
        <v>155</v>
      </c>
      <c r="C129" s="4" t="s">
        <v>4</v>
      </c>
      <c r="D129" s="5">
        <v>28.2</v>
      </c>
      <c r="E129" s="6">
        <v>175.19499999999999</v>
      </c>
      <c r="F129" s="5">
        <f>D129*E129</f>
        <v>4940.4989999999998</v>
      </c>
    </row>
    <row r="130" spans="1:6" ht="56.25" customHeight="1" x14ac:dyDescent="0.2">
      <c r="A130" s="2" t="s">
        <v>150</v>
      </c>
      <c r="B130" s="3" t="s">
        <v>156</v>
      </c>
      <c r="C130" s="4" t="s">
        <v>4</v>
      </c>
      <c r="D130" s="5">
        <v>28.2</v>
      </c>
      <c r="E130" s="6">
        <v>203.60499999999999</v>
      </c>
      <c r="F130" s="5">
        <f t="shared" ref="F130:F134" si="6">D130*E130</f>
        <v>5741.6609999999991</v>
      </c>
    </row>
    <row r="131" spans="1:6" ht="53.25" customHeight="1" x14ac:dyDescent="0.2">
      <c r="A131" s="2" t="s">
        <v>151</v>
      </c>
      <c r="B131" s="3" t="s">
        <v>157</v>
      </c>
      <c r="C131" s="4" t="s">
        <v>4</v>
      </c>
      <c r="D131" s="5">
        <v>15</v>
      </c>
      <c r="E131" s="6">
        <v>160.98999999999998</v>
      </c>
      <c r="F131" s="5">
        <f t="shared" si="6"/>
        <v>2414.85</v>
      </c>
    </row>
    <row r="132" spans="1:6" ht="54.75" customHeight="1" x14ac:dyDescent="0.2">
      <c r="A132" s="2" t="s">
        <v>152</v>
      </c>
      <c r="B132" s="3" t="s">
        <v>158</v>
      </c>
      <c r="C132" s="4" t="s">
        <v>4</v>
      </c>
      <c r="D132" s="5">
        <v>3.3</v>
      </c>
      <c r="E132" s="6">
        <v>132.57999999999998</v>
      </c>
      <c r="F132" s="5">
        <f t="shared" si="6"/>
        <v>437.5139999999999</v>
      </c>
    </row>
    <row r="133" spans="1:6" ht="59.25" customHeight="1" x14ac:dyDescent="0.2">
      <c r="A133" s="2" t="s">
        <v>153</v>
      </c>
      <c r="B133" s="3" t="s">
        <v>159</v>
      </c>
      <c r="C133" s="4" t="s">
        <v>4</v>
      </c>
      <c r="D133" s="5">
        <v>7</v>
      </c>
      <c r="E133" s="6">
        <v>127.845</v>
      </c>
      <c r="F133" s="5">
        <f t="shared" si="6"/>
        <v>894.91499999999996</v>
      </c>
    </row>
    <row r="134" spans="1:6" ht="44.25" customHeight="1" x14ac:dyDescent="0.2">
      <c r="A134" s="2" t="s">
        <v>154</v>
      </c>
      <c r="B134" s="3" t="s">
        <v>160</v>
      </c>
      <c r="C134" s="4" t="s">
        <v>4</v>
      </c>
      <c r="D134" s="5">
        <v>9</v>
      </c>
      <c r="E134" s="6">
        <v>147.732</v>
      </c>
      <c r="F134" s="5">
        <f t="shared" si="6"/>
        <v>1329.588</v>
      </c>
    </row>
    <row r="135" spans="1:6" ht="6" customHeight="1" x14ac:dyDescent="0.2">
      <c r="E135" s="6"/>
    </row>
    <row r="136" spans="1:6" s="28" customFormat="1" x14ac:dyDescent="0.2">
      <c r="A136" s="27"/>
      <c r="B136" s="9" t="s">
        <v>162</v>
      </c>
      <c r="C136" s="10"/>
      <c r="D136" s="11"/>
      <c r="E136" s="67"/>
      <c r="F136" s="12">
        <f>SUM(F129:F135)</f>
        <v>15759.026999999998</v>
      </c>
    </row>
    <row r="137" spans="1:6" x14ac:dyDescent="0.2">
      <c r="C137" s="13"/>
      <c r="E137" s="6"/>
    </row>
    <row r="138" spans="1:6" ht="15" x14ac:dyDescent="0.2">
      <c r="B138" s="24" t="s">
        <v>163</v>
      </c>
      <c r="C138" s="13"/>
      <c r="E138" s="6"/>
    </row>
    <row r="139" spans="1:6" ht="6" customHeight="1" x14ac:dyDescent="0.2">
      <c r="E139" s="6"/>
    </row>
    <row r="140" spans="1:6" ht="69" customHeight="1" x14ac:dyDescent="0.2">
      <c r="B140" s="46" t="s">
        <v>22</v>
      </c>
      <c r="E140" s="6"/>
    </row>
    <row r="141" spans="1:6" ht="66" customHeight="1" x14ac:dyDescent="0.2">
      <c r="B141" s="3" t="s">
        <v>165</v>
      </c>
      <c r="E141" s="6"/>
    </row>
    <row r="142" spans="1:6" ht="96" customHeight="1" x14ac:dyDescent="0.2">
      <c r="A142" s="2" t="s">
        <v>166</v>
      </c>
      <c r="B142" s="26" t="s">
        <v>167</v>
      </c>
      <c r="C142" s="4" t="s">
        <v>1</v>
      </c>
      <c r="D142" s="5">
        <v>56</v>
      </c>
      <c r="E142" s="6">
        <v>340.91999999999996</v>
      </c>
      <c r="F142" s="5">
        <f>D142*E142</f>
        <v>19091.519999999997</v>
      </c>
    </row>
    <row r="143" spans="1:6" ht="81.75" customHeight="1" x14ac:dyDescent="0.2">
      <c r="A143" s="2" t="s">
        <v>169</v>
      </c>
      <c r="B143" s="26" t="s">
        <v>168</v>
      </c>
      <c r="C143" s="4" t="s">
        <v>4</v>
      </c>
      <c r="D143" s="5">
        <v>41.3</v>
      </c>
      <c r="E143" s="6">
        <v>71.024999999999991</v>
      </c>
      <c r="F143" s="5">
        <f t="shared" ref="F143:F146" si="7">D143*E143</f>
        <v>2933.3324999999995</v>
      </c>
    </row>
    <row r="144" spans="1:6" ht="117.75" customHeight="1" x14ac:dyDescent="0.2">
      <c r="A144" s="2" t="s">
        <v>170</v>
      </c>
      <c r="B144" s="26" t="s">
        <v>171</v>
      </c>
      <c r="C144" s="4" t="s">
        <v>1</v>
      </c>
      <c r="D144" s="5">
        <v>35</v>
      </c>
      <c r="E144" s="6">
        <v>359.85999999999996</v>
      </c>
      <c r="F144" s="5">
        <f t="shared" si="7"/>
        <v>12595.099999999999</v>
      </c>
    </row>
    <row r="145" spans="1:6" ht="96.75" customHeight="1" x14ac:dyDescent="0.2">
      <c r="A145" s="2" t="s">
        <v>172</v>
      </c>
      <c r="B145" s="26" t="s">
        <v>174</v>
      </c>
      <c r="C145" s="4" t="s">
        <v>1</v>
      </c>
      <c r="D145" s="5">
        <v>15</v>
      </c>
      <c r="E145" s="6">
        <v>340.91999999999996</v>
      </c>
      <c r="F145" s="5">
        <f t="shared" si="7"/>
        <v>5113.7999999999993</v>
      </c>
    </row>
    <row r="146" spans="1:6" ht="82.5" customHeight="1" x14ac:dyDescent="0.2">
      <c r="A146" s="2" t="s">
        <v>173</v>
      </c>
      <c r="B146" s="26" t="s">
        <v>175</v>
      </c>
      <c r="C146" s="4" t="s">
        <v>4</v>
      </c>
      <c r="D146" s="5">
        <v>6.7</v>
      </c>
      <c r="E146" s="6">
        <v>71.024999999999991</v>
      </c>
      <c r="F146" s="5">
        <f t="shared" si="7"/>
        <v>475.86749999999995</v>
      </c>
    </row>
    <row r="147" spans="1:6" ht="6" customHeight="1" x14ac:dyDescent="0.2">
      <c r="B147" s="26"/>
      <c r="E147" s="6"/>
    </row>
    <row r="148" spans="1:6" s="28" customFormat="1" ht="15" customHeight="1" x14ac:dyDescent="0.2">
      <c r="A148" s="27"/>
      <c r="B148" s="9" t="s">
        <v>164</v>
      </c>
      <c r="C148" s="10"/>
      <c r="D148" s="11"/>
      <c r="E148" s="67"/>
      <c r="F148" s="12">
        <f>SUM(F142:F147)</f>
        <v>40209.620000000003</v>
      </c>
    </row>
    <row r="149" spans="1:6" x14ac:dyDescent="0.2">
      <c r="C149" s="13"/>
      <c r="E149" s="6"/>
    </row>
    <row r="150" spans="1:6" ht="15" x14ac:dyDescent="0.2">
      <c r="B150" s="24" t="s">
        <v>176</v>
      </c>
      <c r="E150" s="6"/>
    </row>
    <row r="151" spans="1:6" ht="6" customHeight="1" x14ac:dyDescent="0.2">
      <c r="B151" s="15"/>
      <c r="E151" s="6"/>
    </row>
    <row r="152" spans="1:6" ht="67.5" customHeight="1" x14ac:dyDescent="0.2">
      <c r="B152" s="46" t="s">
        <v>22</v>
      </c>
      <c r="D152" s="14"/>
      <c r="E152" s="6"/>
      <c r="F152" s="14"/>
    </row>
    <row r="153" spans="1:6" ht="66" customHeight="1" x14ac:dyDescent="0.2">
      <c r="B153" s="20" t="s">
        <v>178</v>
      </c>
      <c r="D153" s="14"/>
      <c r="E153" s="6"/>
      <c r="F153" s="14"/>
    </row>
    <row r="154" spans="1:6" ht="42" customHeight="1" x14ac:dyDescent="0.2">
      <c r="B154" s="34" t="s">
        <v>179</v>
      </c>
      <c r="E154" s="6"/>
      <c r="F154" s="14"/>
    </row>
    <row r="155" spans="1:6" ht="70.5" customHeight="1" x14ac:dyDescent="0.2">
      <c r="A155" s="2" t="s">
        <v>180</v>
      </c>
      <c r="B155" s="3" t="s">
        <v>181</v>
      </c>
      <c r="C155" s="4" t="s">
        <v>1</v>
      </c>
      <c r="D155" s="5">
        <v>270</v>
      </c>
      <c r="E155" s="6">
        <v>42.614999999999995</v>
      </c>
      <c r="F155" s="14">
        <f>D155*E155</f>
        <v>11506.05</v>
      </c>
    </row>
    <row r="156" spans="1:6" ht="82.5" customHeight="1" x14ac:dyDescent="0.2">
      <c r="A156" s="2" t="s">
        <v>182</v>
      </c>
      <c r="B156" s="3" t="s">
        <v>183</v>
      </c>
      <c r="C156" s="4" t="s">
        <v>1</v>
      </c>
      <c r="D156" s="5">
        <v>91</v>
      </c>
      <c r="E156" s="6">
        <v>45.455999999999996</v>
      </c>
      <c r="F156" s="14">
        <f>D156*E156</f>
        <v>4136.4959999999992</v>
      </c>
    </row>
    <row r="157" spans="1:6" ht="6" customHeight="1" x14ac:dyDescent="0.2">
      <c r="E157" s="6"/>
      <c r="F157" s="14"/>
    </row>
    <row r="158" spans="1:6" s="28" customFormat="1" x14ac:dyDescent="0.2">
      <c r="A158" s="27"/>
      <c r="B158" s="9" t="s">
        <v>177</v>
      </c>
      <c r="C158" s="10"/>
      <c r="D158" s="11"/>
      <c r="E158" s="67"/>
      <c r="F158" s="12">
        <f>SUM(F155:F157)</f>
        <v>15642.545999999998</v>
      </c>
    </row>
    <row r="159" spans="1:6" x14ac:dyDescent="0.2">
      <c r="C159" s="13"/>
      <c r="E159" s="6"/>
    </row>
    <row r="160" spans="1:6" ht="15" customHeight="1" x14ac:dyDescent="0.2">
      <c r="B160" s="24" t="s">
        <v>184</v>
      </c>
      <c r="E160" s="6"/>
    </row>
    <row r="161" spans="1:6" ht="6" customHeight="1" x14ac:dyDescent="0.2">
      <c r="E161" s="6"/>
    </row>
    <row r="162" spans="1:6" ht="66.75" customHeight="1" x14ac:dyDescent="0.2">
      <c r="B162" s="46" t="s">
        <v>22</v>
      </c>
      <c r="E162" s="6"/>
    </row>
    <row r="163" spans="1:6" ht="42" customHeight="1" x14ac:dyDescent="0.2">
      <c r="B163" s="34" t="s">
        <v>179</v>
      </c>
      <c r="E163" s="6"/>
    </row>
    <row r="164" spans="1:6" ht="54.75" customHeight="1" x14ac:dyDescent="0.2">
      <c r="A164" s="2" t="s">
        <v>185</v>
      </c>
      <c r="B164" s="3" t="s">
        <v>186</v>
      </c>
      <c r="C164" s="4" t="s">
        <v>4</v>
      </c>
      <c r="D164" s="5">
        <v>8.5</v>
      </c>
      <c r="E164" s="6">
        <v>175.19499999999999</v>
      </c>
      <c r="F164" s="5">
        <f>D164*E164</f>
        <v>1489.1575</v>
      </c>
    </row>
    <row r="165" spans="1:6" ht="59.25" customHeight="1" x14ac:dyDescent="0.2">
      <c r="A165" s="2" t="s">
        <v>187</v>
      </c>
      <c r="B165" s="3" t="s">
        <v>188</v>
      </c>
      <c r="C165" s="4" t="s">
        <v>4</v>
      </c>
      <c r="D165" s="5">
        <v>8.5</v>
      </c>
      <c r="E165" s="6">
        <v>198.86999999999998</v>
      </c>
      <c r="F165" s="5">
        <f t="shared" ref="F165:F167" si="8">D165*E165</f>
        <v>1690.3949999999998</v>
      </c>
    </row>
    <row r="166" spans="1:6" ht="56.25" customHeight="1" x14ac:dyDescent="0.2">
      <c r="A166" s="2" t="s">
        <v>189</v>
      </c>
      <c r="B166" s="3" t="s">
        <v>190</v>
      </c>
      <c r="C166" s="4" t="s">
        <v>4</v>
      </c>
      <c r="D166" s="5">
        <v>3.7</v>
      </c>
      <c r="E166" s="6">
        <v>194.13499999999999</v>
      </c>
      <c r="F166" s="5">
        <f t="shared" si="8"/>
        <v>718.29949999999997</v>
      </c>
    </row>
    <row r="167" spans="1:6" ht="57.75" customHeight="1" x14ac:dyDescent="0.2">
      <c r="A167" s="2" t="s">
        <v>191</v>
      </c>
      <c r="B167" s="3" t="s">
        <v>7</v>
      </c>
      <c r="C167" s="4" t="s">
        <v>4</v>
      </c>
      <c r="D167" s="5">
        <v>3</v>
      </c>
      <c r="E167" s="6">
        <v>198.86999999999998</v>
      </c>
      <c r="F167" s="5">
        <f t="shared" si="8"/>
        <v>596.6099999999999</v>
      </c>
    </row>
    <row r="168" spans="1:6" ht="6" customHeight="1" x14ac:dyDescent="0.2">
      <c r="E168" s="6"/>
    </row>
    <row r="169" spans="1:6" x14ac:dyDescent="0.2">
      <c r="B169" s="9" t="s">
        <v>194</v>
      </c>
      <c r="C169" s="10"/>
      <c r="D169" s="29"/>
      <c r="E169" s="67"/>
      <c r="F169" s="30">
        <f>SUM(F164:F168)</f>
        <v>4494.4619999999995</v>
      </c>
    </row>
    <row r="170" spans="1:6" x14ac:dyDescent="0.2">
      <c r="B170" s="21"/>
      <c r="C170" s="31"/>
      <c r="D170" s="32"/>
      <c r="E170" s="6"/>
      <c r="F170" s="33"/>
    </row>
    <row r="171" spans="1:6" ht="15" x14ac:dyDescent="0.2">
      <c r="B171" s="24" t="s">
        <v>192</v>
      </c>
      <c r="C171" s="13"/>
      <c r="E171" s="6"/>
    </row>
    <row r="172" spans="1:6" ht="6" customHeight="1" x14ac:dyDescent="0.2">
      <c r="B172" s="15"/>
      <c r="E172" s="6"/>
    </row>
    <row r="173" spans="1:6" ht="66.75" customHeight="1" x14ac:dyDescent="0.2">
      <c r="B173" s="46" t="s">
        <v>22</v>
      </c>
      <c r="E173" s="6"/>
    </row>
    <row r="174" spans="1:6" ht="43.5" customHeight="1" x14ac:dyDescent="0.2">
      <c r="B174" s="3" t="s">
        <v>195</v>
      </c>
      <c r="E174" s="6"/>
    </row>
    <row r="175" spans="1:6" ht="82.5" customHeight="1" x14ac:dyDescent="0.2">
      <c r="A175" s="2" t="s">
        <v>196</v>
      </c>
      <c r="B175" s="3" t="s">
        <v>197</v>
      </c>
      <c r="C175" s="4" t="s">
        <v>0</v>
      </c>
      <c r="D175" s="5">
        <v>1</v>
      </c>
      <c r="E175" s="6">
        <v>5492.5999999999995</v>
      </c>
      <c r="F175" s="5">
        <f>D175*E175</f>
        <v>5492.5999999999995</v>
      </c>
    </row>
    <row r="176" spans="1:6" ht="91.5" customHeight="1" x14ac:dyDescent="0.2">
      <c r="A176" s="2" t="s">
        <v>198</v>
      </c>
      <c r="B176" s="3" t="s">
        <v>199</v>
      </c>
      <c r="E176" s="6"/>
    </row>
    <row r="177" spans="1:6" ht="12.75" customHeight="1" x14ac:dyDescent="0.2">
      <c r="B177" s="15" t="s">
        <v>200</v>
      </c>
      <c r="E177" s="6"/>
    </row>
    <row r="178" spans="1:6" ht="28.5" customHeight="1" x14ac:dyDescent="0.2">
      <c r="A178" s="2" t="s">
        <v>201</v>
      </c>
      <c r="B178" s="3" t="s">
        <v>216</v>
      </c>
      <c r="C178" s="4" t="s">
        <v>0</v>
      </c>
      <c r="D178" s="5">
        <v>1</v>
      </c>
      <c r="E178" s="6">
        <v>4356.2</v>
      </c>
      <c r="F178" s="5">
        <f>D178*E178</f>
        <v>4356.2</v>
      </c>
    </row>
    <row r="179" spans="1:6" ht="28.5" customHeight="1" x14ac:dyDescent="0.2">
      <c r="A179" s="2" t="s">
        <v>202</v>
      </c>
      <c r="B179" s="3" t="s">
        <v>217</v>
      </c>
      <c r="C179" s="4" t="s">
        <v>0</v>
      </c>
      <c r="D179" s="5">
        <v>1</v>
      </c>
      <c r="E179" s="6">
        <v>5303.2</v>
      </c>
      <c r="F179" s="5">
        <f t="shared" ref="F179:F186" si="9">D179*E179</f>
        <v>5303.2</v>
      </c>
    </row>
    <row r="180" spans="1:6" ht="30.75" customHeight="1" x14ac:dyDescent="0.2">
      <c r="A180" s="2" t="s">
        <v>203</v>
      </c>
      <c r="B180" s="3" t="s">
        <v>218</v>
      </c>
      <c r="C180" s="4" t="s">
        <v>0</v>
      </c>
      <c r="D180" s="5">
        <v>1</v>
      </c>
      <c r="E180" s="6">
        <v>4924.3999999999996</v>
      </c>
      <c r="F180" s="5">
        <f t="shared" si="9"/>
        <v>4924.3999999999996</v>
      </c>
    </row>
    <row r="181" spans="1:6" ht="30.75" customHeight="1" x14ac:dyDescent="0.2">
      <c r="A181" s="2" t="s">
        <v>204</v>
      </c>
      <c r="B181" s="3" t="s">
        <v>219</v>
      </c>
      <c r="C181" s="4" t="s">
        <v>0</v>
      </c>
      <c r="D181" s="5">
        <v>2</v>
      </c>
      <c r="E181" s="6">
        <v>3503.8999999999996</v>
      </c>
      <c r="F181" s="5">
        <f t="shared" si="9"/>
        <v>7007.7999999999993</v>
      </c>
    </row>
    <row r="182" spans="1:6" ht="30.75" customHeight="1" x14ac:dyDescent="0.2">
      <c r="A182" s="2" t="s">
        <v>205</v>
      </c>
      <c r="B182" s="3" t="s">
        <v>220</v>
      </c>
      <c r="C182" s="4" t="s">
        <v>0</v>
      </c>
      <c r="D182" s="5">
        <v>1</v>
      </c>
      <c r="E182" s="6">
        <v>7102.5</v>
      </c>
      <c r="F182" s="5">
        <f t="shared" si="9"/>
        <v>7102.5</v>
      </c>
    </row>
    <row r="183" spans="1:6" ht="32.25" customHeight="1" x14ac:dyDescent="0.2">
      <c r="A183" s="2" t="s">
        <v>206</v>
      </c>
      <c r="B183" s="3" t="s">
        <v>221</v>
      </c>
      <c r="C183" s="4" t="s">
        <v>0</v>
      </c>
      <c r="D183" s="5">
        <v>1</v>
      </c>
      <c r="E183" s="6">
        <v>3882.7</v>
      </c>
      <c r="F183" s="5">
        <f t="shared" si="9"/>
        <v>3882.7</v>
      </c>
    </row>
    <row r="184" spans="1:6" ht="12.75" customHeight="1" x14ac:dyDescent="0.2">
      <c r="B184" s="15" t="s">
        <v>207</v>
      </c>
      <c r="E184" s="6"/>
    </row>
    <row r="185" spans="1:6" ht="18.75" customHeight="1" x14ac:dyDescent="0.2">
      <c r="A185" s="2" t="s">
        <v>208</v>
      </c>
      <c r="B185" s="3" t="s">
        <v>222</v>
      </c>
      <c r="C185" s="4" t="s">
        <v>0</v>
      </c>
      <c r="D185" s="5">
        <v>1</v>
      </c>
      <c r="E185" s="6">
        <v>8144.2</v>
      </c>
      <c r="F185" s="5">
        <f t="shared" si="9"/>
        <v>8144.2</v>
      </c>
    </row>
    <row r="186" spans="1:6" ht="81.75" customHeight="1" x14ac:dyDescent="0.2">
      <c r="A186" s="2" t="s">
        <v>209</v>
      </c>
      <c r="B186" s="3" t="s">
        <v>210</v>
      </c>
      <c r="C186" s="4" t="s">
        <v>4</v>
      </c>
      <c r="D186" s="5">
        <v>9.8000000000000007</v>
      </c>
      <c r="E186" s="6">
        <v>947</v>
      </c>
      <c r="F186" s="5">
        <f t="shared" si="9"/>
        <v>9280.6</v>
      </c>
    </row>
    <row r="187" spans="1:6" ht="6" customHeight="1" x14ac:dyDescent="0.2">
      <c r="E187" s="6"/>
    </row>
    <row r="188" spans="1:6" x14ac:dyDescent="0.2">
      <c r="B188" s="37" t="s">
        <v>193</v>
      </c>
      <c r="C188" s="10"/>
      <c r="D188" s="29"/>
      <c r="E188" s="67"/>
      <c r="F188" s="12">
        <f>SUM(F178:F187)</f>
        <v>50001.599999999999</v>
      </c>
    </row>
    <row r="189" spans="1:6" x14ac:dyDescent="0.2">
      <c r="C189" s="38"/>
      <c r="E189" s="6"/>
    </row>
    <row r="190" spans="1:6" ht="15" x14ac:dyDescent="0.2">
      <c r="B190" s="24" t="s">
        <v>211</v>
      </c>
      <c r="C190" s="31"/>
      <c r="E190" s="6"/>
    </row>
    <row r="191" spans="1:6" ht="6" customHeight="1" x14ac:dyDescent="0.2">
      <c r="B191" s="15"/>
      <c r="E191" s="6"/>
    </row>
    <row r="192" spans="1:6" ht="67.5" customHeight="1" x14ac:dyDescent="0.2">
      <c r="B192" s="46" t="s">
        <v>22</v>
      </c>
      <c r="E192" s="6"/>
    </row>
    <row r="193" spans="1:6" ht="43.5" customHeight="1" x14ac:dyDescent="0.2">
      <c r="B193" s="3" t="s">
        <v>213</v>
      </c>
      <c r="E193" s="6"/>
    </row>
    <row r="194" spans="1:6" ht="92.25" customHeight="1" x14ac:dyDescent="0.2">
      <c r="A194" s="2" t="s">
        <v>214</v>
      </c>
      <c r="B194" s="3" t="s">
        <v>215</v>
      </c>
      <c r="E194" s="6"/>
    </row>
    <row r="195" spans="1:6" ht="12.75" customHeight="1" x14ac:dyDescent="0.2">
      <c r="A195" s="2" t="s">
        <v>201</v>
      </c>
      <c r="B195" s="3" t="s">
        <v>224</v>
      </c>
      <c r="C195" s="4" t="s">
        <v>0</v>
      </c>
      <c r="D195" s="5">
        <v>1</v>
      </c>
      <c r="E195" s="6">
        <v>2717.89</v>
      </c>
      <c r="F195" s="5">
        <f>D195*E195</f>
        <v>2717.89</v>
      </c>
    </row>
    <row r="196" spans="1:6" ht="12.75" customHeight="1" x14ac:dyDescent="0.2">
      <c r="A196" s="2" t="s">
        <v>202</v>
      </c>
      <c r="B196" s="3" t="s">
        <v>223</v>
      </c>
      <c r="C196" s="4" t="s">
        <v>0</v>
      </c>
      <c r="D196" s="5">
        <v>1</v>
      </c>
      <c r="E196" s="6">
        <v>2509.5499999999997</v>
      </c>
      <c r="F196" s="5">
        <f t="shared" ref="F196:F200" si="10">D196*E196</f>
        <v>2509.5499999999997</v>
      </c>
    </row>
    <row r="197" spans="1:6" ht="12.75" customHeight="1" x14ac:dyDescent="0.2">
      <c r="A197" s="2" t="s">
        <v>203</v>
      </c>
      <c r="B197" s="3" t="s">
        <v>226</v>
      </c>
      <c r="C197" s="4" t="s">
        <v>0</v>
      </c>
      <c r="D197" s="5">
        <v>1</v>
      </c>
      <c r="E197" s="6">
        <v>3030.3999999999996</v>
      </c>
      <c r="F197" s="5">
        <f t="shared" si="10"/>
        <v>3030.3999999999996</v>
      </c>
    </row>
    <row r="198" spans="1:6" ht="12.75" customHeight="1" x14ac:dyDescent="0.2">
      <c r="A198" s="2" t="s">
        <v>204</v>
      </c>
      <c r="B198" s="3" t="s">
        <v>225</v>
      </c>
      <c r="C198" s="4" t="s">
        <v>0</v>
      </c>
      <c r="D198" s="5">
        <v>1</v>
      </c>
      <c r="E198" s="6">
        <v>2509.5499999999997</v>
      </c>
      <c r="F198" s="5">
        <f t="shared" si="10"/>
        <v>2509.5499999999997</v>
      </c>
    </row>
    <row r="199" spans="1:6" ht="12.75" customHeight="1" x14ac:dyDescent="0.2">
      <c r="A199" s="2" t="s">
        <v>205</v>
      </c>
      <c r="B199" s="3" t="s">
        <v>227</v>
      </c>
      <c r="C199" s="4" t="s">
        <v>0</v>
      </c>
      <c r="D199" s="5">
        <v>1</v>
      </c>
      <c r="E199" s="6">
        <v>2320.15</v>
      </c>
      <c r="F199" s="5">
        <f t="shared" si="10"/>
        <v>2320.15</v>
      </c>
    </row>
    <row r="200" spans="1:6" ht="12.75" customHeight="1" x14ac:dyDescent="0.2">
      <c r="A200" s="2" t="s">
        <v>206</v>
      </c>
      <c r="B200" s="3" t="s">
        <v>228</v>
      </c>
      <c r="C200" s="4" t="s">
        <v>0</v>
      </c>
      <c r="D200" s="5">
        <v>1</v>
      </c>
      <c r="E200" s="6">
        <v>2320.15</v>
      </c>
      <c r="F200" s="5">
        <f t="shared" si="10"/>
        <v>2320.15</v>
      </c>
    </row>
    <row r="201" spans="1:6" ht="6" customHeight="1" x14ac:dyDescent="0.2"/>
    <row r="202" spans="1:6" s="28" customFormat="1" x14ac:dyDescent="0.2">
      <c r="A202" s="27"/>
      <c r="B202" s="9" t="s">
        <v>212</v>
      </c>
      <c r="C202" s="10"/>
      <c r="D202" s="11"/>
      <c r="E202" s="11"/>
      <c r="F202" s="12">
        <f>SUM(F195:F201)</f>
        <v>15407.689999999999</v>
      </c>
    </row>
    <row r="203" spans="1:6" x14ac:dyDescent="0.2">
      <c r="C203" s="25"/>
    </row>
    <row r="204" spans="1:6" ht="15" customHeight="1" x14ac:dyDescent="0.2">
      <c r="B204" s="35" t="s">
        <v>229</v>
      </c>
      <c r="C204" s="13"/>
    </row>
    <row r="205" spans="1:6" ht="6" customHeight="1" x14ac:dyDescent="0.2">
      <c r="B205" s="36"/>
    </row>
    <row r="206" spans="1:6" ht="70.5" customHeight="1" x14ac:dyDescent="0.2">
      <c r="B206" s="46" t="s">
        <v>22</v>
      </c>
    </row>
    <row r="207" spans="1:6" ht="43.5" customHeight="1" x14ac:dyDescent="0.2">
      <c r="A207" s="2" t="s">
        <v>231</v>
      </c>
      <c r="B207" s="3" t="s">
        <v>232</v>
      </c>
      <c r="C207" s="4" t="s">
        <v>1</v>
      </c>
      <c r="D207" s="5">
        <v>34</v>
      </c>
      <c r="E207" s="6">
        <v>156.255</v>
      </c>
      <c r="F207" s="5">
        <f>D207*E207</f>
        <v>5312.67</v>
      </c>
    </row>
    <row r="208" spans="1:6" ht="6" customHeight="1" x14ac:dyDescent="0.2"/>
    <row r="209" spans="1:6" s="28" customFormat="1" x14ac:dyDescent="0.2">
      <c r="A209" s="27"/>
      <c r="B209" s="9" t="s">
        <v>230</v>
      </c>
      <c r="C209" s="10"/>
      <c r="D209" s="11"/>
      <c r="E209" s="11"/>
      <c r="F209" s="12">
        <f>SUM(F207:F208)</f>
        <v>5312.67</v>
      </c>
    </row>
    <row r="210" spans="1:6" x14ac:dyDescent="0.2">
      <c r="C210" s="8"/>
    </row>
    <row r="211" spans="1:6" x14ac:dyDescent="0.2">
      <c r="C211" s="8"/>
    </row>
    <row r="212" spans="1:6" x14ac:dyDescent="0.2">
      <c r="C212" s="8"/>
    </row>
    <row r="213" spans="1:6" x14ac:dyDescent="0.2">
      <c r="C213" s="8"/>
    </row>
    <row r="214" spans="1:6" x14ac:dyDescent="0.2">
      <c r="C214" s="8"/>
    </row>
    <row r="215" spans="1:6" x14ac:dyDescent="0.2">
      <c r="C215" s="8"/>
    </row>
    <row r="216" spans="1:6" x14ac:dyDescent="0.2">
      <c r="C216" s="8"/>
    </row>
    <row r="217" spans="1:6" x14ac:dyDescent="0.2">
      <c r="C217" s="13"/>
    </row>
    <row r="222" spans="1:6" s="28" customFormat="1" x14ac:dyDescent="0.2">
      <c r="A222" s="27"/>
      <c r="B222" s="39"/>
      <c r="C222" s="4"/>
      <c r="D222" s="40"/>
      <c r="E222" s="40"/>
      <c r="F222" s="40"/>
    </row>
    <row r="223" spans="1:6" s="28" customFormat="1" x14ac:dyDescent="0.2">
      <c r="A223" s="27"/>
      <c r="B223" s="39"/>
      <c r="C223" s="4"/>
      <c r="D223" s="40"/>
      <c r="E223" s="40"/>
      <c r="F223" s="40"/>
    </row>
    <row r="225" spans="2:6" ht="20.25" x14ac:dyDescent="0.2">
      <c r="B225" s="48" t="s">
        <v>139</v>
      </c>
    </row>
    <row r="226" spans="2:6" ht="12.75" customHeight="1" x14ac:dyDescent="0.2"/>
    <row r="227" spans="2:6" ht="15.75" x14ac:dyDescent="0.2">
      <c r="B227" s="52" t="s">
        <v>8</v>
      </c>
    </row>
    <row r="228" spans="2:6" ht="7.5" customHeight="1" x14ac:dyDescent="0.2"/>
    <row r="229" spans="2:6" ht="15" x14ac:dyDescent="0.25">
      <c r="B229" s="50" t="s">
        <v>9</v>
      </c>
      <c r="C229" s="49" t="s">
        <v>140</v>
      </c>
      <c r="F229" s="42">
        <f>SUM(F14)</f>
        <v>11553.4</v>
      </c>
    </row>
    <row r="230" spans="2:6" ht="6" customHeight="1" x14ac:dyDescent="0.25">
      <c r="F230" s="42"/>
    </row>
    <row r="231" spans="2:6" ht="15" x14ac:dyDescent="0.25">
      <c r="B231" s="50" t="s">
        <v>23</v>
      </c>
      <c r="C231" s="49" t="s">
        <v>140</v>
      </c>
      <c r="F231" s="42">
        <f>SUM(F23)</f>
        <v>24754.579999999994</v>
      </c>
    </row>
    <row r="232" spans="2:6" ht="6" customHeight="1" x14ac:dyDescent="0.25">
      <c r="F232" s="42"/>
    </row>
    <row r="233" spans="2:6" ht="15" x14ac:dyDescent="0.25">
      <c r="B233" s="50" t="s">
        <v>32</v>
      </c>
      <c r="C233" s="49" t="s">
        <v>140</v>
      </c>
      <c r="F233" s="42">
        <f>SUM(F51)</f>
        <v>116216.787</v>
      </c>
    </row>
    <row r="234" spans="2:6" ht="6" customHeight="1" x14ac:dyDescent="0.25">
      <c r="F234" s="42"/>
    </row>
    <row r="235" spans="2:6" ht="15" x14ac:dyDescent="0.25">
      <c r="B235" s="50" t="s">
        <v>77</v>
      </c>
      <c r="C235" s="49" t="s">
        <v>140</v>
      </c>
      <c r="F235" s="42">
        <f>SUM(F59)</f>
        <v>93753</v>
      </c>
    </row>
    <row r="236" spans="2:6" ht="6" customHeight="1" x14ac:dyDescent="0.25">
      <c r="F236" s="42"/>
    </row>
    <row r="237" spans="2:6" ht="15" x14ac:dyDescent="0.25">
      <c r="B237" s="51" t="s">
        <v>81</v>
      </c>
      <c r="C237" s="49" t="s">
        <v>140</v>
      </c>
      <c r="F237" s="42">
        <f>SUM(F75)</f>
        <v>95476.540000000008</v>
      </c>
    </row>
    <row r="238" spans="2:6" ht="6" customHeight="1" x14ac:dyDescent="0.25">
      <c r="F238" s="42"/>
    </row>
    <row r="239" spans="2:6" ht="15" x14ac:dyDescent="0.25">
      <c r="B239" s="50" t="s">
        <v>107</v>
      </c>
      <c r="C239" s="49" t="s">
        <v>140</v>
      </c>
      <c r="F239" s="42">
        <f>SUM(F90)</f>
        <v>33654.485999999997</v>
      </c>
    </row>
    <row r="240" spans="2:6" ht="6" customHeight="1" x14ac:dyDescent="0.25">
      <c r="F240" s="42"/>
    </row>
    <row r="241" spans="2:6" ht="15" x14ac:dyDescent="0.25">
      <c r="B241" s="41" t="s">
        <v>123</v>
      </c>
      <c r="C241" s="49" t="s">
        <v>140</v>
      </c>
      <c r="F241" s="42">
        <f>SUM(F102)</f>
        <v>42955.92</v>
      </c>
    </row>
    <row r="242" spans="2:6" ht="6" customHeight="1" x14ac:dyDescent="0.25">
      <c r="F242" s="42"/>
    </row>
    <row r="243" spans="2:6" ht="15" x14ac:dyDescent="0.25">
      <c r="B243" s="41" t="s">
        <v>134</v>
      </c>
      <c r="C243" s="49" t="s">
        <v>140</v>
      </c>
      <c r="F243" s="42">
        <f>SUM(F112)</f>
        <v>28589.93</v>
      </c>
    </row>
    <row r="244" spans="2:6" ht="6.75" customHeight="1" x14ac:dyDescent="0.2"/>
    <row r="245" spans="2:6" ht="15.75" x14ac:dyDescent="0.25">
      <c r="B245" s="54" t="s">
        <v>8</v>
      </c>
      <c r="C245" s="59" t="s">
        <v>140</v>
      </c>
      <c r="D245" s="55"/>
      <c r="E245" s="55"/>
      <c r="F245" s="66">
        <f>SUM(F229:F243)</f>
        <v>446954.64299999998</v>
      </c>
    </row>
    <row r="249" spans="2:6" ht="15.75" x14ac:dyDescent="0.2">
      <c r="B249" s="52" t="s">
        <v>141</v>
      </c>
    </row>
    <row r="250" spans="2:6" ht="6" customHeight="1" x14ac:dyDescent="0.2"/>
    <row r="251" spans="2:6" ht="15" x14ac:dyDescent="0.25">
      <c r="B251" s="41" t="s">
        <v>142</v>
      </c>
      <c r="C251" s="49" t="s">
        <v>140</v>
      </c>
      <c r="F251" s="42">
        <f>SUM(F136)</f>
        <v>15759.026999999998</v>
      </c>
    </row>
    <row r="252" spans="2:6" ht="6" customHeight="1" x14ac:dyDescent="0.25">
      <c r="F252" s="42"/>
    </row>
    <row r="253" spans="2:6" ht="15" x14ac:dyDescent="0.25">
      <c r="B253" s="41" t="s">
        <v>163</v>
      </c>
      <c r="C253" s="49" t="s">
        <v>140</v>
      </c>
      <c r="F253" s="42">
        <f>SUM(F148)</f>
        <v>40209.620000000003</v>
      </c>
    </row>
    <row r="254" spans="2:6" ht="6" customHeight="1" x14ac:dyDescent="0.25">
      <c r="F254" s="42"/>
    </row>
    <row r="255" spans="2:6" ht="15" x14ac:dyDescent="0.25">
      <c r="B255" s="41" t="s">
        <v>176</v>
      </c>
      <c r="C255" s="49" t="s">
        <v>140</v>
      </c>
      <c r="F255" s="42">
        <f>SUM(F158)</f>
        <v>15642.545999999998</v>
      </c>
    </row>
    <row r="256" spans="2:6" ht="6" customHeight="1" x14ac:dyDescent="0.25">
      <c r="F256" s="42"/>
    </row>
    <row r="257" spans="2:6" ht="15" x14ac:dyDescent="0.25">
      <c r="B257" s="41" t="s">
        <v>184</v>
      </c>
      <c r="C257" s="49" t="s">
        <v>140</v>
      </c>
      <c r="F257" s="42">
        <f>SUM(F169)</f>
        <v>4494.4619999999995</v>
      </c>
    </row>
    <row r="258" spans="2:6" ht="6" customHeight="1" x14ac:dyDescent="0.25">
      <c r="F258" s="42"/>
    </row>
    <row r="259" spans="2:6" ht="15" x14ac:dyDescent="0.25">
      <c r="B259" s="41" t="s">
        <v>192</v>
      </c>
      <c r="C259" s="49" t="s">
        <v>140</v>
      </c>
      <c r="F259" s="42">
        <f>SUM(F188)</f>
        <v>50001.599999999999</v>
      </c>
    </row>
    <row r="260" spans="2:6" ht="6" customHeight="1" x14ac:dyDescent="0.25">
      <c r="F260" s="42"/>
    </row>
    <row r="261" spans="2:6" ht="15" x14ac:dyDescent="0.25">
      <c r="B261" s="41" t="s">
        <v>211</v>
      </c>
      <c r="C261" s="49" t="s">
        <v>140</v>
      </c>
      <c r="F261" s="42">
        <f>SUM(F202)</f>
        <v>15407.689999999999</v>
      </c>
    </row>
    <row r="262" spans="2:6" ht="6" customHeight="1" x14ac:dyDescent="0.25">
      <c r="F262" s="42"/>
    </row>
    <row r="263" spans="2:6" ht="15" x14ac:dyDescent="0.25">
      <c r="B263" s="56" t="s">
        <v>229</v>
      </c>
      <c r="C263" s="49" t="s">
        <v>140</v>
      </c>
      <c r="F263" s="42">
        <f>SUM(F209)</f>
        <v>5312.67</v>
      </c>
    </row>
    <row r="264" spans="2:6" ht="6" customHeight="1" x14ac:dyDescent="0.2"/>
    <row r="265" spans="2:6" ht="15.75" x14ac:dyDescent="0.25">
      <c r="B265" s="54" t="s">
        <v>141</v>
      </c>
      <c r="C265" s="59" t="s">
        <v>140</v>
      </c>
      <c r="D265" s="55"/>
      <c r="E265" s="55"/>
      <c r="F265" s="66">
        <f>SUM(F251:F263)</f>
        <v>146827.61500000002</v>
      </c>
    </row>
    <row r="266" spans="2:6" ht="15.75" x14ac:dyDescent="0.25">
      <c r="B266" s="54"/>
      <c r="C266" s="59"/>
      <c r="D266" s="14"/>
      <c r="E266" s="14"/>
      <c r="F266" s="66"/>
    </row>
    <row r="267" spans="2:6" ht="15.75" x14ac:dyDescent="0.25">
      <c r="B267" s="60" t="s">
        <v>238</v>
      </c>
      <c r="C267" s="59" t="s">
        <v>140</v>
      </c>
      <c r="F267" s="66">
        <f>SUM(F265+F245)</f>
        <v>593782.25800000003</v>
      </c>
    </row>
    <row r="299" spans="2:6" ht="15.75" x14ac:dyDescent="0.2">
      <c r="B299" s="52" t="s">
        <v>233</v>
      </c>
    </row>
    <row r="300" spans="2:6" ht="6" customHeight="1" x14ac:dyDescent="0.2"/>
    <row r="301" spans="2:6" ht="15" x14ac:dyDescent="0.25">
      <c r="B301" s="41" t="s">
        <v>241</v>
      </c>
      <c r="C301" s="49" t="s">
        <v>140</v>
      </c>
      <c r="F301" s="42">
        <v>71598.5</v>
      </c>
    </row>
    <row r="302" spans="2:6" ht="6" customHeight="1" x14ac:dyDescent="0.2"/>
    <row r="303" spans="2:6" ht="15" x14ac:dyDescent="0.25">
      <c r="B303" s="41" t="s">
        <v>235</v>
      </c>
      <c r="C303" s="49" t="s">
        <v>140</v>
      </c>
      <c r="F303" s="42">
        <v>60997</v>
      </c>
    </row>
    <row r="304" spans="2:6" ht="6" customHeight="1" x14ac:dyDescent="0.2"/>
    <row r="305" spans="2:6" ht="15" x14ac:dyDescent="0.25">
      <c r="B305" s="41" t="s">
        <v>242</v>
      </c>
      <c r="C305" s="49" t="s">
        <v>140</v>
      </c>
      <c r="F305" s="42">
        <v>18977</v>
      </c>
    </row>
    <row r="306" spans="2:6" ht="6" customHeight="1" x14ac:dyDescent="0.2"/>
    <row r="307" spans="2:6" ht="15.75" x14ac:dyDescent="0.25">
      <c r="B307" s="54" t="s">
        <v>233</v>
      </c>
      <c r="C307" s="59" t="s">
        <v>140</v>
      </c>
      <c r="D307" s="55"/>
      <c r="E307" s="55"/>
      <c r="F307" s="43">
        <f>SUM(F301:F306)</f>
        <v>151572.5</v>
      </c>
    </row>
    <row r="309" spans="2:6" x14ac:dyDescent="0.2">
      <c r="C309" s="8"/>
    </row>
    <row r="310" spans="2:6" x14ac:dyDescent="0.2">
      <c r="C310" s="8"/>
    </row>
    <row r="311" spans="2:6" x14ac:dyDescent="0.2">
      <c r="C311" s="8"/>
    </row>
    <row r="314" spans="2:6" ht="13.5" thickBot="1" x14ac:dyDescent="0.25"/>
    <row r="315" spans="2:6" ht="21" thickBot="1" x14ac:dyDescent="0.25">
      <c r="B315" s="57" t="s">
        <v>237</v>
      </c>
    </row>
    <row r="317" spans="2:6" ht="15.75" x14ac:dyDescent="0.25">
      <c r="B317" s="53" t="s">
        <v>8</v>
      </c>
      <c r="C317" s="58" t="s">
        <v>140</v>
      </c>
      <c r="D317" s="14"/>
      <c r="E317" s="14"/>
      <c r="F317" s="65">
        <f>SUM(F245)</f>
        <v>446954.64299999998</v>
      </c>
    </row>
    <row r="319" spans="2:6" ht="15.75" x14ac:dyDescent="0.25">
      <c r="B319" s="53" t="s">
        <v>141</v>
      </c>
      <c r="C319" s="58" t="s">
        <v>140</v>
      </c>
      <c r="D319" s="14"/>
      <c r="E319" s="14"/>
      <c r="F319" s="65">
        <f>SUM(F265)</f>
        <v>146827.61500000002</v>
      </c>
    </row>
    <row r="321" spans="1:6" ht="15.75" x14ac:dyDescent="0.25">
      <c r="B321" s="53" t="s">
        <v>233</v>
      </c>
      <c r="C321" s="58" t="s">
        <v>140</v>
      </c>
      <c r="D321" s="14"/>
      <c r="E321" s="14"/>
      <c r="F321" s="63">
        <f>SUM(F307)</f>
        <v>151572.5</v>
      </c>
    </row>
    <row r="323" spans="1:6" s="1" customFormat="1" ht="15.75" x14ac:dyDescent="0.25">
      <c r="A323" s="61"/>
      <c r="B323" s="60" t="s">
        <v>238</v>
      </c>
      <c r="C323" s="59" t="s">
        <v>140</v>
      </c>
      <c r="D323" s="62"/>
      <c r="E323" s="62"/>
      <c r="F323" s="62">
        <f>SUM(F317:F322)</f>
        <v>745354.75800000003</v>
      </c>
    </row>
    <row r="325" spans="1:6" s="1" customFormat="1" ht="15.75" x14ac:dyDescent="0.25">
      <c r="A325" s="61"/>
      <c r="B325" s="60" t="s">
        <v>239</v>
      </c>
      <c r="C325" s="59" t="s">
        <v>140</v>
      </c>
      <c r="D325" s="62"/>
      <c r="E325" s="62"/>
      <c r="F325" s="62">
        <f>F323*25%</f>
        <v>186338.68950000001</v>
      </c>
    </row>
    <row r="327" spans="1:6" s="1" customFormat="1" ht="15.75" x14ac:dyDescent="0.25">
      <c r="A327" s="61"/>
      <c r="B327" s="60" t="s">
        <v>240</v>
      </c>
      <c r="C327" s="59" t="s">
        <v>140</v>
      </c>
      <c r="D327" s="62"/>
      <c r="E327" s="62"/>
      <c r="F327" s="62">
        <f>SUM(F323:F326)</f>
        <v>931693.44750000001</v>
      </c>
    </row>
  </sheetData>
  <pageMargins left="0.7" right="0.7" top="0.75" bottom="0.75" header="0.3" footer="0.3"/>
  <pageSetup paperSize="9" scale="88"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C5:F29"/>
  <sheetViews>
    <sheetView topLeftCell="A37" zoomScaleNormal="100" workbookViewId="0">
      <selection activeCell="F31" sqref="F31"/>
    </sheetView>
  </sheetViews>
  <sheetFormatPr defaultRowHeight="15.75" x14ac:dyDescent="0.25"/>
  <cols>
    <col min="1" max="1" width="3.5703125" style="1" customWidth="1"/>
    <col min="2" max="2" width="7.7109375" style="1" customWidth="1"/>
    <col min="3" max="3" width="8.42578125" style="1" customWidth="1"/>
    <col min="4" max="8" width="9.140625" style="1"/>
    <col min="9" max="9" width="13.42578125" style="1" customWidth="1"/>
    <col min="10" max="10" width="12.5703125" style="1" customWidth="1"/>
    <col min="11" max="16384" width="9.140625" style="1"/>
  </cols>
  <sheetData>
    <row r="5" spans="3:6" x14ac:dyDescent="0.25">
      <c r="C5" s="1" t="s">
        <v>11</v>
      </c>
      <c r="F5" s="1" t="s">
        <v>12</v>
      </c>
    </row>
    <row r="9" spans="3:6" x14ac:dyDescent="0.25">
      <c r="C9" s="1" t="s">
        <v>13</v>
      </c>
      <c r="F9" s="1" t="s">
        <v>14</v>
      </c>
    </row>
    <row r="13" spans="3:6" x14ac:dyDescent="0.25">
      <c r="C13" s="1" t="s">
        <v>15</v>
      </c>
      <c r="F13" s="1" t="s">
        <v>16</v>
      </c>
    </row>
    <row r="17" spans="3:6" x14ac:dyDescent="0.25">
      <c r="C17" s="1" t="s">
        <v>17</v>
      </c>
      <c r="F17" s="1" t="s">
        <v>18</v>
      </c>
    </row>
    <row r="21" spans="3:6" x14ac:dyDescent="0.25">
      <c r="C21" s="1" t="s">
        <v>19</v>
      </c>
    </row>
    <row r="25" spans="3:6" x14ac:dyDescent="0.25">
      <c r="C25" s="1" t="s">
        <v>20</v>
      </c>
    </row>
    <row r="29" spans="3:6" x14ac:dyDescent="0.25">
      <c r="C29" s="1" t="s">
        <v>21</v>
      </c>
    </row>
  </sheetData>
  <pageMargins left="0.25" right="0.25"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Radni listovi</vt:lpstr>
      </vt:variant>
      <vt:variant>
        <vt:i4>3</vt:i4>
      </vt:variant>
    </vt:vector>
  </HeadingPairs>
  <TitlesOfParts>
    <vt:vector size="3" baseType="lpstr">
      <vt:lpstr>bez cijena</vt:lpstr>
      <vt:lpstr>sa cijenama</vt:lpstr>
      <vt:lpstr>naslovnica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2022-04-04T08:37:44Z</dcterms:modified>
</cp:coreProperties>
</file>